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JULI" sheetId="1" r:id="rId5"/>
    <sheet state="visible" name="2 JULI" sheetId="2" r:id="rId6"/>
    <sheet state="visible" name="3 JULI" sheetId="3" r:id="rId7"/>
    <sheet state="visible" name="4 JULI" sheetId="4" r:id="rId8"/>
    <sheet state="visible" name="5 JULI" sheetId="5" r:id="rId9"/>
    <sheet state="visible" name="6 JULI" sheetId="6" r:id="rId10"/>
    <sheet state="visible" name="7 JULI" sheetId="7" r:id="rId11"/>
    <sheet state="visible" name="8 JULI" sheetId="8" r:id="rId12"/>
    <sheet state="visible" name="9 JULI" sheetId="9" r:id="rId13"/>
    <sheet state="visible" name="10 JULI" sheetId="10" r:id="rId14"/>
    <sheet state="visible" name="11 JULI" sheetId="11" r:id="rId15"/>
    <sheet state="visible" name="12 JULI" sheetId="12" r:id="rId16"/>
    <sheet state="visible" name="13 JULI" sheetId="13" r:id="rId17"/>
    <sheet state="visible" name="14 JULI" sheetId="14" r:id="rId18"/>
    <sheet state="visible" name="15 JULI" sheetId="15" r:id="rId19"/>
    <sheet state="visible" name="16 JULI" sheetId="16" r:id="rId20"/>
    <sheet state="visible" name="17 JULI" sheetId="17" r:id="rId21"/>
    <sheet state="visible" name="18 JULI" sheetId="18" r:id="rId22"/>
    <sheet state="visible" name="19 JULI" sheetId="19" r:id="rId23"/>
    <sheet state="visible" name="20 JULI" sheetId="20" r:id="rId24"/>
    <sheet state="visible" name="21 JULI" sheetId="21" r:id="rId25"/>
    <sheet state="visible" name="22 JULI" sheetId="22" r:id="rId26"/>
    <sheet state="visible" name="Copy of COPY COPY" sheetId="23" r:id="rId27"/>
  </sheets>
  <definedNames>
    <definedName hidden="1" localSheetId="13" name="Z_DE7809D3_8839_4AE0_8D65_C2B54E6FF623_.wvu.FilterData">'14 JULI'!$A$1:$AL$271</definedName>
  </definedNames>
  <calcPr/>
  <customWorkbookViews>
    <customWorkbookView activeSheetId="0" maximized="1" windowHeight="0" windowWidth="0" guid="{DE7809D3-8839-4AE0-8D65-C2B54E6FF623}" name="Filter 1"/>
  </customWorkbookViews>
</workbook>
</file>

<file path=xl/sharedStrings.xml><?xml version="1.0" encoding="utf-8"?>
<sst xmlns="http://schemas.openxmlformats.org/spreadsheetml/2006/main" count="6465" uniqueCount="184">
  <si>
    <t>No</t>
  </si>
  <si>
    <t>Tanggal</t>
  </si>
  <si>
    <t>No RM</t>
  </si>
  <si>
    <t>Unit</t>
  </si>
  <si>
    <t>Column 4</t>
  </si>
  <si>
    <t>Dokter</t>
  </si>
  <si>
    <t>Ket</t>
  </si>
  <si>
    <t>ID Encounter</t>
  </si>
  <si>
    <t>ID Condition</t>
  </si>
  <si>
    <t>ID Clinical Impression</t>
  </si>
  <si>
    <t>ID Observation Tensi</t>
  </si>
  <si>
    <t>ID Observation Nadi</t>
  </si>
  <si>
    <t>ID Observation RR</t>
  </si>
  <si>
    <t>ID Observation Suhu</t>
  </si>
  <si>
    <t>ID Observation SPO2</t>
  </si>
  <si>
    <t>ID Observation GCS</t>
  </si>
  <si>
    <t>ID Observation Tinggi</t>
  </si>
  <si>
    <t>ID Observation Berat</t>
  </si>
  <si>
    <t>ID Observation Perut</t>
  </si>
  <si>
    <t>ID Observation Kesadaran</t>
  </si>
  <si>
    <t>ID Procedure</t>
  </si>
  <si>
    <t>ID Composition</t>
  </si>
  <si>
    <t>ID Vaksin/Imunisasi</t>
  </si>
  <si>
    <t>ID Medication Request</t>
  </si>
  <si>
    <t>ID Medication Dispense</t>
  </si>
  <si>
    <t>ID Medication Statement</t>
  </si>
  <si>
    <t>ID Service Request Radiologi</t>
  </si>
  <si>
    <t>ID Specimen Radiologi</t>
  </si>
  <si>
    <t>ID Observation Radiologi</t>
  </si>
  <si>
    <t>ID Diagnostic Report Radiologi</t>
  </si>
  <si>
    <t>Image Study</t>
  </si>
  <si>
    <t>ID Service Request Lab PK</t>
  </si>
  <si>
    <t>ID Specimen Lab PK</t>
  </si>
  <si>
    <t>ID Observation Lab PK</t>
  </si>
  <si>
    <t>ID Diagnostic Report Lab PK</t>
  </si>
  <si>
    <t>ID Care Plan</t>
  </si>
  <si>
    <t>ID Allergy</t>
  </si>
  <si>
    <t>ID Questionnaire</t>
  </si>
  <si>
    <t>TOTAL</t>
  </si>
  <si>
    <t>Poliklinik Spesialis Bedah Mulut</t>
  </si>
  <si>
    <t>Poliklinik Spesialis Orthodonsia</t>
  </si>
  <si>
    <t>Poliklinik Spesialis Prosthodonsia</t>
  </si>
  <si>
    <t>drg. RIZNASYARIELIA NIKMATUN NAFISAH, Sp. BM.Mf</t>
  </si>
  <si>
    <t>drg. PATRICIA ISKANDAR Sp.Ort.</t>
  </si>
  <si>
    <t>Dr. drg. DEBBY SAPUTERA, Sp.Pros</t>
  </si>
  <si>
    <t>drg. AGNESTHESIA RUTH STEVHANY, Sp.BMM</t>
  </si>
  <si>
    <t xml:space="preserve"> </t>
  </si>
  <si>
    <t>Poliklinik Spesialis Prosthodon</t>
  </si>
  <si>
    <t>drg. MUHAMMAD IQBAL BAIHAQI, Sp.Pros</t>
  </si>
  <si>
    <t>YUNIAR ELSA DWINURIA</t>
  </si>
  <si>
    <t>Sudah di Kirim Sebagian</t>
  </si>
  <si>
    <t>Poliklinik Spesialis Periodonsia</t>
  </si>
  <si>
    <t>drg. NIDA ULAZKIYA, Sp. Perio</t>
  </si>
  <si>
    <t>Integrasi Prostodonsia</t>
  </si>
  <si>
    <t>Poliklinik Spesialis KGA</t>
  </si>
  <si>
    <t>drg. YUNNY MAHRIANI, Sp.KGA</t>
  </si>
  <si>
    <t>Integrasi Ilmu Konservasi Gigi</t>
  </si>
  <si>
    <t>drg. HERI YANTO VAN ARLES N, Sp. BMM</t>
  </si>
  <si>
    <t>drg. TEGUH HADIANTO, Sp.KG</t>
  </si>
  <si>
    <t>Poliklinik Spesialis Bedah Mulu</t>
  </si>
  <si>
    <t>drg. MUHAMMAD RIZAL SURYA PERMANA</t>
  </si>
  <si>
    <t>drg. FRANSISKA U. A. PANJAITAN, Sp. Perio</t>
  </si>
  <si>
    <t>drg. YUNNY MAHRIANI, Sp. KGA</t>
  </si>
  <si>
    <t>Poliklinik Spesialis Konservasi Gigi</t>
  </si>
  <si>
    <t>drg. M. YANUAR ICHROM NAHZI, Sp.KG</t>
  </si>
  <si>
    <t>drg. NIDA UL AZKIYA, Sp. Perio</t>
  </si>
  <si>
    <t>drg. AGNESTHESIA RUTH STEVHANY, Sp. BMM</t>
  </si>
  <si>
    <t>Belum Closing</t>
  </si>
  <si>
    <t>Integrasi Kedokteran Gigi Anak</t>
  </si>
  <si>
    <t>drg. DINY AULIA RATNASARI</t>
  </si>
  <si>
    <t>drg. YUNNY MAHRIANI, SP.KGA</t>
  </si>
  <si>
    <t>drg. RIZNASYARIELIA NIKMATUN NAFISAH, Sp. BM.MI</t>
  </si>
  <si>
    <t>drg. NOOR BINTANG RAMADHAN, Sp.KG</t>
  </si>
  <si>
    <t>drg. NOOR BINTANG RAMADHAN, SP.KG</t>
  </si>
  <si>
    <t>Integrasi Oral Medicine</t>
  </si>
  <si>
    <t>drg. SELVIANA RIZKY PRAMITHA, Sp.PM</t>
  </si>
  <si>
    <t>drg. RIZKI AMALIA, SP.KGA</t>
  </si>
  <si>
    <t>drg. RAHMAD ARIFIN, Sp. Pros</t>
  </si>
  <si>
    <t>drg. NOOR BINTANG RAMADHAN. Sp.KG</t>
  </si>
  <si>
    <t>drg. NOOR BINTANG RAMADHAN, Sp. KG</t>
  </si>
  <si>
    <t>Integrasi Ortodonsia</t>
  </si>
  <si>
    <t>drg. I WAYAN ARYA KRISHNAWAN F, M.Kes</t>
  </si>
  <si>
    <t>drg. RIZKI AMALIA, Sp.KGA</t>
  </si>
  <si>
    <t>Integrasi limu Konservasi Gigi</t>
  </si>
  <si>
    <t>drg. SELVIANA RIZKY PRAMITHA, SP.PM</t>
  </si>
  <si>
    <t>Poliklinik Gigi Umum</t>
  </si>
  <si>
    <t>drg. EKARIANI NURRAHMIDAWATI</t>
  </si>
  <si>
    <t>Dr. drg. SHERLI DIANA, Sp.KG</t>
  </si>
  <si>
    <t>drg. NOVIA GUNAWAN HALIM</t>
  </si>
  <si>
    <t>Instalasi Radiologi</t>
  </si>
  <si>
    <t>drg. MUHAMMAD RIZKI RIDHO</t>
  </si>
  <si>
    <t>drg. FITRI SHOUFIA</t>
  </si>
  <si>
    <t>drg. RAHMAD ARIFIN, Sp.Pros</t>
  </si>
  <si>
    <t>Unit Gawat Darurat</t>
  </si>
  <si>
    <t>drg. MAIDA YANTI</t>
  </si>
  <si>
    <t>dr. JANE, Sp.Rad</t>
  </si>
  <si>
    <t>drg. DEWI PUSPITASARI, M.Si</t>
  </si>
  <si>
    <t>drg. R. HARRY DHARMAWAN S. M.Kes</t>
  </si>
  <si>
    <t>Integrasi Periodonsia</t>
  </si>
  <si>
    <t>drg. SUPARNI PUJI LESTARI, MM</t>
  </si>
  <si>
    <t>drg. R. HARRY DHARMAWAN S, M.Kes</t>
  </si>
  <si>
    <t>Integrasi Bedah Mulut</t>
  </si>
  <si>
    <t>drg. TRI NURRAHMAN, Sp.BM</t>
  </si>
  <si>
    <t>drg. JENNY LUSIANA</t>
  </si>
  <si>
    <t>drg. AMY NINDYA C., M.Si</t>
  </si>
  <si>
    <t>Belum Input Diagnosa</t>
  </si>
  <si>
    <t>drg. ALEXANDER SITEPU, MM</t>
  </si>
  <si>
    <t>Instalasi Laboratorium</t>
  </si>
  <si>
    <t>dr. Burhanuddin Said, Sp.PK</t>
  </si>
  <si>
    <t>drg. FRANSISCA VIESTA NANDA HETA</t>
  </si>
  <si>
    <t>drg, NOVIA GUNAWAN HALIM</t>
  </si>
  <si>
    <t>drg. RIZNASYÄRIELIA NIKMATUN NAFISAH, Sp. BM.Mf</t>
  </si>
  <si>
    <t>Dr. drg. SHERLI DIANA, SP.KG</t>
  </si>
  <si>
    <t>drg. SITI FARIDA RIZKI ANANDA</t>
  </si>
  <si>
    <t>Dr. drg. SHERLI DIANA. Sp.KG</t>
  </si>
  <si>
    <r>
      <rPr>
        <rFont val="Open Sans"/>
        <color rgb="FF656565"/>
        <sz val="11.0"/>
      </rPr>
      <t xml:space="preserve">Dr. drg. SHERLI DIANA. </t>
    </r>
    <r>
      <rPr>
        <rFont val="Open Sans"/>
        <color rgb="FF1155CC"/>
        <sz val="11.0"/>
        <u/>
      </rPr>
      <t>Sp.KG</t>
    </r>
  </si>
  <si>
    <t>drg. MARTHIN MAHA, Sp.Ort</t>
  </si>
  <si>
    <t>Dr. drg. DEBBY SAPUTERA, Sp. Pros</t>
  </si>
  <si>
    <t>drg. M. YANUAR ICHROM NAHZI, Sp. KG</t>
  </si>
  <si>
    <t>drg. NIDA ULAZKIYA, Sp.Perio</t>
  </si>
  <si>
    <t>Poliklinik Spesialis Konservasi Gig</t>
  </si>
  <si>
    <t>drg. MARTHIN MAHA, Sp. Ort</t>
  </si>
  <si>
    <t>drg. EVAN ARIF RAHARJO</t>
  </si>
  <si>
    <t>Dr. drg. SHERLI DIANA, Sp. KG</t>
  </si>
  <si>
    <t>Prof. Dr. drg. ROSIHAN ADHANI, S.Sos, M.S</t>
  </si>
  <si>
    <t>drg. MUHAMMAD GENADI ASKANDAR, Sp.Pros</t>
  </si>
  <si>
    <t>drg. DEBY KANIA TRI PUTRI, M.Kes</t>
  </si>
  <si>
    <t>drg. RIZNASYARIELIA NIKMATUN NAFISAH. Sp. BM.Mf</t>
  </si>
  <si>
    <t>drg. FITRIANA CAESSAR PERTIWI</t>
  </si>
  <si>
    <t>drg RIZNASYARIELIA NIKMATUN NAFISAH, Sp. BM.Mf</t>
  </si>
  <si>
    <t>drg. PATRICIA ISKANDAR Sp. Ort.</t>
  </si>
  <si>
    <t>drg. RIMA PERMATA SARI</t>
  </si>
  <si>
    <t>drg. RIZNASYARIELIA NIKMATUN NAFISAH, Sp. BM.MF</t>
  </si>
  <si>
    <t>drg. BETA WIDYA OKTIANI, Sp.Perio</t>
  </si>
  <si>
    <t>drg. AGNESTHESIA RUTH STEVHANY, SP.BMм</t>
  </si>
  <si>
    <t>drg. AGNESTHESIA RUTH STEVHANY, SP.BMM</t>
  </si>
  <si>
    <t>drg. MUHAMMAD GENADI ASKANDAR, Sp. Pros</t>
  </si>
  <si>
    <t>drg. BETA WIDYA OKTIANI, Sp. Perio</t>
  </si>
  <si>
    <t>drg. MARDHATILLAH NUR AMI PUTRIANA</t>
  </si>
  <si>
    <t>drg. MUHAMMAD HERRY SEPTIANOOR</t>
  </si>
  <si>
    <t>drg. NIDA UL AZKIYA, Sp.Perio</t>
  </si>
  <si>
    <t>Oral Diagnosa</t>
  </si>
  <si>
    <t>drg. WINDA ARIANI</t>
  </si>
  <si>
    <t>drg. DIANA WIBOWO, Sp.Ort</t>
  </si>
  <si>
    <t>Poliklinik Spesialis Penyakit Mulut</t>
  </si>
  <si>
    <t>Prof. Dr. drg. MAHARANI LAILLYZAA., Sp.PM</t>
  </si>
  <si>
    <t>drg. MUHAMMAD GENADI ASKANDAR, Sp.Pro</t>
  </si>
  <si>
    <t>drg. ANNISA KURNIASARI</t>
  </si>
  <si>
    <t>drg. FAJAR KUSUMA DWI K., M.Kes, Sp. Ort</t>
  </si>
  <si>
    <t>Poliklinik Spesialis Pernodonsia</t>
  </si>
  <si>
    <t>drg. FRANSISKA U.A. PANJAITAN, Sp. Perio</t>
  </si>
  <si>
    <t>drg. MUTIA NABILLA</t>
  </si>
  <si>
    <t>drg. NURDIANA DEWI, M.DSC, Sp.KGA</t>
  </si>
  <si>
    <t>drg. NURDIANA DEWI, M.DSc, Sp.KGA</t>
  </si>
  <si>
    <t>drg. FAJAR KUSUMA DWI K., M.Kes, Sp.Ort</t>
  </si>
  <si>
    <t>drg. RENIE KUMALA DEWI, Sp.KGA</t>
  </si>
  <si>
    <t>dr. JANE, Sp. Rad</t>
  </si>
  <si>
    <t>drg. MUHAMMAD GENADI ASKANDAR, Sp.Pros Pros</t>
  </si>
  <si>
    <t>drg. ISYANA ERLITA, M.H, Sp.KG</t>
  </si>
  <si>
    <t>drg. PATRICIA ISKANDAR Sp.Ort</t>
  </si>
  <si>
    <t>drg. DIANA WIBOWO, Sp. Ort</t>
  </si>
  <si>
    <t>Klinik Geriatri</t>
  </si>
  <si>
    <t>drg. MUHAMMAD HAIKAL</t>
  </si>
  <si>
    <t>Instalasi Radiologi logi</t>
  </si>
  <si>
    <t>drg. ANSHORI ROHIMI</t>
  </si>
  <si>
    <t>drg. RIZNIKA</t>
  </si>
  <si>
    <t>drg. RIZKI AMALIA, Sp. KGA</t>
  </si>
  <si>
    <t>drg. MUHAMMAD RIZAL SURYA PERMANΝΑ</t>
  </si>
  <si>
    <t>drg. RENIE KUMALA DEWI, Sp. KGA</t>
  </si>
  <si>
    <t>drg. AMY NINDYA C., M.SI</t>
  </si>
  <si>
    <t>drg. DEWI PUSPITASARI, M.SI</t>
  </si>
  <si>
    <t>drg. RENIE KUMALA DEWI, Sp. KGA KGA</t>
  </si>
  <si>
    <t>drg. HANIFAH MULYANI</t>
  </si>
  <si>
    <t>DONE</t>
  </si>
  <si>
    <t>drg. RENIE KUMALA DEWI, SP.KGA</t>
  </si>
  <si>
    <t>drg. M. YANUAR ICHROM NAHZI, SP.KG</t>
  </si>
  <si>
    <t>Prof. Dr. drg. MAHARANI LAILLYZAA., SP.PM</t>
  </si>
  <si>
    <t>drg. HERI YANTO VAN ARLES N. Sp. BMM</t>
  </si>
  <si>
    <t>drg. MUHAMMAD IQBAL BAIHAQI, Sp.Pros Sp.Pros</t>
  </si>
  <si>
    <t>dr. DWI PUTRI RAHMI</t>
  </si>
  <si>
    <t>drg. PATRICIA ISKANDAR Sp. Ort</t>
  </si>
  <si>
    <t>Poliklinik Spesialis Orthodonsia Jonsia</t>
  </si>
  <si>
    <t>Poliklinik Spesialis Periodonsia onsia</t>
  </si>
  <si>
    <t>Poliklinik Spesialis Orthodonsia nsia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</si>
</sst>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sz val="11.0"/>
      <color rgb="FF656565"/>
      <name val="Open Sans"/>
    </font>
    <font>
      <color theme="1"/>
      <name val="Arial"/>
    </font>
    <font>
      <sz val="11.0"/>
      <color rgb="FF656565"/>
      <name val="&quot;Open Sans&quot;"/>
    </font>
    <font>
      <b/>
      <sz val="9.0"/>
      <color rgb="FFFFFFFF"/>
      <name val="&quot;Open Sans&quot;"/>
    </font>
    <font>
      <color theme="1"/>
      <name val="Arial"/>
      <scheme val="minor"/>
    </font>
    <font>
      <b/>
      <sz val="9.0"/>
      <color rgb="FFFFFFFF"/>
      <name val="System-ui"/>
    </font>
    <font>
      <b/>
      <sz val="16.0"/>
      <color theme="1"/>
      <name val="Arial"/>
    </font>
    <font/>
    <font>
      <b/>
      <sz val="13.0"/>
      <color theme="1"/>
      <name val="Arial"/>
    </font>
    <font>
      <sz val="13.0"/>
      <color theme="1"/>
      <name val="Arial"/>
    </font>
    <font>
      <u/>
      <sz val="11.0"/>
      <color rgb="FF656565"/>
      <name val="Open Sans"/>
    </font>
    <font>
      <color theme="1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6F8F9"/>
        <bgColor rgb="FFF6F8F9"/>
      </patternFill>
    </fill>
    <fill>
      <patternFill patternType="solid">
        <fgColor rgb="FFF89406"/>
        <bgColor rgb="FFF89406"/>
      </patternFill>
    </fill>
    <fill>
      <patternFill patternType="solid">
        <fgColor rgb="FFC67605"/>
        <bgColor rgb="FFC67605"/>
      </patternFill>
    </fill>
    <fill>
      <patternFill patternType="solid">
        <fgColor rgb="FFB94A48"/>
        <bgColor rgb="FFB94A48"/>
      </patternFill>
    </fill>
    <fill>
      <patternFill patternType="solid">
        <fgColor theme="8"/>
        <bgColor theme="8"/>
      </patternFill>
    </fill>
    <fill>
      <patternFill patternType="solid">
        <fgColor rgb="FF953B39"/>
        <bgColor rgb="FF953B39"/>
      </patternFill>
    </fill>
    <fill>
      <patternFill patternType="solid">
        <fgColor rgb="FFFF9900"/>
        <bgColor rgb="FFFF9900"/>
      </patternFill>
    </fill>
  </fills>
  <borders count="18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6F8F9"/>
      </left>
      <right style="thin">
        <color rgb="FF284E3F"/>
      </right>
      <top style="thin">
        <color rgb="FFF6F8F9"/>
      </top>
    </border>
    <border>
      <left style="thin">
        <color rgb="FFF6F8F9"/>
      </lef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164" xfId="0" applyAlignment="1" applyBorder="1" applyFont="1" applyNumberFormat="1">
      <alignment horizontal="right"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0" fillId="3" fontId="5" numFmtId="0" xfId="0" applyAlignment="1" applyFill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4" fontId="2" numFmtId="0" xfId="0" applyAlignment="1" applyBorder="1" applyFill="1" applyFont="1">
      <alignment horizontal="right" shrinkToFit="0" vertical="center" wrapText="0"/>
    </xf>
    <xf borderId="5" fillId="4" fontId="4" numFmtId="164" xfId="0" applyAlignment="1" applyBorder="1" applyFont="1" applyNumberForma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0" fillId="5" fontId="6" numFmtId="0" xfId="0" applyAlignment="1" applyFill="1" applyFont="1">
      <alignment horizontal="center" readingOrder="0" shrinkToFit="0" vertical="center" wrapText="0"/>
    </xf>
    <xf borderId="0" fillId="6" fontId="6" numFmtId="0" xfId="0" applyAlignment="1" applyFill="1" applyFont="1">
      <alignment horizontal="center" readingOrder="0" shrinkToFit="0" vertical="center" wrapText="0"/>
    </xf>
    <xf borderId="5" fillId="4" fontId="2" numFmtId="0" xfId="0" applyAlignment="1" applyBorder="1" applyFont="1">
      <alignment horizontal="center" readingOrder="0" shrinkToFit="0" vertical="center" wrapText="0"/>
    </xf>
    <xf borderId="6" fillId="4" fontId="2" numFmtId="0" xfId="0" applyAlignment="1" applyBorder="1" applyFont="1">
      <alignment shrinkToFit="0" vertical="center" wrapText="0"/>
    </xf>
    <xf borderId="2" fillId="2" fontId="4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1" fillId="7" fontId="2" numFmtId="0" xfId="0" applyAlignment="1" applyBorder="1" applyFill="1" applyFont="1">
      <alignment horizontal="right" shrinkToFit="0" vertical="center" wrapText="0"/>
    </xf>
    <xf borderId="2" fillId="7" fontId="4" numFmtId="164" xfId="0" applyAlignment="1" applyBorder="1" applyFont="1" applyNumberFormat="1">
      <alignment shrinkToFit="0" vertical="center" wrapText="0"/>
    </xf>
    <xf borderId="5" fillId="7" fontId="2" numFmtId="0" xfId="0" applyAlignment="1" applyBorder="1" applyFont="1">
      <alignment readingOrder="0" shrinkToFit="0" vertical="center" wrapText="0"/>
    </xf>
    <xf borderId="2" fillId="7" fontId="3" numFmtId="0" xfId="0" applyAlignment="1" applyBorder="1" applyFont="1">
      <alignment readingOrder="0" shrinkToFit="0" vertical="center" wrapText="0"/>
    </xf>
    <xf borderId="0" fillId="7" fontId="6" numFmtId="0" xfId="0" applyAlignment="1" applyFont="1">
      <alignment horizontal="center" readingOrder="0" shrinkToFit="0" vertical="center" wrapText="0"/>
    </xf>
    <xf borderId="2" fillId="7" fontId="2" numFmtId="0" xfId="0" applyAlignment="1" applyBorder="1" applyFont="1">
      <alignment horizontal="center" readingOrder="0" shrinkToFit="0" vertical="center" wrapText="0"/>
    </xf>
    <xf borderId="3" fillId="7" fontId="2" numFmtId="0" xfId="0" applyAlignment="1" applyBorder="1" applyFont="1">
      <alignment shrinkToFit="0" vertical="center" wrapText="0"/>
    </xf>
    <xf borderId="1" fillId="8" fontId="2" numFmtId="0" xfId="0" applyAlignment="1" applyBorder="1" applyFill="1" applyFont="1">
      <alignment horizontal="right" shrinkToFit="0" vertical="center" wrapText="0"/>
    </xf>
    <xf borderId="2" fillId="8" fontId="4" numFmtId="164" xfId="0" applyAlignment="1" applyBorder="1" applyFont="1" applyNumberFormat="1">
      <alignment shrinkToFit="0" vertical="center" wrapText="0"/>
    </xf>
    <xf borderId="5" fillId="8" fontId="2" numFmtId="0" xfId="0" applyAlignment="1" applyBorder="1" applyFont="1">
      <alignment readingOrder="0" shrinkToFit="0" vertical="center" wrapText="0"/>
    </xf>
    <xf borderId="2" fillId="8" fontId="3" numFmtId="0" xfId="0" applyAlignment="1" applyBorder="1" applyFont="1">
      <alignment readingOrder="0" shrinkToFit="0" vertical="center" wrapText="0"/>
    </xf>
    <xf borderId="2" fillId="8" fontId="4" numFmtId="0" xfId="0" applyAlignment="1" applyBorder="1" applyFont="1">
      <alignment shrinkToFit="0" vertical="center" wrapText="0"/>
    </xf>
    <xf borderId="2" fillId="8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right" shrinkToFit="0" vertical="center" wrapText="0"/>
    </xf>
    <xf borderId="2" fillId="5" fontId="4" numFmtId="164" xfId="0" applyAlignment="1" applyBorder="1" applyFont="1" applyNumberFormat="1">
      <alignment shrinkToFit="0" vertical="center" wrapText="0"/>
    </xf>
    <xf borderId="3" fillId="8" fontId="2" numFmtId="0" xfId="0" applyAlignment="1" applyBorder="1" applyFont="1">
      <alignment shrinkToFit="0" vertical="center" wrapText="0"/>
    </xf>
    <xf borderId="2" fillId="5" fontId="2" numFmtId="0" xfId="0" applyAlignment="1" applyBorder="1" applyFont="1">
      <alignment readingOrder="0" shrinkToFit="0" vertical="center" wrapText="0"/>
    </xf>
    <xf borderId="2" fillId="5" fontId="3" numFmtId="0" xfId="0" applyAlignment="1" applyBorder="1" applyFont="1">
      <alignment readingOrder="0" shrinkToFit="0" vertical="center" wrapText="0"/>
    </xf>
    <xf borderId="2" fillId="5" fontId="4" numFmtId="0" xfId="0" applyAlignment="1" applyBorder="1" applyFont="1">
      <alignment shrinkToFit="0" vertical="center" wrapText="0"/>
    </xf>
    <xf borderId="2" fillId="5" fontId="2" numFmtId="0" xfId="0" applyAlignment="1" applyBorder="1" applyFont="1">
      <alignment horizontal="center" readingOrder="0" shrinkToFit="0" vertical="center" wrapText="0"/>
    </xf>
    <xf borderId="3" fillId="5" fontId="2" numFmtId="0" xfId="0" applyAlignment="1" applyBorder="1" applyFont="1">
      <alignment shrinkToFit="0" vertical="center" wrapText="0"/>
    </xf>
    <xf borderId="4" fillId="5" fontId="2" numFmtId="0" xfId="0" applyAlignment="1" applyBorder="1" applyFont="1">
      <alignment horizontal="right" shrinkToFit="0" vertical="center" wrapText="0"/>
    </xf>
    <xf borderId="5" fillId="5" fontId="4" numFmtId="164" xfId="0" applyAlignment="1" applyBorder="1" applyFont="1" applyNumberFormat="1">
      <alignment shrinkToFit="0" vertical="center" wrapText="0"/>
    </xf>
    <xf borderId="5" fillId="5" fontId="2" numFmtId="0" xfId="0" applyAlignment="1" applyBorder="1" applyFont="1">
      <alignment readingOrder="0" shrinkToFit="0" vertical="center" wrapText="0"/>
    </xf>
    <xf borderId="5" fillId="5" fontId="3" numFmtId="0" xfId="0" applyAlignment="1" applyBorder="1" applyFont="1">
      <alignment readingOrder="0" shrinkToFit="0" vertical="center" wrapText="0"/>
    </xf>
    <xf borderId="5" fillId="5" fontId="4" numFmtId="0" xfId="0" applyAlignment="1" applyBorder="1" applyFont="1">
      <alignment shrinkToFit="0" vertical="center" wrapText="0"/>
    </xf>
    <xf borderId="5" fillId="5" fontId="2" numFmtId="0" xfId="0" applyAlignment="1" applyBorder="1" applyFont="1">
      <alignment horizontal="center" readingOrder="0" shrinkToFit="0" vertical="center" wrapText="0"/>
    </xf>
    <xf borderId="6" fillId="5" fontId="2" numFmtId="0" xfId="0" applyAlignment="1" applyBorder="1" applyFont="1">
      <alignment shrinkToFit="0" vertical="center" wrapText="0"/>
    </xf>
    <xf borderId="5" fillId="8" fontId="3" numFmtId="0" xfId="0" applyAlignment="1" applyBorder="1" applyFont="1">
      <alignment readingOrder="0" shrinkToFit="0" vertical="center" wrapText="0"/>
    </xf>
    <xf borderId="0" fillId="8" fontId="5" numFmtId="0" xfId="0" applyAlignment="1" applyFont="1">
      <alignment readingOrder="0" shrinkToFit="0" vertical="center" wrapText="0"/>
    </xf>
    <xf borderId="5" fillId="8" fontId="4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2" fillId="0" fontId="4" numFmtId="164" xfId="0" applyAlignment="1" applyBorder="1" applyFont="1" applyNumberForma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shrinkToFit="0" vertical="center" wrapText="0"/>
    </xf>
    <xf borderId="0" fillId="8" fontId="7" numFmtId="0" xfId="0" applyAlignment="1" applyFont="1">
      <alignment readingOrder="0" shrinkToFit="0" vertical="center" wrapText="0"/>
    </xf>
    <xf borderId="4" fillId="8" fontId="2" numFmtId="0" xfId="0" applyAlignment="1" applyBorder="1" applyFont="1">
      <alignment horizontal="right" shrinkToFit="0" vertical="center" wrapText="0"/>
    </xf>
    <xf borderId="5" fillId="8" fontId="4" numFmtId="164" xfId="0" applyAlignment="1" applyBorder="1" applyFont="1" applyNumberFormat="1">
      <alignment shrinkToFit="0" vertical="center" wrapText="0"/>
    </xf>
    <xf borderId="5" fillId="8" fontId="2" numFmtId="0" xfId="0" applyAlignment="1" applyBorder="1" applyFont="1">
      <alignment horizontal="center" readingOrder="0" shrinkToFit="0" vertical="center" wrapText="0"/>
    </xf>
    <xf borderId="6" fillId="8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0" fillId="5" fontId="7" numFmtId="0" xfId="0" applyAlignment="1" applyFont="1">
      <alignment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4" fillId="0" fontId="2" numFmtId="0" xfId="0" applyAlignment="1" applyBorder="1" applyFont="1">
      <alignment horizontal="right" shrinkToFit="0" vertical="center" wrapText="0"/>
    </xf>
    <xf borderId="5" fillId="0" fontId="4" numFmtId="164" xfId="0" applyAlignment="1" applyBorder="1" applyFont="1" applyNumberForma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9" numFmtId="0" xfId="0" applyAlignment="1" applyBorder="1" applyFont="1">
      <alignment horizontal="right"/>
    </xf>
    <xf borderId="8" fillId="0" fontId="10" numFmtId="0" xfId="0" applyBorder="1" applyFont="1"/>
    <xf borderId="9" fillId="0" fontId="10" numFmtId="0" xfId="0" applyBorder="1" applyFont="1"/>
    <xf borderId="10" fillId="0" fontId="11" numFmtId="0" xfId="0" applyAlignment="1" applyBorder="1" applyFont="1">
      <alignment horizontal="center"/>
    </xf>
    <xf borderId="10" fillId="0" fontId="12" numFmtId="0" xfId="0" applyAlignment="1" applyBorder="1" applyFont="1">
      <alignment horizontal="center"/>
    </xf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14" fillId="0" fontId="10" numFmtId="0" xfId="0" applyBorder="1" applyFont="1"/>
    <xf borderId="0" fillId="7" fontId="7" numFmtId="0" xfId="0" applyAlignment="1" applyFont="1">
      <alignment readingOrder="0" shrinkToFit="0" vertical="center" wrapText="0"/>
    </xf>
    <xf borderId="5" fillId="7" fontId="3" numFmtId="0" xfId="0" applyAlignment="1" applyBorder="1" applyFont="1">
      <alignment readingOrder="0" shrinkToFit="0" vertical="center" wrapText="0"/>
    </xf>
    <xf borderId="4" fillId="9" fontId="2" numFmtId="0" xfId="0" applyAlignment="1" applyBorder="1" applyFill="1" applyFont="1">
      <alignment horizontal="right" shrinkToFit="0" vertical="center" wrapText="0"/>
    </xf>
    <xf borderId="5" fillId="9" fontId="4" numFmtId="164" xfId="0" applyAlignment="1" applyBorder="1" applyFont="1" applyNumberFormat="1">
      <alignment shrinkToFit="0" vertical="center" wrapText="0"/>
    </xf>
    <xf borderId="5" fillId="9" fontId="2" numFmtId="0" xfId="0" applyAlignment="1" applyBorder="1" applyFont="1">
      <alignment readingOrder="0" shrinkToFit="0" vertical="center" wrapText="0"/>
    </xf>
    <xf borderId="5" fillId="9" fontId="3" numFmtId="0" xfId="0" applyAlignment="1" applyBorder="1" applyFont="1">
      <alignment readingOrder="0" shrinkToFit="0" vertical="center" wrapText="0"/>
    </xf>
    <xf borderId="0" fillId="9" fontId="6" numFmtId="0" xfId="0" applyAlignment="1" applyFont="1">
      <alignment horizontal="center" readingOrder="0" shrinkToFit="0" vertical="center" wrapText="0"/>
    </xf>
    <xf borderId="2" fillId="9" fontId="2" numFmtId="0" xfId="0" applyAlignment="1" applyBorder="1" applyFont="1">
      <alignment horizontal="center" readingOrder="0" shrinkToFit="0" vertical="center" wrapText="0"/>
    </xf>
    <xf borderId="6" fillId="9" fontId="2" numFmtId="0" xfId="0" applyAlignment="1" applyBorder="1" applyFont="1">
      <alignment shrinkToFit="0" vertical="center" wrapText="0"/>
    </xf>
    <xf borderId="3" fillId="9" fontId="2" numFmtId="0" xfId="0" applyAlignment="1" applyBorder="1" applyFont="1">
      <alignment shrinkToFit="0" vertical="center" wrapText="0"/>
    </xf>
    <xf borderId="5" fillId="0" fontId="13" numFmtId="0" xfId="0" applyAlignment="1" applyBorder="1" applyFont="1">
      <alignment readingOrder="0" shrinkToFit="0" vertical="center" wrapText="0"/>
    </xf>
    <xf borderId="0" fillId="9" fontId="7" numFmtId="0" xfId="0" applyAlignment="1" applyFont="1">
      <alignment readingOrder="0" shrinkToFit="0" vertical="center" wrapText="0"/>
    </xf>
    <xf borderId="1" fillId="9" fontId="2" numFmtId="0" xfId="0" applyAlignment="1" applyBorder="1" applyFont="1">
      <alignment horizontal="right" shrinkToFit="0" vertical="center" wrapText="0"/>
    </xf>
    <xf borderId="4" fillId="10" fontId="2" numFmtId="0" xfId="0" applyAlignment="1" applyBorder="1" applyFill="1" applyFont="1">
      <alignment horizontal="right" shrinkToFit="0" vertical="center" wrapText="0"/>
    </xf>
    <xf borderId="5" fillId="10" fontId="4" numFmtId="164" xfId="0" applyAlignment="1" applyBorder="1" applyFont="1" applyNumberFormat="1">
      <alignment shrinkToFit="0" vertical="center" wrapText="0"/>
    </xf>
    <xf borderId="0" fillId="10" fontId="7" numFmtId="0" xfId="0" applyAlignment="1" applyFont="1">
      <alignment readingOrder="0" shrinkToFit="0" vertical="center" wrapText="0"/>
    </xf>
    <xf borderId="5" fillId="10" fontId="3" numFmtId="0" xfId="0" applyAlignment="1" applyBorder="1" applyFont="1">
      <alignment readingOrder="0" shrinkToFit="0" vertical="center" wrapText="0"/>
    </xf>
    <xf borderId="5" fillId="10" fontId="4" numFmtId="0" xfId="0" applyAlignment="1" applyBorder="1" applyFont="1">
      <alignment shrinkToFit="0" vertical="center" wrapText="0"/>
    </xf>
    <xf borderId="5" fillId="10" fontId="2" numFmtId="0" xfId="0" applyAlignment="1" applyBorder="1" applyFont="1">
      <alignment horizontal="center" readingOrder="0" shrinkToFit="0" vertical="center" wrapText="0"/>
    </xf>
    <xf borderId="6" fillId="10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2" fillId="2" fontId="4" numFmtId="164" xfId="0" applyAlignment="1" applyBorder="1" applyFont="1" applyNumberFormat="1">
      <alignment shrinkToFit="0" vertical="center" wrapText="0"/>
    </xf>
    <xf borderId="0" fillId="2" fontId="7" numFmtId="0" xfId="0" applyAlignment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5" fillId="2" fontId="4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7" fontId="2" numFmtId="0" xfId="0" applyAlignment="1" applyBorder="1" applyFont="1">
      <alignment horizontal="right" shrinkToFit="0" vertical="center" wrapText="0"/>
    </xf>
    <xf borderId="5" fillId="7" fontId="4" numFmtId="164" xfId="0" applyAlignment="1" applyBorder="1" applyFont="1" applyNumberFormat="1">
      <alignment shrinkToFit="0" vertical="center" wrapText="0"/>
    </xf>
    <xf borderId="4" fillId="2" fontId="2" numFmtId="0" xfId="0" applyAlignment="1" applyBorder="1" applyFont="1">
      <alignment horizontal="right" shrinkToFit="0" vertical="center" wrapText="0"/>
    </xf>
    <xf borderId="5" fillId="2" fontId="4" numFmtId="164" xfId="0" applyAlignment="1" applyBorder="1" applyFont="1" applyNumberFormat="1">
      <alignment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15" fillId="2" fontId="2" numFmtId="0" xfId="0" applyAlignment="1" applyBorder="1" applyFont="1">
      <alignment horizontal="center" readingOrder="0" shrinkToFit="0" vertical="center" wrapText="0"/>
    </xf>
    <xf borderId="16" fillId="4" fontId="2" numFmtId="0" xfId="0" applyAlignment="1" applyBorder="1" applyFont="1">
      <alignment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9" fontId="2" numFmtId="0" xfId="0" applyAlignment="1" applyFont="1">
      <alignment horizontal="center" readingOrder="0" shrinkToFit="0" vertical="center" wrapText="0"/>
    </xf>
    <xf borderId="0" fillId="9" fontId="2" numFmtId="0" xfId="0" applyAlignment="1" applyFont="1">
      <alignment shrinkToFit="0" vertical="center" wrapText="0"/>
    </xf>
    <xf borderId="0" fillId="8" fontId="2" numFmtId="0" xfId="0" applyAlignment="1" applyFont="1">
      <alignment horizontal="center" readingOrder="0" shrinkToFit="0" vertical="center" wrapText="0"/>
    </xf>
    <xf borderId="0" fillId="8" fontId="2" numFmtId="0" xfId="0" applyAlignment="1" applyFont="1">
      <alignment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8" fontId="7" numFmtId="0" xfId="0" applyAlignment="1" applyFont="1">
      <alignment shrinkToFit="0" vertical="center" wrapText="0"/>
    </xf>
    <xf borderId="2" fillId="4" fontId="2" numFmtId="0" xfId="0" applyAlignment="1" applyBorder="1" applyFont="1">
      <alignment horizontal="center" shrinkToFit="0" vertical="center" wrapText="0"/>
    </xf>
    <xf borderId="2" fillId="8" fontId="2" numFmtId="0" xfId="0" applyAlignment="1" applyBorder="1" applyFont="1">
      <alignment horizontal="center" shrinkToFit="0" vertical="center" wrapText="0"/>
    </xf>
    <xf borderId="0" fillId="9" fontId="5" numFmtId="0" xfId="0" applyAlignment="1" applyFont="1">
      <alignment readingOrder="0" shrinkToFit="0" vertical="center" wrapText="0"/>
    </xf>
    <xf borderId="5" fillId="2" fontId="2" numFmtId="0" xfId="0" applyAlignment="1" applyBorder="1" applyFont="1">
      <alignment horizontal="center" readingOrder="0" shrinkToFit="0" vertical="center" wrapText="0"/>
    </xf>
    <xf borderId="6" fillId="2" fontId="2" numFmtId="0" xfId="0" applyAlignment="1" applyBorder="1" applyFont="1">
      <alignment shrinkToFit="0" vertical="center" wrapText="0"/>
    </xf>
    <xf borderId="1" fillId="10" fontId="2" numFmtId="0" xfId="0" applyAlignment="1" applyBorder="1" applyFont="1">
      <alignment horizontal="right" shrinkToFit="0" vertical="center" wrapText="0"/>
    </xf>
    <xf borderId="2" fillId="10" fontId="4" numFmtId="164" xfId="0" applyAlignment="1" applyBorder="1" applyFont="1" applyNumberFormat="1">
      <alignment shrinkToFit="0" vertical="center" wrapText="0"/>
    </xf>
    <xf borderId="2" fillId="10" fontId="2" numFmtId="0" xfId="0" applyAlignment="1" applyBorder="1" applyFont="1">
      <alignment horizontal="center" readingOrder="0" shrinkToFit="0" vertical="center" wrapText="0"/>
    </xf>
    <xf borderId="3" fillId="10" fontId="2" numFmtId="0" xfId="0" applyAlignment="1" applyBorder="1" applyFont="1">
      <alignment shrinkToFit="0" vertical="center" wrapText="0"/>
    </xf>
    <xf borderId="5" fillId="10" fontId="2" numFmtId="0" xfId="0" applyAlignment="1" applyBorder="1" applyFont="1">
      <alignment readingOrder="0" shrinkToFit="0" vertical="center" wrapText="0"/>
    </xf>
    <xf borderId="5" fillId="2" fontId="4" numFmtId="0" xfId="0" applyAlignment="1" applyBorder="1" applyFont="1">
      <alignment readingOrder="0" shrinkToFit="0" vertical="center" wrapText="0"/>
    </xf>
    <xf borderId="2" fillId="10" fontId="2" numFmtId="164" xfId="0" applyAlignment="1" applyBorder="1" applyFont="1" applyNumberFormat="1">
      <alignment horizontal="right" readingOrder="0" shrinkToFit="0" vertical="center" wrapText="0"/>
    </xf>
    <xf borderId="17" fillId="0" fontId="4" numFmtId="0" xfId="0" applyAlignment="1" applyBorder="1" applyFont="1">
      <alignment shrinkToFit="0" vertical="center" wrapText="0"/>
    </xf>
    <xf borderId="0" fillId="8" fontId="6" numFmtId="0" xfId="0" applyAlignment="1" applyFont="1">
      <alignment horizontal="center"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shrinkToFit="0" vertical="center" wrapText="0"/>
    </xf>
    <xf borderId="0" fillId="2" fontId="6" numFmtId="0" xfId="0" applyAlignment="1" applyFont="1">
      <alignment horizontal="center"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2" fillId="9" fontId="4" numFmtId="164" xfId="0" applyAlignment="1" applyBorder="1" applyFont="1" applyNumberFormat="1">
      <alignment shrinkToFit="0" vertical="center" wrapText="0"/>
    </xf>
    <xf borderId="5" fillId="9" fontId="3" numFmtId="0" xfId="0" applyAlignment="1" applyBorder="1" applyFont="1">
      <alignment shrinkToFit="0" vertical="center" wrapText="0"/>
    </xf>
    <xf borderId="5" fillId="9" fontId="2" numFmtId="0" xfId="0" applyAlignment="1" applyBorder="1" applyFont="1">
      <alignment horizontal="center" readingOrder="0" shrinkToFit="0" vertical="center" wrapText="0"/>
    </xf>
    <xf borderId="2" fillId="0" fontId="2" numFmtId="164" xfId="0" applyAlignment="1" applyBorder="1" applyFont="1" applyNumberFormat="1">
      <alignment horizontal="right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0" fillId="9" fontId="7" numFmtId="0" xfId="0" applyAlignment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3">
    <tableStyle count="4" pivot="0" name="1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 J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COPY COP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149" displayName="JULI_1" name="JULI_1" id="1">
  <tableColumns count="38">
    <tableColumn name="No" id="1"/>
    <tableColumn name="Tanggal" id="2"/>
    <tableColumn name="No RM" id="3"/>
    <tableColumn name="Column 4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 JULI-style" showColumnStripes="0" showFirstColumn="1" showLastColumn="1" showRowStripes="1"/>
</table>
</file>

<file path=xl/tables/table2.xml><?xml version="1.0" encoding="utf-8"?>
<table xmlns="http://schemas.openxmlformats.org/spreadsheetml/2006/main" ref="A1:AL228" displayName="JULI_2" name="JULI_2" id="2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2 JULI-style" showColumnStripes="0" showFirstColumn="1" showLastColumn="1" showRowStripes="1"/>
</table>
</file>

<file path=xl/tables/table3.xml><?xml version="1.0" encoding="utf-8"?>
<table xmlns="http://schemas.openxmlformats.org/spreadsheetml/2006/main" ref="A1:AL68" displayName="JULI_3" name="JULI_3" id="4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3 JULI-style" showColumnStripes="0" showFirstColumn="1" showLastColumn="1" showRowStripes="1"/>
</table>
</file>

<file path=xl/tables/table4.xml><?xml version="1.0" encoding="utf-8"?>
<table xmlns="http://schemas.openxmlformats.org/spreadsheetml/2006/main" ref="A1:AL111" displayName="JULI_4" name="JULI_4" id="3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4 JULI-style" showColumnStripes="0" showFirstColumn="1" showLastColumn="1" showRowStripes="1"/>
</table>
</file>

<file path=xl/tables/table5.xml><?xml version="1.0" encoding="utf-8"?>
<table xmlns="http://schemas.openxmlformats.org/spreadsheetml/2006/main" ref="A1:AL6" displayName="JULI_5" name="JULI_5" id="5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5 JULI-style" showColumnStripes="0" showFirstColumn="1" showLastColumn="1" showRowStripes="1"/>
</table>
</file>

<file path=xl/tables/table6.xml><?xml version="1.0" encoding="utf-8"?>
<table xmlns="http://schemas.openxmlformats.org/spreadsheetml/2006/main" ref="A1:AL196" displayName="JULI_6" name="JULI_6" id="6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6 JULI-style" showColumnStripes="0" showFirstColumn="1" showLastColumn="1" showRowStripes="1"/>
</table>
</file>

<file path=xl/tables/table7.xml><?xml version="1.0" encoding="utf-8"?>
<table xmlns="http://schemas.openxmlformats.org/spreadsheetml/2006/main" ref="A1:AL118" displayName="JULI_7" name="JULI_7" id="7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7 JULI-style" showColumnStripes="0" showFirstColumn="1" showLastColumn="1" showRowStripes="1"/>
</table>
</file>

<file path=xl/tables/table8.xml><?xml version="1.0" encoding="utf-8"?>
<table xmlns="http://schemas.openxmlformats.org/spreadsheetml/2006/main" ref="A1:AL156" displayName="JULI_8" name="JULI_8" id="8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8 JULI-style" showColumnStripes="0" showFirstColumn="1" showLastColumn="1" showRowStripes="1"/>
</table>
</file>

<file path=xl/tables/table9.xml><?xml version="1.0" encoding="utf-8"?>
<table xmlns="http://schemas.openxmlformats.org/spreadsheetml/2006/main" ref="A1:AL175" displayName="JULI_9" name="JULI_9" id="9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9 JULI-style" showColumnStripes="0" showFirstColumn="1" showLastColumn="1" showRowStripes="1"/>
</table>
</file>

<file path=xl/tables/table10.xml><?xml version="1.0" encoding="utf-8"?>
<table xmlns="http://schemas.openxmlformats.org/spreadsheetml/2006/main" ref="A1:AL88" displayName="JULI_10" name="JULI_10" id="10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0 JULI-style" showColumnStripes="0" showFirstColumn="1" showLastColumn="1" showRowStripes="1"/>
</table>
</file>

<file path=xl/tables/table11.xml><?xml version="1.0" encoding="utf-8"?>
<table xmlns="http://schemas.openxmlformats.org/spreadsheetml/2006/main" ref="A1:AL82" displayName="JULI_11" name="JULI_11" id="11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1 JULI-style" showColumnStripes="0" showFirstColumn="1" showLastColumn="1" showRowStripes="1"/>
</table>
</file>

<file path=xl/tables/table12.xml><?xml version="1.0" encoding="utf-8"?>
<table xmlns="http://schemas.openxmlformats.org/spreadsheetml/2006/main" ref="A1:AL2" displayName="JULI_12" name="JULI_12" id="12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2 JULI-style" showColumnStripes="0" showFirstColumn="1" showLastColumn="1" showRowStripes="1"/>
</table>
</file>

<file path=xl/tables/table13.xml><?xml version="1.0" encoding="utf-8"?>
<table xmlns="http://schemas.openxmlformats.org/spreadsheetml/2006/main" ref="A1:AL175" displayName="JULI_13" name="JULI_13" id="13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3 JULI-style" showColumnStripes="0" showFirstColumn="1" showLastColumn="1" showRowStripes="1"/>
</table>
</file>

<file path=xl/tables/table14.xml><?xml version="1.0" encoding="utf-8"?>
<table xmlns="http://schemas.openxmlformats.org/spreadsheetml/2006/main" ref="A1:AL271" displayName="JULI_14" name="JULI_14" id="14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4 JULI-style" showColumnStripes="0" showFirstColumn="1" showLastColumn="1" showRowStripes="1"/>
</table>
</file>

<file path=xl/tables/table15.xml><?xml version="1.0" encoding="utf-8"?>
<table xmlns="http://schemas.openxmlformats.org/spreadsheetml/2006/main" ref="A1:AL271" displayName="JULI_15" name="JULI_15" id="15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5 JULI-style" showColumnStripes="0" showFirstColumn="1" showLastColumn="1" showRowStripes="1"/>
</table>
</file>

<file path=xl/tables/table16.xml><?xml version="1.0" encoding="utf-8"?>
<table xmlns="http://schemas.openxmlformats.org/spreadsheetml/2006/main" ref="A1:AL174" displayName="JULI_16" name="JULI_16" id="16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6 JULI-style" showColumnStripes="0" showFirstColumn="1" showLastColumn="1" showRowStripes="1"/>
</table>
</file>

<file path=xl/tables/table17.xml><?xml version="1.0" encoding="utf-8"?>
<table xmlns="http://schemas.openxmlformats.org/spreadsheetml/2006/main" ref="A1:AL69" displayName="JULI_17" name="JULI_17" id="17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7 JULI-style" showColumnStripes="0" showFirstColumn="1" showLastColumn="1" showRowStripes="1"/>
</table>
</file>

<file path=xl/tables/table18.xml><?xml version="1.0" encoding="utf-8"?>
<table xmlns="http://schemas.openxmlformats.org/spreadsheetml/2006/main" ref="A1:AL96" displayName="JULI_18" name="JULI_18" id="18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8 JULI-style" showColumnStripes="0" showFirstColumn="1" showLastColumn="1" showRowStripes="1"/>
</table>
</file>

<file path=xl/tables/table19.xml><?xml version="1.0" encoding="utf-8"?>
<table xmlns="http://schemas.openxmlformats.org/spreadsheetml/2006/main" ref="A1:AL9" displayName="JULI_19" name="JULI_19" id="19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19 JULI-style" showColumnStripes="0" showFirstColumn="1" showLastColumn="1" showRowStripes="1"/>
</table>
</file>

<file path=xl/tables/table20.xml><?xml version="1.0" encoding="utf-8"?>
<table xmlns="http://schemas.openxmlformats.org/spreadsheetml/2006/main" ref="A1:AL184" displayName="JULI_20" name="JULI_20" id="20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20 JULI-style" showColumnStripes="0" showFirstColumn="1" showLastColumn="1" showRowStripes="1"/>
</table>
</file>

<file path=xl/tables/table21.xml><?xml version="1.0" encoding="utf-8"?>
<table xmlns="http://schemas.openxmlformats.org/spreadsheetml/2006/main" ref="A1:AL104" displayName="JULI_21" name="JULI_21" id="21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21 JULI-style" showColumnStripes="0" showFirstColumn="1" showLastColumn="1" showRowStripes="1"/>
</table>
</file>

<file path=xl/tables/table22.xml><?xml version="1.0" encoding="utf-8"?>
<table xmlns="http://schemas.openxmlformats.org/spreadsheetml/2006/main" ref="A1:AL271" displayName="JULI_22" name="JULI_22" id="22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22 JULI-style" showColumnStripes="0" showFirstColumn="1" showLastColumn="1" showRowStripes="1"/>
</table>
</file>

<file path=xl/tables/table23.xml><?xml version="1.0" encoding="utf-8"?>
<table xmlns="http://schemas.openxmlformats.org/spreadsheetml/2006/main" ref="A1:AL271" displayName="JULI" name="JULI" id="23">
  <tableColumns count="38">
    <tableColumn name="No" id="1"/>
    <tableColumn name="Tanggal" id="2"/>
    <tableColumn name="No RM" id="3"/>
    <tableColumn name="Unit" id="4"/>
    <tableColumn name="Dokter" id="5"/>
    <tableColumn name="Ket" id="6"/>
    <tableColumn name="ID Encounter" id="7"/>
    <tableColumn name="ID Condition" id="8"/>
    <tableColumn name="ID Clinical Impression" id="9"/>
    <tableColumn name="ID Observation Tensi" id="10"/>
    <tableColumn name="ID Observation Nadi" id="11"/>
    <tableColumn name="ID Observation RR" id="12"/>
    <tableColumn name="ID Observation Suhu" id="13"/>
    <tableColumn name="ID Observation SPO2" id="14"/>
    <tableColumn name="ID Observation GCS" id="15"/>
    <tableColumn name="ID Observation Tinggi" id="16"/>
    <tableColumn name="ID Observation Berat" id="17"/>
    <tableColumn name="ID Observation Perut" id="18"/>
    <tableColumn name="ID Observation Kesadaran" id="19"/>
    <tableColumn name="ID Procedure" id="20"/>
    <tableColumn name="ID Composition" id="21"/>
    <tableColumn name="ID Vaksin/Imunisasi" id="22"/>
    <tableColumn name="ID Medication Request" id="23"/>
    <tableColumn name="ID Medication Dispense" id="24"/>
    <tableColumn name="ID Medication Statement" id="25"/>
    <tableColumn name="ID Service Request Radiologi" id="26"/>
    <tableColumn name="ID Specimen Radiologi" id="27"/>
    <tableColumn name="ID Observation Radiologi" id="28"/>
    <tableColumn name="ID Diagnostic Report Radiologi" id="29"/>
    <tableColumn name="Image Study" id="30"/>
    <tableColumn name="ID Service Request Lab PK" id="31"/>
    <tableColumn name="ID Specimen Lab PK" id="32"/>
    <tableColumn name="ID Observation Lab PK" id="33"/>
    <tableColumn name="ID Diagnostic Report Lab PK" id="34"/>
    <tableColumn name="ID Care Plan" id="35"/>
    <tableColumn name="ID Allergy" id="36"/>
    <tableColumn name="ID Questionnaire" id="37"/>
    <tableColumn name="TOTAL" id="38"/>
  </tableColumns>
  <tableStyleInfo name="Copy of COPY COP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p.kg/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1.13"/>
    <col customWidth="1" min="5" max="5" width="47.38"/>
    <col customWidth="1" min="6" max="6" width="20.2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6" max="26" width="27.13"/>
    <col customWidth="1" min="37" max="37" width="18.0"/>
    <col customWidth="1" min="38" max="38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46204.0</v>
      </c>
      <c r="C2" s="4">
        <v>60410.0</v>
      </c>
      <c r="D2" s="4" t="s">
        <v>41</v>
      </c>
      <c r="E2" s="4" t="s">
        <v>44</v>
      </c>
      <c r="F2" s="5"/>
      <c r="G2" s="6" t="b">
        <v>1</v>
      </c>
      <c r="H2" s="6" t="b">
        <v>1</v>
      </c>
      <c r="I2" s="6" t="b">
        <v>1</v>
      </c>
      <c r="J2" s="6" t="b">
        <v>0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149" si="1">COUNTIF(G2:AK2, TRUE()) &amp; " dari " &amp; COLUMNS(G2:AK2) &amp; " (" &amp; TEXT(COUNTIF(G2:AK2, TRUE())/COLUMNS(G2:AK2),"0%") &amp; ")"</f>
        <v>14 dari 31 (45%)</v>
      </c>
    </row>
    <row r="3" ht="22.5" customHeight="1">
      <c r="A3" s="10">
        <v>2.0</v>
      </c>
      <c r="B3" s="11"/>
      <c r="C3" s="4">
        <v>44563.0</v>
      </c>
      <c r="D3" s="12" t="s">
        <v>40</v>
      </c>
      <c r="E3" s="12" t="s">
        <v>49</v>
      </c>
      <c r="F3" s="15" t="s">
        <v>50</v>
      </c>
      <c r="G3" s="16" t="b">
        <v>1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6" t="b">
        <v>0</v>
      </c>
      <c r="O3" s="16" t="b">
        <v>0</v>
      </c>
      <c r="P3" s="16" t="b">
        <v>0</v>
      </c>
      <c r="Q3" s="16" t="b">
        <v>0</v>
      </c>
      <c r="R3" s="16" t="b">
        <v>0</v>
      </c>
      <c r="S3" s="16" t="b">
        <v>0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1 dari 31 (3%)</v>
      </c>
    </row>
    <row r="4" ht="22.5" customHeight="1">
      <c r="A4" s="2">
        <v>3.0</v>
      </c>
      <c r="B4" s="18"/>
      <c r="C4" s="4">
        <v>60435.0</v>
      </c>
      <c r="D4" s="4" t="s">
        <v>54</v>
      </c>
      <c r="E4" s="4" t="s">
        <v>55</v>
      </c>
      <c r="F4" s="5"/>
      <c r="G4" s="6" t="b">
        <v>1</v>
      </c>
      <c r="H4" s="6" t="b">
        <v>1</v>
      </c>
      <c r="I4" s="6" t="b">
        <v>0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13 dari 31 (42%)</v>
      </c>
    </row>
    <row r="5" ht="22.5" customHeight="1">
      <c r="A5" s="10">
        <v>4.0</v>
      </c>
      <c r="B5" s="11"/>
      <c r="C5" s="4">
        <v>47141.0</v>
      </c>
      <c r="D5" s="12" t="s">
        <v>39</v>
      </c>
      <c r="E5" s="12" t="s">
        <v>57</v>
      </c>
      <c r="F5" s="13"/>
      <c r="G5" s="16" t="b">
        <v>1</v>
      </c>
      <c r="H5" s="16" t="b">
        <v>1</v>
      </c>
      <c r="I5" s="16" t="b">
        <v>0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14 dari 31 (45%)</v>
      </c>
    </row>
    <row r="6" ht="22.5" customHeight="1">
      <c r="A6" s="2">
        <v>5.0</v>
      </c>
      <c r="B6" s="18"/>
      <c r="C6" s="4">
        <v>60671.0</v>
      </c>
      <c r="D6" s="4" t="s">
        <v>39</v>
      </c>
      <c r="E6" s="4" t="s">
        <v>42</v>
      </c>
      <c r="F6" s="5"/>
      <c r="G6" s="6" t="b">
        <v>1</v>
      </c>
      <c r="H6" s="6" t="b">
        <v>1</v>
      </c>
      <c r="I6" s="6" t="b">
        <v>0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14 dari 31 (45%)</v>
      </c>
    </row>
    <row r="7" ht="22.5" customHeight="1">
      <c r="A7" s="10">
        <v>6.0</v>
      </c>
      <c r="B7" s="11"/>
      <c r="C7" s="19">
        <v>60350.0</v>
      </c>
      <c r="D7" s="12" t="s">
        <v>39</v>
      </c>
      <c r="E7" s="12" t="s">
        <v>42</v>
      </c>
      <c r="F7" s="13"/>
      <c r="G7" s="16" t="b">
        <v>1</v>
      </c>
      <c r="H7" s="16" t="b">
        <v>1</v>
      </c>
      <c r="I7" s="16" t="b">
        <v>1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7" t="str">
        <f t="shared" si="1"/>
        <v>14 dari 31 (45%)</v>
      </c>
    </row>
    <row r="8" ht="22.5" customHeight="1">
      <c r="A8" s="2">
        <v>7.0</v>
      </c>
      <c r="B8" s="18"/>
      <c r="C8" s="19">
        <v>60863.0</v>
      </c>
      <c r="D8" s="4" t="s">
        <v>51</v>
      </c>
      <c r="E8" s="4" t="s">
        <v>61</v>
      </c>
      <c r="F8" s="5"/>
      <c r="G8" s="6" t="b">
        <v>1</v>
      </c>
      <c r="H8" s="6" t="b">
        <v>1</v>
      </c>
      <c r="I8" s="6" t="b">
        <v>0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9" t="str">
        <f t="shared" si="1"/>
        <v>13 dari 31 (42%)</v>
      </c>
    </row>
    <row r="9" ht="22.5" customHeight="1">
      <c r="A9" s="10">
        <v>8.0</v>
      </c>
      <c r="B9" s="11"/>
      <c r="C9" s="19">
        <v>60569.0</v>
      </c>
      <c r="D9" s="12" t="s">
        <v>51</v>
      </c>
      <c r="E9" s="12" t="s">
        <v>61</v>
      </c>
      <c r="F9" s="13"/>
      <c r="G9" s="16" t="b">
        <v>1</v>
      </c>
      <c r="H9" s="16" t="b">
        <v>1</v>
      </c>
      <c r="I9" s="16" t="b">
        <v>1</v>
      </c>
      <c r="J9" s="16" t="b">
        <v>0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1</v>
      </c>
      <c r="AJ9" s="16" t="b">
        <v>0</v>
      </c>
      <c r="AK9" s="16" t="b">
        <v>0</v>
      </c>
      <c r="AL9" s="17" t="str">
        <f t="shared" si="1"/>
        <v>14 dari 31 (45%)</v>
      </c>
    </row>
    <row r="10" ht="22.5" customHeight="1">
      <c r="A10" s="2">
        <v>9.0</v>
      </c>
      <c r="B10" s="18"/>
      <c r="C10" s="4">
        <v>20818.0</v>
      </c>
      <c r="D10" s="4" t="s">
        <v>41</v>
      </c>
      <c r="E10" s="4" t="s">
        <v>48</v>
      </c>
      <c r="F10" s="5"/>
      <c r="G10" s="6" t="b">
        <v>1</v>
      </c>
      <c r="H10" s="6" t="b">
        <v>1</v>
      </c>
      <c r="I10" s="6" t="b">
        <v>1</v>
      </c>
      <c r="J10" s="6" t="b">
        <v>0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1</v>
      </c>
      <c r="AJ10" s="6" t="b">
        <v>0</v>
      </c>
      <c r="AK10" s="6" t="b">
        <v>0</v>
      </c>
      <c r="AL10" s="9" t="str">
        <f t="shared" si="1"/>
        <v>14 dari 31 (45%)</v>
      </c>
    </row>
    <row r="11" ht="22.5" customHeight="1">
      <c r="A11" s="10">
        <v>10.0</v>
      </c>
      <c r="B11" s="11"/>
      <c r="C11" s="4">
        <v>60707.0</v>
      </c>
      <c r="D11" s="12" t="s">
        <v>63</v>
      </c>
      <c r="E11" s="12" t="s">
        <v>64</v>
      </c>
      <c r="F11" s="13"/>
      <c r="G11" s="16" t="b">
        <v>1</v>
      </c>
      <c r="H11" s="16" t="b">
        <v>1</v>
      </c>
      <c r="I11" s="16" t="b">
        <v>1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0</v>
      </c>
      <c r="Q11" s="16" t="b">
        <v>0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13 dari 31 (42%)</v>
      </c>
    </row>
    <row r="12" ht="22.5" customHeight="1">
      <c r="A12" s="2">
        <v>11.0</v>
      </c>
      <c r="B12" s="18"/>
      <c r="C12" s="20">
        <v>60852.0</v>
      </c>
      <c r="D12" s="12" t="s">
        <v>63</v>
      </c>
      <c r="E12" s="12" t="s">
        <v>64</v>
      </c>
      <c r="F12" s="5"/>
      <c r="G12" s="6" t="b">
        <v>1</v>
      </c>
      <c r="H12" s="6" t="b">
        <v>1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1</v>
      </c>
      <c r="AJ12" s="6" t="b">
        <v>0</v>
      </c>
      <c r="AK12" s="6" t="b">
        <v>0</v>
      </c>
      <c r="AL12" s="9" t="str">
        <f t="shared" si="1"/>
        <v>15 dari 31 (48%)</v>
      </c>
    </row>
    <row r="13" ht="22.5" customHeight="1">
      <c r="A13" s="10">
        <v>12.0</v>
      </c>
      <c r="B13" s="11"/>
      <c r="C13" s="20">
        <v>60546.0</v>
      </c>
      <c r="D13" s="12" t="s">
        <v>63</v>
      </c>
      <c r="E13" s="12" t="s">
        <v>64</v>
      </c>
      <c r="F13" s="13"/>
      <c r="G13" s="16" t="b">
        <v>1</v>
      </c>
      <c r="H13" s="16" t="b">
        <v>1</v>
      </c>
      <c r="I13" s="16" t="b">
        <v>1</v>
      </c>
      <c r="J13" s="16" t="b">
        <v>1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1"/>
        <v>15 dari 31 (48%)</v>
      </c>
    </row>
    <row r="14" ht="22.5" customHeight="1">
      <c r="A14" s="2">
        <v>13.0</v>
      </c>
      <c r="B14" s="18"/>
      <c r="C14" s="20">
        <v>60859.0</v>
      </c>
      <c r="D14" s="12" t="s">
        <v>63</v>
      </c>
      <c r="E14" s="12" t="s">
        <v>64</v>
      </c>
      <c r="F14" s="5"/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1</v>
      </c>
      <c r="AJ14" s="6" t="b">
        <v>0</v>
      </c>
      <c r="AK14" s="6" t="b">
        <v>0</v>
      </c>
      <c r="AL14" s="9" t="str">
        <f t="shared" si="1"/>
        <v>15 dari 31 (48%)</v>
      </c>
    </row>
    <row r="15" ht="22.5" customHeight="1">
      <c r="A15" s="10">
        <v>14.0</v>
      </c>
      <c r="B15" s="11"/>
      <c r="C15" s="20">
        <v>54421.0</v>
      </c>
      <c r="D15" s="12" t="s">
        <v>63</v>
      </c>
      <c r="E15" s="12" t="s">
        <v>64</v>
      </c>
      <c r="F15" s="13"/>
      <c r="G15" s="16" t="b">
        <v>1</v>
      </c>
      <c r="H15" s="16" t="b">
        <v>1</v>
      </c>
      <c r="I15" s="16" t="b">
        <v>1</v>
      </c>
      <c r="J15" s="16" t="b">
        <v>1</v>
      </c>
      <c r="K15" s="16" t="b">
        <v>1</v>
      </c>
      <c r="L15" s="16" t="b">
        <v>0</v>
      </c>
      <c r="M15" s="16" t="b">
        <v>1</v>
      </c>
      <c r="N15" s="16" t="b">
        <v>1</v>
      </c>
      <c r="O15" s="16" t="b">
        <v>1</v>
      </c>
      <c r="P15" s="16" t="b">
        <v>0</v>
      </c>
      <c r="Q15" s="16" t="b">
        <v>0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1</v>
      </c>
      <c r="AJ15" s="16" t="b">
        <v>0</v>
      </c>
      <c r="AK15" s="16" t="b">
        <v>0</v>
      </c>
      <c r="AL15" s="17" t="str">
        <f t="shared" si="1"/>
        <v>12 dari 31 (39%)</v>
      </c>
    </row>
    <row r="16" ht="22.5" customHeight="1">
      <c r="A16" s="2">
        <v>15.0</v>
      </c>
      <c r="B16" s="18"/>
      <c r="C16" s="20">
        <v>34562.0</v>
      </c>
      <c r="D16" s="12" t="s">
        <v>63</v>
      </c>
      <c r="E16" s="12" t="s">
        <v>64</v>
      </c>
      <c r="F16" s="5"/>
      <c r="G16" s="6" t="b">
        <v>1</v>
      </c>
      <c r="H16" s="6" t="b">
        <v>1</v>
      </c>
      <c r="I16" s="6" t="b">
        <v>1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1</v>
      </c>
      <c r="AJ16" s="6" t="b">
        <v>0</v>
      </c>
      <c r="AK16" s="6" t="b">
        <v>0</v>
      </c>
      <c r="AL16" s="9" t="str">
        <f t="shared" si="1"/>
        <v>15 dari 31 (48%)</v>
      </c>
    </row>
    <row r="17" ht="22.5" customHeight="1">
      <c r="A17" s="10">
        <v>16.0</v>
      </c>
      <c r="B17" s="11"/>
      <c r="C17" s="19">
        <v>60855.0</v>
      </c>
      <c r="D17" s="12" t="s">
        <v>63</v>
      </c>
      <c r="E17" s="12" t="s">
        <v>64</v>
      </c>
      <c r="F17" s="13"/>
      <c r="G17" s="16" t="b">
        <v>1</v>
      </c>
      <c r="H17" s="16" t="b">
        <v>1</v>
      </c>
      <c r="I17" s="16" t="b">
        <v>1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1</v>
      </c>
      <c r="AJ17" s="16" t="b">
        <v>0</v>
      </c>
      <c r="AK17" s="16" t="b">
        <v>0</v>
      </c>
      <c r="AL17" s="17" t="str">
        <f t="shared" si="1"/>
        <v>15 dari 31 (48%)</v>
      </c>
    </row>
    <row r="18" ht="22.5" customHeight="1">
      <c r="A18" s="2">
        <v>17.0</v>
      </c>
      <c r="B18" s="18"/>
      <c r="C18" s="22">
        <v>57714.0</v>
      </c>
      <c r="D18" s="12" t="s">
        <v>63</v>
      </c>
      <c r="E18" s="12" t="s">
        <v>64</v>
      </c>
      <c r="F18" s="5"/>
      <c r="G18" s="6" t="b">
        <v>1</v>
      </c>
      <c r="H18" s="6" t="b">
        <v>1</v>
      </c>
      <c r="I18" s="6" t="b">
        <v>1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14 dari 31 (45%)</v>
      </c>
    </row>
    <row r="19" ht="22.5" customHeight="1">
      <c r="A19" s="10">
        <v>18.0</v>
      </c>
      <c r="B19" s="11"/>
      <c r="C19" s="22">
        <v>36077.0</v>
      </c>
      <c r="D19" s="12" t="s">
        <v>63</v>
      </c>
      <c r="E19" s="12" t="s">
        <v>64</v>
      </c>
      <c r="F19" s="13"/>
      <c r="G19" s="16" t="b">
        <v>1</v>
      </c>
      <c r="H19" s="16" t="b">
        <v>1</v>
      </c>
      <c r="I19" s="16" t="b">
        <v>1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0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1</v>
      </c>
      <c r="AJ19" s="16" t="b">
        <v>0</v>
      </c>
      <c r="AK19" s="16" t="b">
        <v>0</v>
      </c>
      <c r="AL19" s="17" t="str">
        <f t="shared" si="1"/>
        <v>14 dari 31 (45%)</v>
      </c>
    </row>
    <row r="20" ht="22.5" customHeight="1">
      <c r="A20" s="2">
        <v>19.0</v>
      </c>
      <c r="B20" s="18"/>
      <c r="C20" s="22">
        <v>58742.0</v>
      </c>
      <c r="D20" s="12" t="s">
        <v>63</v>
      </c>
      <c r="E20" s="12" t="s">
        <v>64</v>
      </c>
      <c r="F20" s="5"/>
      <c r="G20" s="6" t="b">
        <v>1</v>
      </c>
      <c r="H20" s="6" t="b">
        <v>1</v>
      </c>
      <c r="I20" s="6" t="b">
        <v>1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1</v>
      </c>
      <c r="AJ20" s="6" t="b">
        <v>0</v>
      </c>
      <c r="AK20" s="6" t="b">
        <v>0</v>
      </c>
      <c r="AL20" s="9" t="str">
        <f t="shared" si="1"/>
        <v>15 dari 31 (48%)</v>
      </c>
    </row>
    <row r="21" ht="22.5" customHeight="1">
      <c r="A21" s="10">
        <v>20.0</v>
      </c>
      <c r="B21" s="11"/>
      <c r="C21" s="22">
        <v>59238.0</v>
      </c>
      <c r="D21" s="12" t="s">
        <v>63</v>
      </c>
      <c r="E21" s="12" t="s">
        <v>64</v>
      </c>
      <c r="F21" s="13"/>
      <c r="G21" s="16" t="b">
        <v>1</v>
      </c>
      <c r="H21" s="16" t="b">
        <v>1</v>
      </c>
      <c r="I21" s="16" t="b">
        <v>1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1</v>
      </c>
      <c r="AJ21" s="16" t="b">
        <v>0</v>
      </c>
      <c r="AK21" s="16" t="b">
        <v>0</v>
      </c>
      <c r="AL21" s="17" t="str">
        <f t="shared" si="1"/>
        <v>15 dari 31 (48%)</v>
      </c>
    </row>
    <row r="22" ht="22.5" customHeight="1">
      <c r="A22" s="2">
        <v>21.0</v>
      </c>
      <c r="B22" s="18"/>
      <c r="C22" s="20">
        <v>55357.0</v>
      </c>
      <c r="D22" s="12" t="s">
        <v>63</v>
      </c>
      <c r="E22" s="12" t="s">
        <v>64</v>
      </c>
      <c r="F22" s="5"/>
      <c r="G22" s="6" t="b">
        <v>1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1</v>
      </c>
      <c r="AJ22" s="6" t="b">
        <v>0</v>
      </c>
      <c r="AK22" s="6" t="b">
        <v>0</v>
      </c>
      <c r="AL22" s="9" t="str">
        <f t="shared" si="1"/>
        <v>15 dari 31 (48%)</v>
      </c>
    </row>
    <row r="23" ht="22.5" customHeight="1">
      <c r="A23" s="10">
        <v>22.0</v>
      </c>
      <c r="B23" s="11"/>
      <c r="C23" s="20">
        <v>55161.0</v>
      </c>
      <c r="D23" s="12" t="s">
        <v>63</v>
      </c>
      <c r="E23" s="12" t="s">
        <v>64</v>
      </c>
      <c r="F23" s="13"/>
      <c r="G23" s="16" t="b">
        <v>1</v>
      </c>
      <c r="H23" s="16" t="b">
        <v>1</v>
      </c>
      <c r="I23" s="16" t="b">
        <v>1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1</v>
      </c>
      <c r="AJ23" s="16" t="b">
        <v>0</v>
      </c>
      <c r="AK23" s="16" t="b">
        <v>0</v>
      </c>
      <c r="AL23" s="17" t="str">
        <f t="shared" si="1"/>
        <v>15 dari 31 (48%)</v>
      </c>
    </row>
    <row r="24" ht="22.5" customHeight="1">
      <c r="A24" s="2">
        <v>23.0</v>
      </c>
      <c r="B24" s="18"/>
      <c r="C24" s="20">
        <v>60694.0</v>
      </c>
      <c r="D24" s="12" t="s">
        <v>54</v>
      </c>
      <c r="E24" s="21" t="s">
        <v>55</v>
      </c>
      <c r="F24" s="13"/>
      <c r="G24" s="6" t="b">
        <v>1</v>
      </c>
      <c r="H24" s="6" t="b">
        <v>1</v>
      </c>
      <c r="I24" s="6" t="b">
        <v>0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13 dari 31 (42%)</v>
      </c>
    </row>
    <row r="25" ht="22.5" customHeight="1">
      <c r="A25" s="10">
        <v>24.0</v>
      </c>
      <c r="B25" s="11"/>
      <c r="C25" s="20">
        <v>56483.0</v>
      </c>
      <c r="D25" s="12" t="s">
        <v>54</v>
      </c>
      <c r="E25" s="21" t="s">
        <v>55</v>
      </c>
      <c r="F25" s="13"/>
      <c r="G25" s="16" t="b">
        <v>1</v>
      </c>
      <c r="H25" s="16" t="b">
        <v>1</v>
      </c>
      <c r="I25" s="16" t="b">
        <v>0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13 dari 31 (42%)</v>
      </c>
    </row>
    <row r="26" ht="22.5" customHeight="1">
      <c r="A26" s="2">
        <v>25.0</v>
      </c>
      <c r="B26" s="18"/>
      <c r="C26" s="20">
        <v>60558.0</v>
      </c>
      <c r="D26" s="12" t="s">
        <v>54</v>
      </c>
      <c r="E26" s="21" t="s">
        <v>55</v>
      </c>
      <c r="F26" s="13"/>
      <c r="G26" s="6" t="b">
        <v>1</v>
      </c>
      <c r="H26" s="6" t="b">
        <v>1</v>
      </c>
      <c r="I26" s="6" t="b">
        <v>0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13 dari 31 (42%)</v>
      </c>
    </row>
    <row r="27" ht="22.5" customHeight="1">
      <c r="A27" s="10">
        <v>26.0</v>
      </c>
      <c r="B27" s="11"/>
      <c r="C27" s="22">
        <v>52820.0</v>
      </c>
      <c r="D27" s="12" t="s">
        <v>54</v>
      </c>
      <c r="E27" s="21" t="s">
        <v>55</v>
      </c>
      <c r="F27" s="13"/>
      <c r="G27" s="16" t="b">
        <v>1</v>
      </c>
      <c r="H27" s="16" t="b">
        <v>1</v>
      </c>
      <c r="I27" s="16" t="b">
        <v>0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13 dari 31 (42%)</v>
      </c>
    </row>
    <row r="28" ht="22.5" customHeight="1">
      <c r="A28" s="30">
        <v>27.0</v>
      </c>
      <c r="B28" s="31"/>
      <c r="C28" s="32">
        <v>52738.0</v>
      </c>
      <c r="D28" s="51" t="s">
        <v>54</v>
      </c>
      <c r="E28" s="52" t="s">
        <v>55</v>
      </c>
      <c r="F28" s="53"/>
      <c r="G28" s="35" t="b">
        <v>0</v>
      </c>
      <c r="H28" s="35" t="b">
        <v>0</v>
      </c>
      <c r="I28" s="35" t="b">
        <v>0</v>
      </c>
      <c r="J28" s="35" t="b">
        <v>0</v>
      </c>
      <c r="K28" s="35" t="b">
        <v>0</v>
      </c>
      <c r="L28" s="35" t="b">
        <v>0</v>
      </c>
      <c r="M28" s="35" t="b">
        <v>0</v>
      </c>
      <c r="N28" s="35" t="b">
        <v>0</v>
      </c>
      <c r="O28" s="35" t="b">
        <v>0</v>
      </c>
      <c r="P28" s="35" t="b">
        <v>0</v>
      </c>
      <c r="Q28" s="35" t="b">
        <v>0</v>
      </c>
      <c r="R28" s="35" t="b">
        <v>0</v>
      </c>
      <c r="S28" s="35" t="b">
        <v>0</v>
      </c>
      <c r="T28" s="35" t="b">
        <v>0</v>
      </c>
      <c r="U28" s="35" t="b">
        <v>0</v>
      </c>
      <c r="V28" s="35" t="b">
        <v>0</v>
      </c>
      <c r="W28" s="35" t="b">
        <v>0</v>
      </c>
      <c r="X28" s="35" t="b">
        <v>0</v>
      </c>
      <c r="Y28" s="35" t="b">
        <v>0</v>
      </c>
      <c r="Z28" s="35" t="b">
        <v>0</v>
      </c>
      <c r="AA28" s="35" t="b">
        <v>0</v>
      </c>
      <c r="AB28" s="35" t="b">
        <v>0</v>
      </c>
      <c r="AC28" s="35" t="b">
        <v>0</v>
      </c>
      <c r="AD28" s="35" t="b">
        <v>0</v>
      </c>
      <c r="AE28" s="35" t="b">
        <v>0</v>
      </c>
      <c r="AF28" s="35" t="b">
        <v>0</v>
      </c>
      <c r="AG28" s="35" t="b">
        <v>0</v>
      </c>
      <c r="AH28" s="35" t="b">
        <v>0</v>
      </c>
      <c r="AI28" s="35" t="b">
        <v>0</v>
      </c>
      <c r="AJ28" s="35" t="b">
        <v>0</v>
      </c>
      <c r="AK28" s="35" t="b">
        <v>0</v>
      </c>
      <c r="AL28" s="38" t="str">
        <f t="shared" si="1"/>
        <v>0 dari 31 (0%)</v>
      </c>
    </row>
    <row r="29" ht="22.5" customHeight="1">
      <c r="A29" s="10">
        <v>28.0</v>
      </c>
      <c r="B29" s="11"/>
      <c r="C29" s="22">
        <v>54660.0</v>
      </c>
      <c r="D29" s="12" t="s">
        <v>54</v>
      </c>
      <c r="E29" s="21" t="s">
        <v>55</v>
      </c>
      <c r="F29" s="13"/>
      <c r="G29" s="16" t="b">
        <v>1</v>
      </c>
      <c r="H29" s="16" t="b">
        <v>1</v>
      </c>
      <c r="I29" s="16" t="b">
        <v>0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13 dari 31 (42%)</v>
      </c>
    </row>
    <row r="30" ht="22.5" customHeight="1">
      <c r="A30" s="2">
        <v>29.0</v>
      </c>
      <c r="B30" s="18"/>
      <c r="C30" s="22">
        <v>59427.0</v>
      </c>
      <c r="D30" s="12" t="s">
        <v>54</v>
      </c>
      <c r="E30" s="21" t="s">
        <v>55</v>
      </c>
      <c r="F30" s="13"/>
      <c r="G30" s="6" t="b">
        <v>1</v>
      </c>
      <c r="H30" s="6" t="b">
        <v>1</v>
      </c>
      <c r="I30" s="6" t="b">
        <v>0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1"/>
        <v>13 dari 31 (42%)</v>
      </c>
    </row>
    <row r="31" ht="22.5" customHeight="1">
      <c r="A31" s="10">
        <v>30.0</v>
      </c>
      <c r="B31" s="11"/>
      <c r="C31" s="22">
        <v>60370.0</v>
      </c>
      <c r="D31" s="12" t="s">
        <v>54</v>
      </c>
      <c r="E31" s="21" t="s">
        <v>55</v>
      </c>
      <c r="F31" s="13"/>
      <c r="G31" s="16" t="b">
        <v>1</v>
      </c>
      <c r="H31" s="16" t="b">
        <v>1</v>
      </c>
      <c r="I31" s="16" t="b">
        <v>0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7" t="str">
        <f t="shared" si="1"/>
        <v>13 dari 31 (42%)</v>
      </c>
    </row>
    <row r="32" ht="22.5" customHeight="1">
      <c r="A32" s="2">
        <v>31.0</v>
      </c>
      <c r="B32" s="18"/>
      <c r="C32" s="20">
        <v>59204.0</v>
      </c>
      <c r="D32" s="12" t="s">
        <v>54</v>
      </c>
      <c r="E32" s="12" t="s">
        <v>76</v>
      </c>
      <c r="F32" s="13"/>
      <c r="G32" s="6" t="b">
        <v>1</v>
      </c>
      <c r="H32" s="6" t="b">
        <v>1</v>
      </c>
      <c r="I32" s="6" t="b">
        <v>0</v>
      </c>
      <c r="J32" s="6" t="b">
        <v>0</v>
      </c>
      <c r="K32" s="6" t="b">
        <v>0</v>
      </c>
      <c r="L32" s="6" t="b">
        <v>0</v>
      </c>
      <c r="M32" s="6" t="b">
        <v>0</v>
      </c>
      <c r="N32" s="6" t="b">
        <v>0</v>
      </c>
      <c r="O32" s="6" t="b">
        <v>0</v>
      </c>
      <c r="P32" s="6" t="b">
        <v>0</v>
      </c>
      <c r="Q32" s="6" t="b">
        <v>0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5 dari 31 (16%)</v>
      </c>
    </row>
    <row r="33" ht="22.5" customHeight="1">
      <c r="A33" s="10">
        <v>32.0</v>
      </c>
      <c r="B33" s="11"/>
      <c r="C33" s="20">
        <v>60016.0</v>
      </c>
      <c r="D33" s="12" t="s">
        <v>54</v>
      </c>
      <c r="E33" s="12" t="s">
        <v>76</v>
      </c>
      <c r="F33" s="13"/>
      <c r="G33" s="16" t="b">
        <v>1</v>
      </c>
      <c r="H33" s="16" t="b">
        <v>1</v>
      </c>
      <c r="I33" s="16" t="b">
        <v>0</v>
      </c>
      <c r="J33" s="16" t="b">
        <v>0</v>
      </c>
      <c r="K33" s="16" t="b">
        <v>0</v>
      </c>
      <c r="L33" s="16" t="b">
        <v>0</v>
      </c>
      <c r="M33" s="16" t="b">
        <v>0</v>
      </c>
      <c r="N33" s="16" t="b">
        <v>0</v>
      </c>
      <c r="O33" s="16" t="b">
        <v>0</v>
      </c>
      <c r="P33" s="16" t="b">
        <v>0</v>
      </c>
      <c r="Q33" s="16" t="b">
        <v>0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6 dari 31 (19%)</v>
      </c>
    </row>
    <row r="34" ht="22.5" customHeight="1">
      <c r="A34" s="2">
        <v>33.0</v>
      </c>
      <c r="B34" s="18"/>
      <c r="C34" s="22">
        <v>52042.0</v>
      </c>
      <c r="D34" s="12" t="s">
        <v>54</v>
      </c>
      <c r="E34" s="12" t="s">
        <v>76</v>
      </c>
      <c r="F34" s="13"/>
      <c r="G34" s="6" t="b">
        <v>1</v>
      </c>
      <c r="H34" s="6" t="b">
        <v>1</v>
      </c>
      <c r="I34" s="6" t="b">
        <v>0</v>
      </c>
      <c r="J34" s="6" t="b">
        <v>0</v>
      </c>
      <c r="K34" s="6" t="b">
        <v>0</v>
      </c>
      <c r="L34" s="6" t="b">
        <v>0</v>
      </c>
      <c r="M34" s="6" t="b">
        <v>0</v>
      </c>
      <c r="N34" s="6" t="b">
        <v>0</v>
      </c>
      <c r="O34" s="6" t="b">
        <v>0</v>
      </c>
      <c r="P34" s="6" t="b">
        <v>0</v>
      </c>
      <c r="Q34" s="6" t="b">
        <v>0</v>
      </c>
      <c r="R34" s="6" t="b">
        <v>1</v>
      </c>
      <c r="S34" s="6" t="b">
        <v>1</v>
      </c>
      <c r="T34" s="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0</v>
      </c>
      <c r="AJ34" s="6" t="b">
        <v>0</v>
      </c>
      <c r="AK34" s="6" t="b">
        <v>0</v>
      </c>
      <c r="AL34" s="9" t="str">
        <f t="shared" si="1"/>
        <v>5 dari 31 (16%)</v>
      </c>
    </row>
    <row r="35" ht="22.5" customHeight="1">
      <c r="A35" s="10">
        <v>34.0</v>
      </c>
      <c r="B35" s="11"/>
      <c r="C35" s="22">
        <v>60051.0</v>
      </c>
      <c r="D35" s="12" t="s">
        <v>54</v>
      </c>
      <c r="E35" s="12" t="s">
        <v>76</v>
      </c>
      <c r="F35" s="13"/>
      <c r="G35" s="16" t="b">
        <v>1</v>
      </c>
      <c r="H35" s="16" t="b">
        <v>1</v>
      </c>
      <c r="I35" s="16" t="b">
        <v>0</v>
      </c>
      <c r="J35" s="16" t="b">
        <v>0</v>
      </c>
      <c r="K35" s="16" t="b">
        <v>0</v>
      </c>
      <c r="L35" s="16" t="b">
        <v>0</v>
      </c>
      <c r="M35" s="16" t="b">
        <v>0</v>
      </c>
      <c r="N35" s="16" t="b">
        <v>0</v>
      </c>
      <c r="O35" s="16" t="b">
        <v>0</v>
      </c>
      <c r="P35" s="16" t="b">
        <v>0</v>
      </c>
      <c r="Q35" s="16" t="b">
        <v>0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7" t="str">
        <f t="shared" si="1"/>
        <v>5 dari 31 (16%)</v>
      </c>
    </row>
    <row r="36" ht="22.5" customHeight="1">
      <c r="A36" s="2">
        <v>35.0</v>
      </c>
      <c r="B36" s="18"/>
      <c r="C36" s="22">
        <v>56256.0</v>
      </c>
      <c r="D36" s="12" t="s">
        <v>54</v>
      </c>
      <c r="E36" s="12" t="s">
        <v>76</v>
      </c>
      <c r="F36" s="13"/>
      <c r="G36" s="6" t="b">
        <v>1</v>
      </c>
      <c r="H36" s="6" t="b">
        <v>1</v>
      </c>
      <c r="I36" s="6" t="b">
        <v>0</v>
      </c>
      <c r="J36" s="6" t="b">
        <v>0</v>
      </c>
      <c r="K36" s="6" t="b">
        <v>0</v>
      </c>
      <c r="L36" s="6" t="b">
        <v>0</v>
      </c>
      <c r="M36" s="6" t="b">
        <v>0</v>
      </c>
      <c r="N36" s="6" t="b">
        <v>0</v>
      </c>
      <c r="O36" s="6" t="b">
        <v>0</v>
      </c>
      <c r="P36" s="6" t="b">
        <v>0</v>
      </c>
      <c r="Q36" s="6" t="b">
        <v>0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0</v>
      </c>
      <c r="AJ36" s="6" t="b">
        <v>0</v>
      </c>
      <c r="AK36" s="6" t="b">
        <v>0</v>
      </c>
      <c r="AL36" s="9" t="str">
        <f t="shared" si="1"/>
        <v>5 dari 31 (16%)</v>
      </c>
    </row>
    <row r="37" ht="22.5" customHeight="1">
      <c r="A37" s="10">
        <v>36.0</v>
      </c>
      <c r="B37" s="11"/>
      <c r="C37" s="22">
        <v>52148.0</v>
      </c>
      <c r="D37" s="12" t="s">
        <v>54</v>
      </c>
      <c r="E37" s="12" t="s">
        <v>76</v>
      </c>
      <c r="F37" s="13"/>
      <c r="G37" s="16" t="b">
        <v>1</v>
      </c>
      <c r="H37" s="16" t="b">
        <v>1</v>
      </c>
      <c r="I37" s="16" t="b">
        <v>0</v>
      </c>
      <c r="J37" s="16" t="b">
        <v>0</v>
      </c>
      <c r="K37" s="16" t="b">
        <v>0</v>
      </c>
      <c r="L37" s="16" t="b">
        <v>0</v>
      </c>
      <c r="M37" s="16" t="b">
        <v>0</v>
      </c>
      <c r="N37" s="16" t="b">
        <v>0</v>
      </c>
      <c r="O37" s="16" t="b">
        <v>0</v>
      </c>
      <c r="P37" s="16" t="b">
        <v>0</v>
      </c>
      <c r="Q37" s="16" t="b">
        <v>0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7" t="str">
        <f t="shared" si="1"/>
        <v>5 dari 31 (16%)</v>
      </c>
    </row>
    <row r="38" ht="22.5" customHeight="1">
      <c r="A38" s="30">
        <v>37.0</v>
      </c>
      <c r="B38" s="31"/>
      <c r="C38" s="32">
        <v>60398.0</v>
      </c>
      <c r="D38" s="51" t="s">
        <v>54</v>
      </c>
      <c r="E38" s="51" t="s">
        <v>82</v>
      </c>
      <c r="F38" s="53"/>
      <c r="G38" s="35" t="b">
        <v>0</v>
      </c>
      <c r="H38" s="35" t="b">
        <v>0</v>
      </c>
      <c r="I38" s="35" t="b">
        <v>0</v>
      </c>
      <c r="J38" s="35" t="b">
        <v>0</v>
      </c>
      <c r="K38" s="35" t="b">
        <v>0</v>
      </c>
      <c r="L38" s="35" t="b">
        <v>0</v>
      </c>
      <c r="M38" s="35" t="b">
        <v>0</v>
      </c>
      <c r="N38" s="35" t="b">
        <v>0</v>
      </c>
      <c r="O38" s="35" t="b">
        <v>0</v>
      </c>
      <c r="P38" s="35" t="b">
        <v>0</v>
      </c>
      <c r="Q38" s="35" t="b">
        <v>0</v>
      </c>
      <c r="R38" s="35" t="b">
        <v>0</v>
      </c>
      <c r="S38" s="35" t="b">
        <v>0</v>
      </c>
      <c r="T38" s="35" t="b">
        <v>0</v>
      </c>
      <c r="U38" s="35" t="b">
        <v>0</v>
      </c>
      <c r="V38" s="35" t="b">
        <v>0</v>
      </c>
      <c r="W38" s="35" t="b">
        <v>0</v>
      </c>
      <c r="X38" s="35" t="b">
        <v>0</v>
      </c>
      <c r="Y38" s="35" t="b">
        <v>0</v>
      </c>
      <c r="Z38" s="35" t="b">
        <v>0</v>
      </c>
      <c r="AA38" s="35" t="b">
        <v>0</v>
      </c>
      <c r="AB38" s="35" t="b">
        <v>0</v>
      </c>
      <c r="AC38" s="35" t="b">
        <v>0</v>
      </c>
      <c r="AD38" s="35" t="b">
        <v>0</v>
      </c>
      <c r="AE38" s="35" t="b">
        <v>0</v>
      </c>
      <c r="AF38" s="35" t="b">
        <v>0</v>
      </c>
      <c r="AG38" s="35" t="b">
        <v>0</v>
      </c>
      <c r="AH38" s="35" t="b">
        <v>0</v>
      </c>
      <c r="AI38" s="35" t="b">
        <v>0</v>
      </c>
      <c r="AJ38" s="35" t="b">
        <v>0</v>
      </c>
      <c r="AK38" s="35" t="b">
        <v>0</v>
      </c>
      <c r="AL38" s="38" t="str">
        <f t="shared" si="1"/>
        <v>0 dari 31 (0%)</v>
      </c>
    </row>
    <row r="39" ht="22.5" customHeight="1">
      <c r="A39" s="10">
        <v>38.0</v>
      </c>
      <c r="B39" s="11"/>
      <c r="C39" s="22">
        <v>57868.0</v>
      </c>
      <c r="D39" s="12" t="s">
        <v>80</v>
      </c>
      <c r="E39" s="12" t="s">
        <v>49</v>
      </c>
      <c r="F39" s="15" t="s">
        <v>50</v>
      </c>
      <c r="G39" s="16" t="b">
        <v>1</v>
      </c>
      <c r="H39" s="16" t="b">
        <v>0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0</v>
      </c>
      <c r="O39" s="16" t="b">
        <v>0</v>
      </c>
      <c r="P39" s="16" t="b">
        <v>0</v>
      </c>
      <c r="Q39" s="16" t="b">
        <v>0</v>
      </c>
      <c r="R39" s="16" t="b">
        <v>0</v>
      </c>
      <c r="S39" s="16" t="b">
        <v>0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1 dari 31 (3%)</v>
      </c>
    </row>
    <row r="40" ht="22.5" customHeight="1">
      <c r="A40" s="2">
        <v>39.0</v>
      </c>
      <c r="B40" s="18"/>
      <c r="C40" s="22">
        <v>60188.0</v>
      </c>
      <c r="D40" s="12" t="s">
        <v>54</v>
      </c>
      <c r="E40" s="12" t="s">
        <v>76</v>
      </c>
      <c r="F40" s="13"/>
      <c r="G40" s="6" t="b">
        <v>1</v>
      </c>
      <c r="H40" s="6" t="b">
        <v>1</v>
      </c>
      <c r="I40" s="6" t="b">
        <v>0</v>
      </c>
      <c r="J40" s="6" t="b">
        <v>0</v>
      </c>
      <c r="K40" s="6" t="b">
        <v>0</v>
      </c>
      <c r="L40" s="6" t="b">
        <v>0</v>
      </c>
      <c r="M40" s="6" t="b">
        <v>0</v>
      </c>
      <c r="N40" s="6" t="b">
        <v>0</v>
      </c>
      <c r="O40" s="6" t="b">
        <v>0</v>
      </c>
      <c r="P40" s="6" t="b">
        <v>0</v>
      </c>
      <c r="Q40" s="6" t="b">
        <v>0</v>
      </c>
      <c r="R40" s="6" t="b">
        <v>1</v>
      </c>
      <c r="S40" s="6" t="b">
        <v>1</v>
      </c>
      <c r="T40" s="6" t="b">
        <v>1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0</v>
      </c>
      <c r="AJ40" s="6" t="b">
        <v>0</v>
      </c>
      <c r="AK40" s="6" t="b">
        <v>0</v>
      </c>
      <c r="AL40" s="9" t="str">
        <f t="shared" si="1"/>
        <v>5 dari 31 (16%)</v>
      </c>
    </row>
    <row r="41" ht="22.5" customHeight="1">
      <c r="A41" s="10">
        <v>40.0</v>
      </c>
      <c r="B41" s="11"/>
      <c r="C41" s="22">
        <v>57877.0</v>
      </c>
      <c r="D41" s="12" t="s">
        <v>80</v>
      </c>
      <c r="E41" s="12" t="s">
        <v>43</v>
      </c>
      <c r="F41" s="13"/>
      <c r="G41" s="16" t="b">
        <v>1</v>
      </c>
      <c r="H41" s="16" t="b">
        <v>1</v>
      </c>
      <c r="I41" s="16" t="b">
        <v>1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15 dari 31 (48%)</v>
      </c>
    </row>
    <row r="42" ht="22.5" customHeight="1">
      <c r="A42" s="30">
        <v>41.0</v>
      </c>
      <c r="B42" s="31"/>
      <c r="C42" s="60">
        <v>58558.0</v>
      </c>
      <c r="D42" s="51" t="s">
        <v>54</v>
      </c>
      <c r="E42" s="60" t="s">
        <v>76</v>
      </c>
      <c r="F42" s="53"/>
      <c r="G42" s="35" t="b">
        <v>0</v>
      </c>
      <c r="H42" s="35" t="b">
        <v>0</v>
      </c>
      <c r="I42" s="35" t="b">
        <v>0</v>
      </c>
      <c r="J42" s="35" t="b">
        <v>0</v>
      </c>
      <c r="K42" s="35" t="b">
        <v>0</v>
      </c>
      <c r="L42" s="35" t="b">
        <v>0</v>
      </c>
      <c r="M42" s="35" t="b">
        <v>0</v>
      </c>
      <c r="N42" s="35" t="b">
        <v>0</v>
      </c>
      <c r="O42" s="35" t="b">
        <v>0</v>
      </c>
      <c r="P42" s="35" t="b">
        <v>0</v>
      </c>
      <c r="Q42" s="35" t="b">
        <v>0</v>
      </c>
      <c r="R42" s="35" t="b">
        <v>0</v>
      </c>
      <c r="S42" s="35" t="b">
        <v>0</v>
      </c>
      <c r="T42" s="35" t="b">
        <v>0</v>
      </c>
      <c r="U42" s="35" t="b">
        <v>0</v>
      </c>
      <c r="V42" s="35" t="b">
        <v>0</v>
      </c>
      <c r="W42" s="35" t="b">
        <v>0</v>
      </c>
      <c r="X42" s="35" t="b">
        <v>0</v>
      </c>
      <c r="Y42" s="35" t="b">
        <v>0</v>
      </c>
      <c r="Z42" s="35" t="b">
        <v>0</v>
      </c>
      <c r="AA42" s="35" t="b">
        <v>0</v>
      </c>
      <c r="AB42" s="35" t="b">
        <v>0</v>
      </c>
      <c r="AC42" s="35" t="b">
        <v>0</v>
      </c>
      <c r="AD42" s="35" t="b">
        <v>0</v>
      </c>
      <c r="AE42" s="35" t="b">
        <v>0</v>
      </c>
      <c r="AF42" s="35" t="b">
        <v>0</v>
      </c>
      <c r="AG42" s="35" t="b">
        <v>0</v>
      </c>
      <c r="AH42" s="35" t="b">
        <v>0</v>
      </c>
      <c r="AI42" s="35" t="b">
        <v>0</v>
      </c>
      <c r="AJ42" s="35" t="b">
        <v>0</v>
      </c>
      <c r="AK42" s="35" t="b">
        <v>0</v>
      </c>
      <c r="AL42" s="38" t="str">
        <f t="shared" si="1"/>
        <v>0 dari 31 (0%)</v>
      </c>
    </row>
    <row r="43" ht="22.5" customHeight="1">
      <c r="A43" s="10">
        <v>42.0</v>
      </c>
      <c r="B43" s="11"/>
      <c r="C43" s="22">
        <v>34933.0</v>
      </c>
      <c r="D43" s="12" t="s">
        <v>80</v>
      </c>
      <c r="E43" s="20" t="s">
        <v>49</v>
      </c>
      <c r="F43" s="15" t="s">
        <v>50</v>
      </c>
      <c r="G43" s="16" t="b">
        <v>1</v>
      </c>
      <c r="H43" s="16" t="b">
        <v>0</v>
      </c>
      <c r="I43" s="16" t="b">
        <v>0</v>
      </c>
      <c r="J43" s="16" t="b">
        <v>0</v>
      </c>
      <c r="K43" s="16" t="b">
        <v>0</v>
      </c>
      <c r="L43" s="16" t="b">
        <v>0</v>
      </c>
      <c r="M43" s="16" t="b">
        <v>0</v>
      </c>
      <c r="N43" s="16" t="b">
        <v>0</v>
      </c>
      <c r="O43" s="16" t="b">
        <v>0</v>
      </c>
      <c r="P43" s="16" t="b">
        <v>0</v>
      </c>
      <c r="Q43" s="16" t="b">
        <v>0</v>
      </c>
      <c r="R43" s="16" t="b">
        <v>0</v>
      </c>
      <c r="S43" s="16" t="b">
        <v>0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1"/>
        <v>1 dari 31 (3%)</v>
      </c>
    </row>
    <row r="44" ht="22.5" customHeight="1">
      <c r="A44" s="2">
        <v>43.0</v>
      </c>
      <c r="B44" s="18"/>
      <c r="C44" s="20">
        <v>60126.0</v>
      </c>
      <c r="D44" s="12" t="s">
        <v>54</v>
      </c>
      <c r="E44" s="20" t="s">
        <v>82</v>
      </c>
      <c r="F44" s="13"/>
      <c r="G44" s="6" t="b">
        <v>1</v>
      </c>
      <c r="H44" s="6" t="b">
        <v>1</v>
      </c>
      <c r="I44" s="6" t="b">
        <v>0</v>
      </c>
      <c r="J44" s="6" t="b">
        <v>0</v>
      </c>
      <c r="K44" s="6" t="b">
        <v>0</v>
      </c>
      <c r="L44" s="6" t="b">
        <v>0</v>
      </c>
      <c r="M44" s="6" t="b">
        <v>0</v>
      </c>
      <c r="N44" s="6" t="b">
        <v>0</v>
      </c>
      <c r="O44" s="6" t="b">
        <v>0</v>
      </c>
      <c r="P44" s="6" t="b">
        <v>0</v>
      </c>
      <c r="Q44" s="6" t="b">
        <v>0</v>
      </c>
      <c r="R44" s="6" t="b">
        <v>1</v>
      </c>
      <c r="S44" s="6" t="b">
        <v>1</v>
      </c>
      <c r="T44" s="6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5 dari 31 (16%)</v>
      </c>
    </row>
    <row r="45" ht="22.5" customHeight="1">
      <c r="A45" s="10">
        <v>44.0</v>
      </c>
      <c r="B45" s="11"/>
      <c r="C45" s="20">
        <v>52788.0</v>
      </c>
      <c r="D45" s="12" t="s">
        <v>56</v>
      </c>
      <c r="E45" s="20" t="s">
        <v>87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15 dari 31 (48%)</v>
      </c>
    </row>
    <row r="46" ht="22.5" customHeight="1">
      <c r="A46" s="2">
        <v>45.0</v>
      </c>
      <c r="B46" s="18"/>
      <c r="C46" s="20">
        <v>59685.0</v>
      </c>
      <c r="D46" s="12" t="s">
        <v>54</v>
      </c>
      <c r="E46" s="20" t="s">
        <v>82</v>
      </c>
      <c r="F46" s="13"/>
      <c r="G46" s="6" t="b">
        <v>1</v>
      </c>
      <c r="H46" s="6" t="b">
        <v>1</v>
      </c>
      <c r="I46" s="6" t="b">
        <v>0</v>
      </c>
      <c r="J46" s="6" t="b">
        <v>0</v>
      </c>
      <c r="K46" s="6" t="b">
        <v>0</v>
      </c>
      <c r="L46" s="6" t="b">
        <v>0</v>
      </c>
      <c r="M46" s="6" t="b">
        <v>0</v>
      </c>
      <c r="N46" s="6" t="b">
        <v>0</v>
      </c>
      <c r="O46" s="6" t="b">
        <v>0</v>
      </c>
      <c r="P46" s="6" t="b">
        <v>0</v>
      </c>
      <c r="Q46" s="6" t="b">
        <v>0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1"/>
        <v>5 dari 31 (16%)</v>
      </c>
    </row>
    <row r="47" ht="22.5" customHeight="1">
      <c r="A47" s="10">
        <v>46.0</v>
      </c>
      <c r="B47" s="11"/>
      <c r="C47" s="22">
        <v>58469.0</v>
      </c>
      <c r="D47" s="12" t="s">
        <v>56</v>
      </c>
      <c r="E47" s="20" t="s">
        <v>88</v>
      </c>
      <c r="F47" s="13"/>
      <c r="G47" s="16" t="b">
        <v>1</v>
      </c>
      <c r="H47" s="16" t="b">
        <v>1</v>
      </c>
      <c r="I47" s="16" t="b">
        <v>1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1</v>
      </c>
      <c r="S47" s="16" t="b">
        <v>1</v>
      </c>
      <c r="T47" s="16" t="b">
        <v>1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15 dari 31 (48%)</v>
      </c>
    </row>
    <row r="48" ht="22.5" customHeight="1">
      <c r="A48" s="10">
        <v>47.0</v>
      </c>
      <c r="B48" s="18"/>
      <c r="C48" s="22">
        <v>59492.0</v>
      </c>
      <c r="D48" s="12" t="s">
        <v>68</v>
      </c>
      <c r="E48" s="20" t="s">
        <v>69</v>
      </c>
      <c r="F48" s="13"/>
      <c r="G48" s="6" t="b">
        <v>1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1</v>
      </c>
      <c r="AJ48" s="6" t="b">
        <v>0</v>
      </c>
      <c r="AK48" s="6" t="b">
        <v>0</v>
      </c>
      <c r="AL48" s="9" t="str">
        <f t="shared" si="1"/>
        <v>15 dari 31 (48%)</v>
      </c>
    </row>
    <row r="49" ht="22.5" customHeight="1">
      <c r="A49" s="2">
        <v>48.0</v>
      </c>
      <c r="B49" s="11"/>
      <c r="C49" s="22">
        <v>61007.0</v>
      </c>
      <c r="D49" s="12" t="s">
        <v>89</v>
      </c>
      <c r="E49" s="20" t="s">
        <v>90</v>
      </c>
      <c r="F49" s="15" t="s">
        <v>50</v>
      </c>
      <c r="G49" s="16" t="b">
        <v>1</v>
      </c>
      <c r="H49" s="16" t="b">
        <v>0</v>
      </c>
      <c r="I49" s="16" t="b">
        <v>0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12 dari 31 (39%)</v>
      </c>
    </row>
    <row r="50" ht="22.5" customHeight="1">
      <c r="A50" s="10">
        <v>49.0</v>
      </c>
      <c r="B50" s="11"/>
      <c r="C50" s="22">
        <v>60854.0</v>
      </c>
      <c r="D50" s="12" t="s">
        <v>54</v>
      </c>
      <c r="E50" s="20" t="s">
        <v>55</v>
      </c>
      <c r="F50" s="13"/>
      <c r="G50" s="6" t="b">
        <v>1</v>
      </c>
      <c r="H50" s="6" t="b">
        <v>1</v>
      </c>
      <c r="I50" s="6" t="b">
        <v>0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1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0</v>
      </c>
      <c r="AJ50" s="6" t="b">
        <v>0</v>
      </c>
      <c r="AK50" s="6" t="b">
        <v>0</v>
      </c>
      <c r="AL50" s="9" t="str">
        <f t="shared" si="1"/>
        <v>13 dari 31 (42%)</v>
      </c>
    </row>
    <row r="51" ht="22.5" customHeight="1">
      <c r="A51" s="10">
        <v>50.0</v>
      </c>
      <c r="B51" s="11"/>
      <c r="C51" s="22">
        <v>60832.0</v>
      </c>
      <c r="D51" s="12" t="s">
        <v>54</v>
      </c>
      <c r="E51" s="20" t="s">
        <v>55</v>
      </c>
      <c r="F51" s="13"/>
      <c r="G51" s="6" t="b">
        <v>1</v>
      </c>
      <c r="H51" s="6" t="b">
        <v>1</v>
      </c>
      <c r="I51" s="6" t="b">
        <v>0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1</v>
      </c>
      <c r="AA51" s="6" t="b">
        <v>1</v>
      </c>
      <c r="AB51" s="6" t="b">
        <v>1</v>
      </c>
      <c r="AC51" s="6" t="b">
        <v>1</v>
      </c>
      <c r="AD51" s="6" t="b">
        <v>1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18 dari 31 (58%)</v>
      </c>
    </row>
    <row r="52" ht="22.5" customHeight="1">
      <c r="A52" s="2">
        <v>51.0</v>
      </c>
      <c r="B52" s="11"/>
      <c r="C52" s="22">
        <v>58418.0</v>
      </c>
      <c r="D52" s="12" t="s">
        <v>56</v>
      </c>
      <c r="E52" s="12" t="s">
        <v>87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15 dari 31 (48%)</v>
      </c>
    </row>
    <row r="53" ht="22.5" customHeight="1">
      <c r="A53" s="61">
        <v>52.0</v>
      </c>
      <c r="B53" s="62"/>
      <c r="C53" s="32">
        <v>59327.0</v>
      </c>
      <c r="D53" s="51" t="s">
        <v>56</v>
      </c>
      <c r="E53" s="51" t="s">
        <v>88</v>
      </c>
      <c r="F53" s="53"/>
      <c r="G53" s="35" t="b">
        <v>0</v>
      </c>
      <c r="H53" s="35" t="b">
        <v>0</v>
      </c>
      <c r="I53" s="35" t="b">
        <v>0</v>
      </c>
      <c r="J53" s="35" t="b">
        <v>0</v>
      </c>
      <c r="K53" s="35" t="b">
        <v>0</v>
      </c>
      <c r="L53" s="35" t="b">
        <v>0</v>
      </c>
      <c r="M53" s="35" t="b">
        <v>0</v>
      </c>
      <c r="N53" s="35" t="b">
        <v>0</v>
      </c>
      <c r="O53" s="35" t="b">
        <v>0</v>
      </c>
      <c r="P53" s="35" t="b">
        <v>0</v>
      </c>
      <c r="Q53" s="35" t="b">
        <v>0</v>
      </c>
      <c r="R53" s="35" t="b">
        <v>0</v>
      </c>
      <c r="S53" s="35" t="b">
        <v>0</v>
      </c>
      <c r="T53" s="35" t="b">
        <v>0</v>
      </c>
      <c r="U53" s="35" t="b">
        <v>0</v>
      </c>
      <c r="V53" s="35" t="b">
        <v>0</v>
      </c>
      <c r="W53" s="35" t="b">
        <v>0</v>
      </c>
      <c r="X53" s="35" t="b">
        <v>0</v>
      </c>
      <c r="Y53" s="35" t="b">
        <v>0</v>
      </c>
      <c r="Z53" s="35" t="b">
        <v>0</v>
      </c>
      <c r="AA53" s="35" t="b">
        <v>0</v>
      </c>
      <c r="AB53" s="35" t="b">
        <v>0</v>
      </c>
      <c r="AC53" s="35" t="b">
        <v>0</v>
      </c>
      <c r="AD53" s="35" t="b">
        <v>0</v>
      </c>
      <c r="AE53" s="35" t="b">
        <v>0</v>
      </c>
      <c r="AF53" s="35" t="b">
        <v>0</v>
      </c>
      <c r="AG53" s="35" t="b">
        <v>0</v>
      </c>
      <c r="AH53" s="35" t="b">
        <v>0</v>
      </c>
      <c r="AI53" s="35" t="b">
        <v>0</v>
      </c>
      <c r="AJ53" s="35" t="b">
        <v>0</v>
      </c>
      <c r="AK53" s="35" t="b">
        <v>0</v>
      </c>
      <c r="AL53" s="38" t="str">
        <f t="shared" si="1"/>
        <v>0 dari 31 (0%)</v>
      </c>
    </row>
    <row r="54" ht="22.5" customHeight="1">
      <c r="A54" s="10">
        <v>53.0</v>
      </c>
      <c r="B54" s="11"/>
      <c r="C54" s="20">
        <v>56868.0</v>
      </c>
      <c r="D54" s="12" t="s">
        <v>80</v>
      </c>
      <c r="E54" s="12" t="s">
        <v>49</v>
      </c>
      <c r="F54" s="67" t="s">
        <v>50</v>
      </c>
      <c r="G54" s="6" t="b">
        <v>1</v>
      </c>
      <c r="H54" s="6" t="b">
        <v>0</v>
      </c>
      <c r="I54" s="6" t="b">
        <v>0</v>
      </c>
      <c r="J54" s="6" t="b">
        <v>0</v>
      </c>
      <c r="K54" s="6" t="b">
        <v>0</v>
      </c>
      <c r="L54" s="6" t="b">
        <v>0</v>
      </c>
      <c r="M54" s="6" t="b">
        <v>0</v>
      </c>
      <c r="N54" s="6" t="b">
        <v>0</v>
      </c>
      <c r="O54" s="6" t="b">
        <v>0</v>
      </c>
      <c r="P54" s="6" t="b">
        <v>0</v>
      </c>
      <c r="Q54" s="6" t="b">
        <v>0</v>
      </c>
      <c r="R54" s="6" t="b">
        <v>0</v>
      </c>
      <c r="S54" s="6" t="b">
        <v>0</v>
      </c>
      <c r="T54" s="6" t="b">
        <v>0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0</v>
      </c>
      <c r="AJ54" s="6" t="b">
        <v>0</v>
      </c>
      <c r="AK54" s="6" t="b">
        <v>0</v>
      </c>
      <c r="AL54" s="17" t="str">
        <f t="shared" si="1"/>
        <v>1 dari 31 (3%)</v>
      </c>
    </row>
    <row r="55" ht="22.5" customHeight="1">
      <c r="A55" s="30">
        <v>54.0</v>
      </c>
      <c r="B55" s="62"/>
      <c r="C55" s="60">
        <v>55787.0</v>
      </c>
      <c r="D55" s="51" t="s">
        <v>80</v>
      </c>
      <c r="E55" s="51" t="s">
        <v>43</v>
      </c>
      <c r="F55" s="53"/>
      <c r="G55" s="35" t="b">
        <v>0</v>
      </c>
      <c r="H55" s="35" t="b">
        <v>0</v>
      </c>
      <c r="I55" s="35" t="b">
        <v>0</v>
      </c>
      <c r="J55" s="35" t="b">
        <v>0</v>
      </c>
      <c r="K55" s="35" t="b">
        <v>0</v>
      </c>
      <c r="L55" s="35" t="b">
        <v>0</v>
      </c>
      <c r="M55" s="35" t="b">
        <v>0</v>
      </c>
      <c r="N55" s="35" t="b">
        <v>0</v>
      </c>
      <c r="O55" s="35" t="b">
        <v>0</v>
      </c>
      <c r="P55" s="35" t="b">
        <v>0</v>
      </c>
      <c r="Q55" s="35" t="b">
        <v>0</v>
      </c>
      <c r="R55" s="35" t="b">
        <v>0</v>
      </c>
      <c r="S55" s="35" t="b">
        <v>0</v>
      </c>
      <c r="T55" s="35" t="b">
        <v>0</v>
      </c>
      <c r="U55" s="35" t="b">
        <v>0</v>
      </c>
      <c r="V55" s="35" t="b">
        <v>0</v>
      </c>
      <c r="W55" s="35" t="b">
        <v>0</v>
      </c>
      <c r="X55" s="35" t="b">
        <v>0</v>
      </c>
      <c r="Y55" s="35" t="b">
        <v>0</v>
      </c>
      <c r="Z55" s="35" t="b">
        <v>0</v>
      </c>
      <c r="AA55" s="35" t="b">
        <v>0</v>
      </c>
      <c r="AB55" s="35" t="b">
        <v>0</v>
      </c>
      <c r="AC55" s="35" t="b">
        <v>0</v>
      </c>
      <c r="AD55" s="35" t="b">
        <v>0</v>
      </c>
      <c r="AE55" s="35" t="b">
        <v>0</v>
      </c>
      <c r="AF55" s="35" t="b">
        <v>0</v>
      </c>
      <c r="AG55" s="35" t="b">
        <v>0</v>
      </c>
      <c r="AH55" s="35" t="b">
        <v>0</v>
      </c>
      <c r="AI55" s="35" t="b">
        <v>0</v>
      </c>
      <c r="AJ55" s="35" t="b">
        <v>0</v>
      </c>
      <c r="AK55" s="35" t="b">
        <v>0</v>
      </c>
      <c r="AL55" s="38" t="str">
        <f t="shared" si="1"/>
        <v>0 dari 31 (0%)</v>
      </c>
    </row>
    <row r="56" ht="22.5" customHeight="1">
      <c r="A56" s="10">
        <v>55.0</v>
      </c>
      <c r="B56" s="11"/>
      <c r="C56" s="20">
        <v>58116.0</v>
      </c>
      <c r="D56" s="12" t="s">
        <v>80</v>
      </c>
      <c r="E56" s="12" t="s">
        <v>91</v>
      </c>
      <c r="F56" s="67" t="s">
        <v>50</v>
      </c>
      <c r="G56" s="6" t="b">
        <v>1</v>
      </c>
      <c r="H56" s="6" t="b">
        <v>0</v>
      </c>
      <c r="I56" s="6" t="b">
        <v>0</v>
      </c>
      <c r="J56" s="6" t="b">
        <v>0</v>
      </c>
      <c r="K56" s="6" t="b">
        <v>0</v>
      </c>
      <c r="L56" s="6" t="b">
        <v>0</v>
      </c>
      <c r="M56" s="6" t="b">
        <v>0</v>
      </c>
      <c r="N56" s="6" t="b">
        <v>0</v>
      </c>
      <c r="O56" s="6" t="b">
        <v>0</v>
      </c>
      <c r="P56" s="6" t="b">
        <v>0</v>
      </c>
      <c r="Q56" s="6" t="b">
        <v>0</v>
      </c>
      <c r="R56" s="6" t="b">
        <v>0</v>
      </c>
      <c r="S56" s="6" t="b">
        <v>0</v>
      </c>
      <c r="T56" s="6" t="b">
        <v>0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0</v>
      </c>
      <c r="AJ56" s="6" t="b">
        <v>0</v>
      </c>
      <c r="AK56" s="6" t="b">
        <v>0</v>
      </c>
      <c r="AL56" s="9" t="str">
        <f t="shared" si="1"/>
        <v>1 dari 31 (3%)</v>
      </c>
    </row>
    <row r="57" ht="22.5" customHeight="1">
      <c r="A57" s="10">
        <v>56.0</v>
      </c>
      <c r="B57" s="11"/>
      <c r="C57" s="22">
        <v>57868.0</v>
      </c>
      <c r="D57" s="12" t="s">
        <v>80</v>
      </c>
      <c r="E57" s="12" t="s">
        <v>49</v>
      </c>
      <c r="F57" s="67" t="s">
        <v>50</v>
      </c>
      <c r="G57" s="6" t="b">
        <v>1</v>
      </c>
      <c r="H57" s="6" t="b">
        <v>0</v>
      </c>
      <c r="I57" s="6" t="b">
        <v>0</v>
      </c>
      <c r="J57" s="6" t="b">
        <v>0</v>
      </c>
      <c r="K57" s="6" t="b">
        <v>0</v>
      </c>
      <c r="L57" s="6" t="b">
        <v>0</v>
      </c>
      <c r="M57" s="6" t="b">
        <v>0</v>
      </c>
      <c r="N57" s="6" t="b">
        <v>0</v>
      </c>
      <c r="O57" s="6" t="b">
        <v>0</v>
      </c>
      <c r="P57" s="6" t="b">
        <v>0</v>
      </c>
      <c r="Q57" s="6" t="b">
        <v>0</v>
      </c>
      <c r="R57" s="6" t="b">
        <v>0</v>
      </c>
      <c r="S57" s="6" t="b">
        <v>0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1 dari 31 (3%)</v>
      </c>
    </row>
    <row r="58" ht="22.5" customHeight="1">
      <c r="A58" s="2">
        <v>57.0</v>
      </c>
      <c r="B58" s="11"/>
      <c r="C58" s="22">
        <v>52070.0</v>
      </c>
      <c r="D58" s="12" t="s">
        <v>80</v>
      </c>
      <c r="E58" s="12" t="s">
        <v>91</v>
      </c>
      <c r="F58" s="67" t="s">
        <v>50</v>
      </c>
      <c r="G58" s="6" t="b">
        <v>1</v>
      </c>
      <c r="H58" s="6" t="b">
        <v>0</v>
      </c>
      <c r="I58" s="6" t="b">
        <v>0</v>
      </c>
      <c r="J58" s="6" t="b">
        <v>0</v>
      </c>
      <c r="K58" s="6" t="b">
        <v>0</v>
      </c>
      <c r="L58" s="6" t="b">
        <v>0</v>
      </c>
      <c r="M58" s="6" t="b">
        <v>0</v>
      </c>
      <c r="N58" s="6" t="b">
        <v>0</v>
      </c>
      <c r="O58" s="6" t="b">
        <v>0</v>
      </c>
      <c r="P58" s="6" t="b">
        <v>0</v>
      </c>
      <c r="Q58" s="6" t="b">
        <v>0</v>
      </c>
      <c r="R58" s="6" t="b">
        <v>0</v>
      </c>
      <c r="S58" s="6" t="b">
        <v>0</v>
      </c>
      <c r="T58" s="6" t="b">
        <v>0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1 dari 31 (3%)</v>
      </c>
    </row>
    <row r="59" ht="22.5" customHeight="1">
      <c r="A59" s="10">
        <v>58.0</v>
      </c>
      <c r="B59" s="11"/>
      <c r="C59" s="22">
        <v>58723.0</v>
      </c>
      <c r="D59" s="12" t="s">
        <v>80</v>
      </c>
      <c r="E59" s="12" t="s">
        <v>43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1</v>
      </c>
      <c r="AJ59" s="6" t="b">
        <v>0</v>
      </c>
      <c r="AK59" s="6" t="b">
        <v>0</v>
      </c>
      <c r="AL59" s="9" t="str">
        <f t="shared" si="1"/>
        <v>15 dari 31 (48%)</v>
      </c>
    </row>
    <row r="60" ht="22.5" customHeight="1">
      <c r="A60" s="10">
        <v>59.0</v>
      </c>
      <c r="B60" s="11"/>
      <c r="C60" s="22">
        <v>36565.0</v>
      </c>
      <c r="D60" s="12" t="s">
        <v>80</v>
      </c>
      <c r="E60" s="12" t="s">
        <v>49</v>
      </c>
      <c r="F60" s="67" t="s">
        <v>50</v>
      </c>
      <c r="G60" s="6" t="b">
        <v>1</v>
      </c>
      <c r="H60" s="6" t="b">
        <v>0</v>
      </c>
      <c r="I60" s="6" t="b">
        <v>0</v>
      </c>
      <c r="J60" s="6" t="b">
        <v>0</v>
      </c>
      <c r="K60" s="6" t="b">
        <v>0</v>
      </c>
      <c r="L60" s="6" t="b">
        <v>0</v>
      </c>
      <c r="M60" s="6" t="b">
        <v>0</v>
      </c>
      <c r="N60" s="6" t="b">
        <v>0</v>
      </c>
      <c r="O60" s="6" t="b">
        <v>0</v>
      </c>
      <c r="P60" s="6" t="b">
        <v>0</v>
      </c>
      <c r="Q60" s="6" t="b">
        <v>0</v>
      </c>
      <c r="R60" s="6" t="b">
        <v>0</v>
      </c>
      <c r="S60" s="6" t="b">
        <v>0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1 dari 31 (3%)</v>
      </c>
    </row>
    <row r="61" ht="22.5" customHeight="1">
      <c r="A61" s="2">
        <v>60.0</v>
      </c>
      <c r="B61" s="11"/>
      <c r="C61" s="22">
        <v>56565.0</v>
      </c>
      <c r="D61" s="12" t="s">
        <v>53</v>
      </c>
      <c r="E61" s="12" t="s">
        <v>44</v>
      </c>
      <c r="F61" s="13"/>
      <c r="G61" s="6" t="b">
        <v>1</v>
      </c>
      <c r="H61" s="6" t="b">
        <v>1</v>
      </c>
      <c r="I61" s="6" t="b">
        <v>1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1</v>
      </c>
      <c r="AJ61" s="6" t="b">
        <v>0</v>
      </c>
      <c r="AK61" s="6" t="b">
        <v>0</v>
      </c>
      <c r="AL61" s="9" t="str">
        <f t="shared" si="1"/>
        <v>15 dari 31 (48%)</v>
      </c>
    </row>
    <row r="62" ht="22.5" customHeight="1">
      <c r="A62" s="68">
        <v>61.0</v>
      </c>
      <c r="B62" s="69"/>
      <c r="C62" s="65">
        <v>58297.0</v>
      </c>
      <c r="D62" s="56" t="s">
        <v>53</v>
      </c>
      <c r="E62" s="56" t="s">
        <v>44</v>
      </c>
      <c r="F62" s="57"/>
      <c r="G62" s="58" t="b">
        <v>1</v>
      </c>
      <c r="H62" s="58" t="b">
        <v>1</v>
      </c>
      <c r="I62" s="58" t="b">
        <v>1</v>
      </c>
      <c r="J62" s="58" t="b">
        <v>1</v>
      </c>
      <c r="K62" s="58" t="b">
        <v>1</v>
      </c>
      <c r="L62" s="58" t="b">
        <v>1</v>
      </c>
      <c r="M62" s="58" t="b">
        <v>1</v>
      </c>
      <c r="N62" s="58" t="b">
        <v>1</v>
      </c>
      <c r="O62" s="58" t="b">
        <v>1</v>
      </c>
      <c r="P62" s="58" t="b">
        <v>1</v>
      </c>
      <c r="Q62" s="58" t="b">
        <v>1</v>
      </c>
      <c r="R62" s="58" t="b">
        <v>1</v>
      </c>
      <c r="S62" s="58" t="b">
        <v>1</v>
      </c>
      <c r="T62" s="58" t="b">
        <v>1</v>
      </c>
      <c r="U62" s="58" t="b">
        <v>0</v>
      </c>
      <c r="V62" s="58" t="b">
        <v>0</v>
      </c>
      <c r="W62" s="58" t="b">
        <v>0</v>
      </c>
      <c r="X62" s="58" t="b">
        <v>0</v>
      </c>
      <c r="Y62" s="58" t="b">
        <v>0</v>
      </c>
      <c r="Z62" s="58" t="b">
        <v>0</v>
      </c>
      <c r="AA62" s="58" t="b">
        <v>0</v>
      </c>
      <c r="AB62" s="58" t="b">
        <v>0</v>
      </c>
      <c r="AC62" s="58" t="b">
        <v>0</v>
      </c>
      <c r="AD62" s="58" t="b">
        <v>0</v>
      </c>
      <c r="AE62" s="58" t="b">
        <v>0</v>
      </c>
      <c r="AF62" s="58" t="b">
        <v>0</v>
      </c>
      <c r="AG62" s="58" t="b">
        <v>0</v>
      </c>
      <c r="AH62" s="58" t="b">
        <v>0</v>
      </c>
      <c r="AI62" s="58" t="b">
        <v>1</v>
      </c>
      <c r="AJ62" s="58" t="b">
        <v>0</v>
      </c>
      <c r="AK62" s="58" t="b">
        <v>0</v>
      </c>
      <c r="AL62" s="59" t="str">
        <f t="shared" si="1"/>
        <v>15 dari 31 (48%)</v>
      </c>
    </row>
    <row r="63" ht="22.5" customHeight="1">
      <c r="A63" s="10">
        <v>62.0</v>
      </c>
      <c r="B63" s="11"/>
      <c r="C63" s="22">
        <v>57766.0</v>
      </c>
      <c r="D63" s="12" t="s">
        <v>74</v>
      </c>
      <c r="E63" s="12" t="s">
        <v>96</v>
      </c>
      <c r="F63" s="13"/>
      <c r="G63" s="6" t="b">
        <v>1</v>
      </c>
      <c r="H63" s="6" t="b">
        <v>1</v>
      </c>
      <c r="I63" s="6" t="b">
        <v>0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13 dari 31 (42%)</v>
      </c>
    </row>
    <row r="64" ht="22.5" customHeight="1">
      <c r="A64" s="2">
        <v>63.0</v>
      </c>
      <c r="B64" s="11"/>
      <c r="C64" s="22">
        <v>57822.0</v>
      </c>
      <c r="D64" s="12" t="s">
        <v>68</v>
      </c>
      <c r="E64" s="12" t="s">
        <v>69</v>
      </c>
      <c r="F64" s="13"/>
      <c r="G64" s="6" t="b">
        <v>1</v>
      </c>
      <c r="H64" s="6" t="b">
        <v>1</v>
      </c>
      <c r="I64" s="6" t="b">
        <v>0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1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1</v>
      </c>
      <c r="AJ64" s="6" t="b">
        <v>0</v>
      </c>
      <c r="AK64" s="6" t="b">
        <v>0</v>
      </c>
      <c r="AL64" s="9" t="str">
        <f t="shared" si="1"/>
        <v>14 dari 31 (45%)</v>
      </c>
    </row>
    <row r="65" ht="22.5" customHeight="1">
      <c r="A65" s="61">
        <v>64.0</v>
      </c>
      <c r="B65" s="62"/>
      <c r="C65" s="32">
        <v>60270.0</v>
      </c>
      <c r="D65" s="51" t="s">
        <v>40</v>
      </c>
      <c r="E65" s="51" t="s">
        <v>49</v>
      </c>
      <c r="F65" s="53"/>
      <c r="G65" s="35" t="b">
        <v>0</v>
      </c>
      <c r="H65" s="35" t="b">
        <v>0</v>
      </c>
      <c r="I65" s="35" t="b">
        <v>0</v>
      </c>
      <c r="J65" s="35" t="b">
        <v>0</v>
      </c>
      <c r="K65" s="35" t="b">
        <v>0</v>
      </c>
      <c r="L65" s="35" t="b">
        <v>0</v>
      </c>
      <c r="M65" s="35" t="b">
        <v>0</v>
      </c>
      <c r="N65" s="35" t="b">
        <v>0</v>
      </c>
      <c r="O65" s="35" t="b">
        <v>0</v>
      </c>
      <c r="P65" s="35" t="b">
        <v>0</v>
      </c>
      <c r="Q65" s="35" t="b">
        <v>0</v>
      </c>
      <c r="R65" s="35" t="b">
        <v>0</v>
      </c>
      <c r="S65" s="35" t="b">
        <v>0</v>
      </c>
      <c r="T65" s="35" t="b">
        <v>0</v>
      </c>
      <c r="U65" s="35" t="b">
        <v>0</v>
      </c>
      <c r="V65" s="35" t="b">
        <v>0</v>
      </c>
      <c r="W65" s="35" t="b">
        <v>0</v>
      </c>
      <c r="X65" s="35" t="b">
        <v>0</v>
      </c>
      <c r="Y65" s="35" t="b">
        <v>0</v>
      </c>
      <c r="Z65" s="35" t="b">
        <v>0</v>
      </c>
      <c r="AA65" s="35" t="b">
        <v>0</v>
      </c>
      <c r="AB65" s="35" t="b">
        <v>0</v>
      </c>
      <c r="AC65" s="35" t="b">
        <v>0</v>
      </c>
      <c r="AD65" s="35" t="b">
        <v>0</v>
      </c>
      <c r="AE65" s="35" t="b">
        <v>0</v>
      </c>
      <c r="AF65" s="35" t="b">
        <v>0</v>
      </c>
      <c r="AG65" s="35" t="b">
        <v>0</v>
      </c>
      <c r="AH65" s="35" t="b">
        <v>0</v>
      </c>
      <c r="AI65" s="35" t="b">
        <v>0</v>
      </c>
      <c r="AJ65" s="35" t="b">
        <v>0</v>
      </c>
      <c r="AK65" s="35" t="b">
        <v>0</v>
      </c>
      <c r="AL65" s="38" t="str">
        <f t="shared" si="1"/>
        <v>0 dari 31 (0%)</v>
      </c>
    </row>
    <row r="66" ht="22.5" customHeight="1">
      <c r="A66" s="10">
        <v>65.0</v>
      </c>
      <c r="B66" s="11"/>
      <c r="C66" s="22">
        <v>52614.0</v>
      </c>
      <c r="D66" s="12" t="s">
        <v>101</v>
      </c>
      <c r="E66" s="12" t="s">
        <v>102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1</v>
      </c>
      <c r="X66" s="6" t="b">
        <v>1</v>
      </c>
      <c r="Y66" s="6" t="b">
        <v>1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18 dari 31 (58%)</v>
      </c>
    </row>
    <row r="67" ht="22.5" customHeight="1">
      <c r="A67" s="2">
        <v>66.0</v>
      </c>
      <c r="B67" s="11"/>
      <c r="C67" s="22">
        <v>60279.0</v>
      </c>
      <c r="D67" s="12" t="s">
        <v>74</v>
      </c>
      <c r="E67" s="12" t="s">
        <v>104</v>
      </c>
      <c r="F67" s="13"/>
      <c r="G67" s="6" t="b">
        <v>1</v>
      </c>
      <c r="H67" s="6" t="b">
        <v>0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14 dari 31 (45%)</v>
      </c>
    </row>
    <row r="68" ht="22.5" customHeight="1">
      <c r="A68" s="10">
        <v>67.0</v>
      </c>
      <c r="B68" s="11"/>
      <c r="C68" s="22">
        <v>60826.0</v>
      </c>
      <c r="D68" s="12" t="s">
        <v>74</v>
      </c>
      <c r="E68" s="12" t="s">
        <v>104</v>
      </c>
      <c r="F68" s="13"/>
      <c r="G68" s="6" t="b">
        <v>1</v>
      </c>
      <c r="H68" s="6" t="b">
        <v>0</v>
      </c>
      <c r="I68" s="6" t="b">
        <v>1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13 dari 31 (42%)</v>
      </c>
    </row>
    <row r="69" ht="22.5" customHeight="1">
      <c r="A69" s="10">
        <v>68.0</v>
      </c>
      <c r="B69" s="11"/>
      <c r="C69" s="22">
        <v>60857.0</v>
      </c>
      <c r="D69" s="12" t="s">
        <v>74</v>
      </c>
      <c r="E69" s="12" t="s">
        <v>96</v>
      </c>
      <c r="F69" s="13"/>
      <c r="G69" s="6" t="b">
        <v>1</v>
      </c>
      <c r="H69" s="6" t="b">
        <v>0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0</v>
      </c>
      <c r="O69" s="6" t="b">
        <v>0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1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0</v>
      </c>
      <c r="AL69" s="17" t="str">
        <f t="shared" si="1"/>
        <v>12 dari 31 (39%)</v>
      </c>
    </row>
    <row r="70" ht="22.5" customHeight="1">
      <c r="A70" s="2">
        <v>69.0</v>
      </c>
      <c r="B70" s="11"/>
      <c r="C70" s="22">
        <v>60839.0</v>
      </c>
      <c r="D70" s="12" t="s">
        <v>101</v>
      </c>
      <c r="E70" s="12" t="s">
        <v>106</v>
      </c>
      <c r="F70" s="13"/>
      <c r="G70" s="6" t="b">
        <v>1</v>
      </c>
      <c r="H70" s="6" t="b">
        <v>1</v>
      </c>
      <c r="I70" s="6" t="b">
        <v>1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1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14 dari 31 (45%)</v>
      </c>
    </row>
    <row r="71" ht="22.5" customHeight="1">
      <c r="A71" s="10">
        <v>70.0</v>
      </c>
      <c r="B71" s="11"/>
      <c r="C71" s="22">
        <v>40522.0</v>
      </c>
      <c r="D71" s="12" t="s">
        <v>80</v>
      </c>
      <c r="E71" s="12" t="s">
        <v>49</v>
      </c>
      <c r="F71" s="15" t="s">
        <v>50</v>
      </c>
      <c r="G71" s="6" t="b">
        <v>1</v>
      </c>
      <c r="H71" s="6" t="b">
        <v>0</v>
      </c>
      <c r="I71" s="6" t="b">
        <v>0</v>
      </c>
      <c r="J71" s="6" t="b">
        <v>0</v>
      </c>
      <c r="K71" s="6" t="b">
        <v>0</v>
      </c>
      <c r="L71" s="6" t="b">
        <v>0</v>
      </c>
      <c r="M71" s="6" t="b">
        <v>0</v>
      </c>
      <c r="N71" s="6" t="b">
        <v>0</v>
      </c>
      <c r="O71" s="6" t="b">
        <v>0</v>
      </c>
      <c r="P71" s="6" t="b">
        <v>0</v>
      </c>
      <c r="Q71" s="6" t="b">
        <v>0</v>
      </c>
      <c r="R71" s="6" t="b">
        <v>0</v>
      </c>
      <c r="S71" s="6" t="b">
        <v>0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1 dari 31 (3%)</v>
      </c>
    </row>
    <row r="72" ht="22.5" customHeight="1">
      <c r="A72" s="61">
        <v>71.0</v>
      </c>
      <c r="B72" s="62"/>
      <c r="C72" s="60">
        <v>61006.0</v>
      </c>
      <c r="D72" s="51" t="s">
        <v>51</v>
      </c>
      <c r="E72" s="51" t="s">
        <v>61</v>
      </c>
      <c r="F72" s="53"/>
      <c r="G72" s="35" t="b">
        <v>0</v>
      </c>
      <c r="H72" s="35" t="b">
        <v>0</v>
      </c>
      <c r="I72" s="35" t="b">
        <v>0</v>
      </c>
      <c r="J72" s="35" t="b">
        <v>0</v>
      </c>
      <c r="K72" s="35" t="b">
        <v>0</v>
      </c>
      <c r="L72" s="35" t="b">
        <v>0</v>
      </c>
      <c r="M72" s="35" t="b">
        <v>0</v>
      </c>
      <c r="N72" s="35" t="b">
        <v>0</v>
      </c>
      <c r="O72" s="35" t="b">
        <v>0</v>
      </c>
      <c r="P72" s="35" t="b">
        <v>0</v>
      </c>
      <c r="Q72" s="35" t="b">
        <v>0</v>
      </c>
      <c r="R72" s="35" t="b">
        <v>0</v>
      </c>
      <c r="S72" s="35" t="b">
        <v>0</v>
      </c>
      <c r="T72" s="35" t="b">
        <v>0</v>
      </c>
      <c r="U72" s="35" t="b">
        <v>0</v>
      </c>
      <c r="V72" s="35" t="b">
        <v>0</v>
      </c>
      <c r="W72" s="35" t="b">
        <v>0</v>
      </c>
      <c r="X72" s="35" t="b">
        <v>0</v>
      </c>
      <c r="Y72" s="35" t="b">
        <v>0</v>
      </c>
      <c r="Z72" s="35" t="b">
        <v>0</v>
      </c>
      <c r="AA72" s="35" t="b">
        <v>0</v>
      </c>
      <c r="AB72" s="35" t="b">
        <v>0</v>
      </c>
      <c r="AC72" s="35" t="b">
        <v>0</v>
      </c>
      <c r="AD72" s="35" t="b">
        <v>0</v>
      </c>
      <c r="AE72" s="35" t="b">
        <v>0</v>
      </c>
      <c r="AF72" s="35" t="b">
        <v>0</v>
      </c>
      <c r="AG72" s="35" t="b">
        <v>0</v>
      </c>
      <c r="AH72" s="35" t="b">
        <v>0</v>
      </c>
      <c r="AI72" s="35" t="b">
        <v>0</v>
      </c>
      <c r="AJ72" s="35" t="b">
        <v>0</v>
      </c>
      <c r="AK72" s="35" t="b">
        <v>0</v>
      </c>
      <c r="AL72" s="64" t="str">
        <f t="shared" si="1"/>
        <v>0 dari 31 (0%)</v>
      </c>
    </row>
    <row r="73" ht="22.5" customHeight="1">
      <c r="A73" s="2">
        <v>72.0</v>
      </c>
      <c r="B73" s="11"/>
      <c r="C73" s="22">
        <v>32885.0</v>
      </c>
      <c r="D73" s="12" t="s">
        <v>74</v>
      </c>
      <c r="E73" s="12" t="s">
        <v>96</v>
      </c>
      <c r="F73" s="13"/>
      <c r="G73" s="6" t="b">
        <v>1</v>
      </c>
      <c r="H73" s="6" t="b">
        <v>1</v>
      </c>
      <c r="I73" s="6" t="b">
        <v>0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13 dari 31 (42%)</v>
      </c>
    </row>
    <row r="74" ht="22.5" customHeight="1">
      <c r="A74" s="61">
        <v>73.0</v>
      </c>
      <c r="B74" s="62"/>
      <c r="C74" s="32">
        <v>61008.0</v>
      </c>
      <c r="D74" s="51" t="s">
        <v>39</v>
      </c>
      <c r="E74" s="51" t="s">
        <v>42</v>
      </c>
      <c r="F74" s="53"/>
      <c r="G74" s="35" t="b">
        <v>0</v>
      </c>
      <c r="H74" s="35" t="b">
        <v>0</v>
      </c>
      <c r="I74" s="35" t="b">
        <v>0</v>
      </c>
      <c r="J74" s="35" t="b">
        <v>0</v>
      </c>
      <c r="K74" s="35" t="b">
        <v>0</v>
      </c>
      <c r="L74" s="35" t="b">
        <v>0</v>
      </c>
      <c r="M74" s="35" t="b">
        <v>0</v>
      </c>
      <c r="N74" s="35" t="b">
        <v>0</v>
      </c>
      <c r="O74" s="35" t="b">
        <v>0</v>
      </c>
      <c r="P74" s="35" t="b">
        <v>0</v>
      </c>
      <c r="Q74" s="35" t="b">
        <v>0</v>
      </c>
      <c r="R74" s="35" t="b">
        <v>0</v>
      </c>
      <c r="S74" s="35" t="b">
        <v>0</v>
      </c>
      <c r="T74" s="35" t="b">
        <v>0</v>
      </c>
      <c r="U74" s="35" t="b">
        <v>0</v>
      </c>
      <c r="V74" s="35" t="b">
        <v>0</v>
      </c>
      <c r="W74" s="35" t="b">
        <v>0</v>
      </c>
      <c r="X74" s="35" t="b">
        <v>0</v>
      </c>
      <c r="Y74" s="35" t="b">
        <v>0</v>
      </c>
      <c r="Z74" s="35" t="b">
        <v>0</v>
      </c>
      <c r="AA74" s="35" t="b">
        <v>0</v>
      </c>
      <c r="AB74" s="35" t="b">
        <v>0</v>
      </c>
      <c r="AC74" s="35" t="b">
        <v>0</v>
      </c>
      <c r="AD74" s="35" t="b">
        <v>0</v>
      </c>
      <c r="AE74" s="35" t="b">
        <v>0</v>
      </c>
      <c r="AF74" s="35" t="b">
        <v>0</v>
      </c>
      <c r="AG74" s="35" t="b">
        <v>0</v>
      </c>
      <c r="AH74" s="35" t="b">
        <v>0</v>
      </c>
      <c r="AI74" s="35" t="b">
        <v>0</v>
      </c>
      <c r="AJ74" s="35" t="b">
        <v>0</v>
      </c>
      <c r="AK74" s="35" t="b">
        <v>0</v>
      </c>
      <c r="AL74" s="38" t="str">
        <f t="shared" si="1"/>
        <v>0 dari 31 (0%)</v>
      </c>
    </row>
    <row r="75" ht="22.5" customHeight="1">
      <c r="A75" s="10">
        <v>74.0</v>
      </c>
      <c r="B75" s="11"/>
      <c r="C75" s="22">
        <v>59717.0</v>
      </c>
      <c r="D75" s="12" t="s">
        <v>39</v>
      </c>
      <c r="E75" s="12" t="s">
        <v>57</v>
      </c>
      <c r="F75" s="13"/>
      <c r="G75" s="6" t="b">
        <v>1</v>
      </c>
      <c r="H75" s="6" t="b">
        <v>1</v>
      </c>
      <c r="I75" s="6" t="b">
        <v>0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13 dari 31 (42%)</v>
      </c>
    </row>
    <row r="76" ht="22.5" customHeight="1">
      <c r="A76" s="2">
        <v>75.0</v>
      </c>
      <c r="B76" s="11"/>
      <c r="C76" s="22">
        <v>61009.0</v>
      </c>
      <c r="D76" s="12" t="s">
        <v>63</v>
      </c>
      <c r="E76" s="12" t="s">
        <v>64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0</v>
      </c>
      <c r="AJ76" s="6" t="b">
        <v>0</v>
      </c>
      <c r="AK76" s="6" t="b">
        <v>0</v>
      </c>
      <c r="AL76" s="9" t="str">
        <f t="shared" si="1"/>
        <v>14 dari 31 (45%)</v>
      </c>
    </row>
    <row r="77" ht="22.5" customHeight="1">
      <c r="A77" s="10">
        <v>76.0</v>
      </c>
      <c r="B77" s="11"/>
      <c r="C77" s="22">
        <v>61010.0</v>
      </c>
      <c r="D77" s="12" t="s">
        <v>51</v>
      </c>
      <c r="E77" s="12" t="s">
        <v>61</v>
      </c>
      <c r="F77" s="14" t="s">
        <v>50</v>
      </c>
      <c r="G77" s="6" t="b">
        <v>1</v>
      </c>
      <c r="H77" s="6" t="b">
        <v>0</v>
      </c>
      <c r="I77" s="6" t="b">
        <v>0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11 dari 31 (35%)</v>
      </c>
    </row>
    <row r="78" ht="22.5" customHeight="1">
      <c r="A78" s="10">
        <v>77.0</v>
      </c>
      <c r="B78" s="11"/>
      <c r="C78" s="22">
        <v>42502.0</v>
      </c>
      <c r="D78" s="12" t="s">
        <v>101</v>
      </c>
      <c r="E78" s="12" t="s">
        <v>106</v>
      </c>
      <c r="F78" s="13"/>
      <c r="G78" s="6" t="b">
        <v>1</v>
      </c>
      <c r="H78" s="6" t="b">
        <v>1</v>
      </c>
      <c r="I78" s="6" t="b">
        <v>1</v>
      </c>
      <c r="J78" s="6" t="b">
        <v>1</v>
      </c>
      <c r="K78" s="6" t="b">
        <v>1</v>
      </c>
      <c r="L78" s="6" t="b">
        <v>1</v>
      </c>
      <c r="M78" s="6" t="b">
        <v>1</v>
      </c>
      <c r="N78" s="6" t="b">
        <v>1</v>
      </c>
      <c r="O78" s="6" t="b">
        <v>1</v>
      </c>
      <c r="P78" s="6" t="b">
        <v>1</v>
      </c>
      <c r="Q78" s="6" t="b">
        <v>1</v>
      </c>
      <c r="R78" s="6" t="b">
        <v>1</v>
      </c>
      <c r="S78" s="6" t="b">
        <v>1</v>
      </c>
      <c r="T78" s="6" t="b">
        <v>1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0</v>
      </c>
      <c r="AJ78" s="6" t="b">
        <v>0</v>
      </c>
      <c r="AK78" s="6" t="b">
        <v>0</v>
      </c>
      <c r="AL78" s="17" t="str">
        <f t="shared" si="1"/>
        <v>14 dari 31 (45%)</v>
      </c>
    </row>
    <row r="79" ht="22.5" customHeight="1">
      <c r="A79" s="2">
        <v>78.0</v>
      </c>
      <c r="B79" s="11"/>
      <c r="C79" s="22">
        <v>60592.0</v>
      </c>
      <c r="D79" s="12" t="s">
        <v>101</v>
      </c>
      <c r="E79" s="12" t="s">
        <v>106</v>
      </c>
      <c r="F79" s="13"/>
      <c r="G79" s="6" t="b">
        <v>1</v>
      </c>
      <c r="H79" s="6" t="b">
        <v>1</v>
      </c>
      <c r="I79" s="6" t="b">
        <v>1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1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14 dari 31 (45%)</v>
      </c>
    </row>
    <row r="80" ht="22.5" customHeight="1">
      <c r="A80" s="82">
        <v>79.0</v>
      </c>
      <c r="B80" s="83"/>
      <c r="C80" s="84">
        <v>39415.0</v>
      </c>
      <c r="D80" s="85" t="s">
        <v>74</v>
      </c>
      <c r="E80" s="85" t="s">
        <v>104</v>
      </c>
      <c r="F80" s="86" t="s">
        <v>67</v>
      </c>
      <c r="G80" s="87" t="b">
        <v>0</v>
      </c>
      <c r="H80" s="87" t="b">
        <v>0</v>
      </c>
      <c r="I80" s="87" t="b">
        <v>0</v>
      </c>
      <c r="J80" s="87" t="b">
        <v>0</v>
      </c>
      <c r="K80" s="87" t="b">
        <v>0</v>
      </c>
      <c r="L80" s="87" t="b">
        <v>0</v>
      </c>
      <c r="M80" s="87" t="b">
        <v>0</v>
      </c>
      <c r="N80" s="87" t="b">
        <v>0</v>
      </c>
      <c r="O80" s="87" t="b">
        <v>0</v>
      </c>
      <c r="P80" s="87" t="b">
        <v>0</v>
      </c>
      <c r="Q80" s="87" t="b">
        <v>0</v>
      </c>
      <c r="R80" s="87" t="b">
        <v>0</v>
      </c>
      <c r="S80" s="87" t="b">
        <v>0</v>
      </c>
      <c r="T80" s="87" t="b">
        <v>0</v>
      </c>
      <c r="U80" s="87" t="b">
        <v>0</v>
      </c>
      <c r="V80" s="87" t="b">
        <v>0</v>
      </c>
      <c r="W80" s="87" t="b">
        <v>0</v>
      </c>
      <c r="X80" s="87" t="b">
        <v>0</v>
      </c>
      <c r="Y80" s="87" t="b">
        <v>0</v>
      </c>
      <c r="Z80" s="87" t="b">
        <v>0</v>
      </c>
      <c r="AA80" s="87" t="b">
        <v>0</v>
      </c>
      <c r="AB80" s="87" t="b">
        <v>0</v>
      </c>
      <c r="AC80" s="87" t="b">
        <v>0</v>
      </c>
      <c r="AD80" s="87" t="b">
        <v>0</v>
      </c>
      <c r="AE80" s="87" t="b">
        <v>0</v>
      </c>
      <c r="AF80" s="87" t="b">
        <v>0</v>
      </c>
      <c r="AG80" s="87" t="b">
        <v>0</v>
      </c>
      <c r="AH80" s="87" t="b">
        <v>0</v>
      </c>
      <c r="AI80" s="87" t="b">
        <v>0</v>
      </c>
      <c r="AJ80" s="87" t="b">
        <v>0</v>
      </c>
      <c r="AK80" s="87" t="b">
        <v>0</v>
      </c>
      <c r="AL80" s="89" t="str">
        <f t="shared" si="1"/>
        <v>0 dari 31 (0%)</v>
      </c>
    </row>
    <row r="81" ht="22.5" customHeight="1">
      <c r="A81" s="10">
        <v>80.0</v>
      </c>
      <c r="B81" s="11"/>
      <c r="C81" s="22">
        <v>55649.0</v>
      </c>
      <c r="D81" s="12" t="s">
        <v>74</v>
      </c>
      <c r="E81" s="12" t="s">
        <v>104</v>
      </c>
      <c r="F81" s="13"/>
      <c r="G81" s="6" t="b">
        <v>1</v>
      </c>
      <c r="H81" s="6" t="b">
        <v>1</v>
      </c>
      <c r="I81" s="6" t="b">
        <v>0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13 dari 31 (42%)</v>
      </c>
    </row>
    <row r="82" ht="22.5" customHeight="1">
      <c r="A82" s="2">
        <v>81.0</v>
      </c>
      <c r="B82" s="11"/>
      <c r="C82" s="22">
        <v>56006.0</v>
      </c>
      <c r="D82" s="12" t="s">
        <v>74</v>
      </c>
      <c r="E82" s="12" t="s">
        <v>104</v>
      </c>
      <c r="F82" s="13"/>
      <c r="G82" s="6" t="b">
        <v>1</v>
      </c>
      <c r="H82" s="6" t="b">
        <v>1</v>
      </c>
      <c r="I82" s="6" t="b">
        <v>0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1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1</v>
      </c>
      <c r="AJ82" s="6" t="b">
        <v>0</v>
      </c>
      <c r="AK82" s="6" t="b">
        <v>0</v>
      </c>
      <c r="AL82" s="9" t="str">
        <f t="shared" si="1"/>
        <v>14 dari 31 (45%)</v>
      </c>
    </row>
    <row r="83" ht="22.5" customHeight="1">
      <c r="A83" s="10">
        <v>82.0</v>
      </c>
      <c r="B83" s="11"/>
      <c r="C83" s="22">
        <v>60864.0</v>
      </c>
      <c r="D83" s="12" t="s">
        <v>74</v>
      </c>
      <c r="E83" s="12" t="s">
        <v>96</v>
      </c>
      <c r="F83" s="13"/>
      <c r="G83" s="6" t="b">
        <v>1</v>
      </c>
      <c r="H83" s="6" t="b">
        <v>1</v>
      </c>
      <c r="I83" s="6" t="b">
        <v>0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1</v>
      </c>
      <c r="S83" s="6" t="b">
        <v>1</v>
      </c>
      <c r="T83" s="6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0</v>
      </c>
      <c r="AJ83" s="6" t="b">
        <v>0</v>
      </c>
      <c r="AK83" s="6" t="b">
        <v>0</v>
      </c>
      <c r="AL83" s="9" t="str">
        <f t="shared" si="1"/>
        <v>13 dari 31 (42%)</v>
      </c>
    </row>
    <row r="84" ht="22.5" customHeight="1">
      <c r="A84" s="10">
        <v>83.0</v>
      </c>
      <c r="B84" s="11"/>
      <c r="C84" s="22">
        <v>55682.0</v>
      </c>
      <c r="D84" s="12" t="s">
        <v>74</v>
      </c>
      <c r="E84" s="12" t="s">
        <v>96</v>
      </c>
      <c r="F84" s="13"/>
      <c r="G84" s="6" t="b">
        <v>1</v>
      </c>
      <c r="H84" s="6" t="b">
        <v>1</v>
      </c>
      <c r="I84" s="6" t="b">
        <v>0</v>
      </c>
      <c r="J84" s="6" t="b">
        <v>1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1</v>
      </c>
      <c r="P84" s="6" t="b">
        <v>1</v>
      </c>
      <c r="Q84" s="6" t="b">
        <v>1</v>
      </c>
      <c r="R84" s="6" t="b">
        <v>1</v>
      </c>
      <c r="S84" s="6" t="b">
        <v>1</v>
      </c>
      <c r="T84" s="6" t="b">
        <v>1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13 dari 31 (42%)</v>
      </c>
    </row>
    <row r="85" ht="22.5" customHeight="1">
      <c r="A85" s="2">
        <v>84.0</v>
      </c>
      <c r="B85" s="11"/>
      <c r="C85" s="22">
        <v>61011.0</v>
      </c>
      <c r="D85" s="12" t="s">
        <v>54</v>
      </c>
      <c r="E85" s="12" t="s">
        <v>76</v>
      </c>
      <c r="F85" s="13"/>
      <c r="G85" s="6" t="b">
        <v>1</v>
      </c>
      <c r="H85" s="6" t="b">
        <v>1</v>
      </c>
      <c r="I85" s="6" t="b">
        <v>1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  <c r="P85" s="6" t="b">
        <v>0</v>
      </c>
      <c r="Q85" s="6" t="b">
        <v>1</v>
      </c>
      <c r="R85" s="6" t="b">
        <v>1</v>
      </c>
      <c r="S85" s="6" t="b">
        <v>1</v>
      </c>
      <c r="T85" s="6" t="b">
        <v>1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1</v>
      </c>
      <c r="AA85" s="6" t="b">
        <v>1</v>
      </c>
      <c r="AB85" s="6" t="b">
        <v>1</v>
      </c>
      <c r="AC85" s="6" t="b">
        <v>1</v>
      </c>
      <c r="AD85" s="6" t="b">
        <v>1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1</v>
      </c>
      <c r="AJ85" s="6" t="b">
        <v>0</v>
      </c>
      <c r="AK85" s="6" t="b">
        <v>0</v>
      </c>
      <c r="AL85" s="9" t="str">
        <f t="shared" si="1"/>
        <v>13 dari 31 (42%)</v>
      </c>
    </row>
    <row r="86" ht="22.5" customHeight="1">
      <c r="A86" s="10">
        <v>85.0</v>
      </c>
      <c r="B86" s="11"/>
      <c r="C86" s="22">
        <v>58114.0</v>
      </c>
      <c r="D86" s="12" t="s">
        <v>80</v>
      </c>
      <c r="E86" s="12" t="s">
        <v>91</v>
      </c>
      <c r="F86" s="15" t="s">
        <v>50</v>
      </c>
      <c r="G86" s="6" t="b">
        <v>1</v>
      </c>
      <c r="H86" s="6" t="b">
        <v>0</v>
      </c>
      <c r="I86" s="6" t="b">
        <v>0</v>
      </c>
      <c r="J86" s="6" t="b">
        <v>0</v>
      </c>
      <c r="K86" s="6" t="b">
        <v>0</v>
      </c>
      <c r="L86" s="6" t="b">
        <v>0</v>
      </c>
      <c r="M86" s="6" t="b">
        <v>0</v>
      </c>
      <c r="N86" s="6" t="b">
        <v>0</v>
      </c>
      <c r="O86" s="6" t="b">
        <v>0</v>
      </c>
      <c r="P86" s="6" t="b">
        <v>0</v>
      </c>
      <c r="Q86" s="6" t="b">
        <v>0</v>
      </c>
      <c r="R86" s="6" t="b">
        <v>0</v>
      </c>
      <c r="S86" s="6" t="b">
        <v>0</v>
      </c>
      <c r="T86" s="6" t="b">
        <v>0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1 dari 31 (3%)</v>
      </c>
    </row>
    <row r="87" ht="22.5" customHeight="1">
      <c r="A87" s="10">
        <v>86.0</v>
      </c>
      <c r="B87" s="11"/>
      <c r="C87" s="22">
        <v>60955.0</v>
      </c>
      <c r="D87" s="12" t="s">
        <v>39</v>
      </c>
      <c r="E87" s="12" t="s">
        <v>42</v>
      </c>
      <c r="F87" s="13"/>
      <c r="G87" s="6" t="b">
        <v>1</v>
      </c>
      <c r="H87" s="6" t="b">
        <v>1</v>
      </c>
      <c r="I87" s="6" t="b">
        <v>1</v>
      </c>
      <c r="J87" s="6" t="b">
        <v>1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1</v>
      </c>
      <c r="S87" s="6" t="b">
        <v>1</v>
      </c>
      <c r="T87" s="6" t="b">
        <v>1</v>
      </c>
      <c r="U87" s="6" t="b">
        <v>0</v>
      </c>
      <c r="V87" s="6" t="b">
        <v>0</v>
      </c>
      <c r="W87" s="6" t="b">
        <v>1</v>
      </c>
      <c r="X87" s="6" t="b">
        <v>1</v>
      </c>
      <c r="Y87" s="6" t="b">
        <v>1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17 dari 31 (55%)</v>
      </c>
    </row>
    <row r="88" ht="22.5" customHeight="1">
      <c r="A88" s="2">
        <v>87.0</v>
      </c>
      <c r="B88" s="11"/>
      <c r="C88" s="22">
        <v>55273.0</v>
      </c>
      <c r="D88" s="12" t="s">
        <v>74</v>
      </c>
      <c r="E88" s="12" t="s">
        <v>96</v>
      </c>
      <c r="F88" s="13"/>
      <c r="G88" s="6" t="b">
        <v>1</v>
      </c>
      <c r="H88" s="6" t="b">
        <v>1</v>
      </c>
      <c r="I88" s="6" t="b">
        <v>0</v>
      </c>
      <c r="J88" s="6" t="b">
        <v>0</v>
      </c>
      <c r="K88" s="6" t="b">
        <v>1</v>
      </c>
      <c r="L88" s="6" t="b">
        <v>1</v>
      </c>
      <c r="M88" s="6" t="b">
        <v>1</v>
      </c>
      <c r="N88" s="6" t="b">
        <v>1</v>
      </c>
      <c r="O88" s="6" t="b">
        <v>1</v>
      </c>
      <c r="P88" s="6" t="b">
        <v>1</v>
      </c>
      <c r="Q88" s="6" t="b">
        <v>1</v>
      </c>
      <c r="R88" s="6" t="b">
        <v>1</v>
      </c>
      <c r="S88" s="6" t="b">
        <v>1</v>
      </c>
      <c r="T88" s="6" t="b">
        <v>1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12 dari 31 (39%)</v>
      </c>
    </row>
    <row r="89" ht="22.5" customHeight="1">
      <c r="A89" s="61">
        <v>88.0</v>
      </c>
      <c r="B89" s="62"/>
      <c r="C89" s="32">
        <v>43835.0</v>
      </c>
      <c r="D89" s="51" t="s">
        <v>53</v>
      </c>
      <c r="E89" s="51" t="s">
        <v>117</v>
      </c>
      <c r="F89" s="53"/>
      <c r="G89" s="35" t="b">
        <v>0</v>
      </c>
      <c r="H89" s="35" t="b">
        <v>0</v>
      </c>
      <c r="I89" s="35" t="b">
        <v>0</v>
      </c>
      <c r="J89" s="35" t="b">
        <v>0</v>
      </c>
      <c r="K89" s="35" t="b">
        <v>0</v>
      </c>
      <c r="L89" s="35" t="b">
        <v>0</v>
      </c>
      <c r="M89" s="35" t="b">
        <v>0</v>
      </c>
      <c r="N89" s="35" t="b">
        <v>0</v>
      </c>
      <c r="O89" s="35" t="b">
        <v>0</v>
      </c>
      <c r="P89" s="35" t="b">
        <v>0</v>
      </c>
      <c r="Q89" s="35" t="b">
        <v>0</v>
      </c>
      <c r="R89" s="35" t="b">
        <v>0</v>
      </c>
      <c r="S89" s="35" t="b">
        <v>0</v>
      </c>
      <c r="T89" s="35" t="b">
        <v>0</v>
      </c>
      <c r="U89" s="35" t="b">
        <v>0</v>
      </c>
      <c r="V89" s="35" t="b">
        <v>0</v>
      </c>
      <c r="W89" s="35" t="b">
        <v>0</v>
      </c>
      <c r="X89" s="35" t="b">
        <v>0</v>
      </c>
      <c r="Y89" s="35" t="b">
        <v>0</v>
      </c>
      <c r="Z89" s="35" t="b">
        <v>0</v>
      </c>
      <c r="AA89" s="35" t="b">
        <v>0</v>
      </c>
      <c r="AB89" s="35" t="b">
        <v>0</v>
      </c>
      <c r="AC89" s="35" t="b">
        <v>0</v>
      </c>
      <c r="AD89" s="35" t="b">
        <v>0</v>
      </c>
      <c r="AE89" s="35" t="b">
        <v>0</v>
      </c>
      <c r="AF89" s="35" t="b">
        <v>0</v>
      </c>
      <c r="AG89" s="35" t="b">
        <v>0</v>
      </c>
      <c r="AH89" s="35" t="b">
        <v>0</v>
      </c>
      <c r="AI89" s="35" t="b">
        <v>0</v>
      </c>
      <c r="AJ89" s="35" t="b">
        <v>0</v>
      </c>
      <c r="AK89" s="35" t="b">
        <v>0</v>
      </c>
      <c r="AL89" s="38" t="str">
        <f t="shared" si="1"/>
        <v>0 dari 31 (0%)</v>
      </c>
    </row>
    <row r="90" ht="22.5" customHeight="1">
      <c r="A90" s="10">
        <v>89.0</v>
      </c>
      <c r="B90" s="11"/>
      <c r="C90" s="22">
        <v>52513.0</v>
      </c>
      <c r="D90" s="12" t="s">
        <v>98</v>
      </c>
      <c r="E90" s="12" t="s">
        <v>61</v>
      </c>
      <c r="F90" s="15" t="s">
        <v>50</v>
      </c>
      <c r="G90" s="6" t="b">
        <v>1</v>
      </c>
      <c r="H90" s="6" t="b">
        <v>0</v>
      </c>
      <c r="I90" s="6" t="b">
        <v>0</v>
      </c>
      <c r="J90" s="6" t="b">
        <v>0</v>
      </c>
      <c r="K90" s="6" t="b">
        <v>0</v>
      </c>
      <c r="L90" s="6" t="b">
        <v>0</v>
      </c>
      <c r="M90" s="6" t="b">
        <v>0</v>
      </c>
      <c r="N90" s="6" t="b">
        <v>0</v>
      </c>
      <c r="O90" s="6" t="b">
        <v>0</v>
      </c>
      <c r="P90" s="6" t="b">
        <v>0</v>
      </c>
      <c r="Q90" s="6" t="b">
        <v>0</v>
      </c>
      <c r="R90" s="6" t="b">
        <v>0</v>
      </c>
      <c r="S90" s="6" t="b">
        <v>0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1 dari 31 (3%)</v>
      </c>
    </row>
    <row r="91" ht="22.5" customHeight="1">
      <c r="A91" s="2">
        <v>90.0</v>
      </c>
      <c r="B91" s="11"/>
      <c r="C91" s="22">
        <v>60095.0</v>
      </c>
      <c r="D91" s="12" t="s">
        <v>39</v>
      </c>
      <c r="E91" s="12" t="s">
        <v>42</v>
      </c>
      <c r="F91" s="13"/>
      <c r="G91" s="6" t="b">
        <v>1</v>
      </c>
      <c r="H91" s="6" t="b">
        <v>1</v>
      </c>
      <c r="I91" s="6" t="b">
        <v>0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1</v>
      </c>
      <c r="U91" s="6" t="b">
        <v>0</v>
      </c>
      <c r="V91" s="6" t="b">
        <v>0</v>
      </c>
      <c r="W91" s="6" t="b">
        <v>1</v>
      </c>
      <c r="X91" s="6" t="b">
        <v>1</v>
      </c>
      <c r="Y91" s="6" t="b">
        <v>1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1</v>
      </c>
      <c r="AJ91" s="6" t="b">
        <v>0</v>
      </c>
      <c r="AK91" s="6" t="b">
        <v>0</v>
      </c>
      <c r="AL91" s="9" t="str">
        <f t="shared" si="1"/>
        <v>17 dari 31 (55%)</v>
      </c>
    </row>
    <row r="92" ht="22.5" customHeight="1">
      <c r="A92" s="10">
        <v>91.0</v>
      </c>
      <c r="B92" s="11"/>
      <c r="C92" s="20">
        <v>55871.0</v>
      </c>
      <c r="D92" s="12" t="s">
        <v>80</v>
      </c>
      <c r="E92" s="12" t="s">
        <v>91</v>
      </c>
      <c r="F92" s="15" t="s">
        <v>50</v>
      </c>
      <c r="G92" s="6" t="b">
        <v>1</v>
      </c>
      <c r="H92" s="6" t="b">
        <v>0</v>
      </c>
      <c r="I92" s="6" t="b">
        <v>0</v>
      </c>
      <c r="J92" s="6" t="b">
        <v>0</v>
      </c>
      <c r="K92" s="6" t="b">
        <v>0</v>
      </c>
      <c r="L92" s="6" t="b">
        <v>0</v>
      </c>
      <c r="M92" s="6" t="b">
        <v>0</v>
      </c>
      <c r="N92" s="6" t="b">
        <v>0</v>
      </c>
      <c r="O92" s="6" t="b">
        <v>0</v>
      </c>
      <c r="P92" s="6" t="b">
        <v>0</v>
      </c>
      <c r="Q92" s="6" t="b">
        <v>0</v>
      </c>
      <c r="R92" s="6" t="b">
        <v>0</v>
      </c>
      <c r="S92" s="6" t="b">
        <v>0</v>
      </c>
      <c r="T92" s="6" t="b">
        <v>0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0</v>
      </c>
      <c r="AJ92" s="6" t="b">
        <v>0</v>
      </c>
      <c r="AK92" s="6" t="b">
        <v>0</v>
      </c>
      <c r="AL92" s="9" t="str">
        <f t="shared" si="1"/>
        <v>1 dari 31 (3%)</v>
      </c>
    </row>
    <row r="93" ht="22.5" customHeight="1">
      <c r="A93" s="10">
        <v>92.0</v>
      </c>
      <c r="B93" s="11"/>
      <c r="C93" s="20">
        <v>61012.0</v>
      </c>
      <c r="D93" s="12" t="s">
        <v>74</v>
      </c>
      <c r="E93" s="12" t="s">
        <v>104</v>
      </c>
      <c r="F93" s="13"/>
      <c r="G93" s="6" t="b">
        <v>1</v>
      </c>
      <c r="H93" s="6" t="b">
        <v>1</v>
      </c>
      <c r="I93" s="6" t="b">
        <v>1</v>
      </c>
      <c r="J93" s="6" t="b">
        <v>1</v>
      </c>
      <c r="K93" s="6" t="b">
        <v>1</v>
      </c>
      <c r="L93" s="6" t="b">
        <v>1</v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1</v>
      </c>
      <c r="S93" s="6" t="b">
        <v>1</v>
      </c>
      <c r="T93" s="6" t="b">
        <v>0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0</v>
      </c>
      <c r="AJ93" s="6" t="b">
        <v>0</v>
      </c>
      <c r="AK93" s="6" t="b">
        <v>0</v>
      </c>
      <c r="AL93" s="17" t="str">
        <f t="shared" si="1"/>
        <v>13 dari 31 (42%)</v>
      </c>
    </row>
    <row r="94" ht="22.5" customHeight="1">
      <c r="A94" s="2">
        <v>93.0</v>
      </c>
      <c r="B94" s="11"/>
      <c r="C94" s="20">
        <v>59422.0</v>
      </c>
      <c r="D94" s="12" t="s">
        <v>80</v>
      </c>
      <c r="E94" s="12" t="s">
        <v>43</v>
      </c>
      <c r="F94" s="13"/>
      <c r="G94" s="6" t="b">
        <v>1</v>
      </c>
      <c r="H94" s="6" t="b">
        <v>1</v>
      </c>
      <c r="I94" s="6" t="b">
        <v>1</v>
      </c>
      <c r="J94" s="6" t="b">
        <v>1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1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1</v>
      </c>
      <c r="AJ94" s="6" t="b">
        <v>0</v>
      </c>
      <c r="AK94" s="6" t="b">
        <v>0</v>
      </c>
      <c r="AL94" s="9" t="str">
        <f t="shared" si="1"/>
        <v>15 dari 31 (48%)</v>
      </c>
    </row>
    <row r="95" ht="22.5" customHeight="1">
      <c r="A95" s="10">
        <v>94.0</v>
      </c>
      <c r="B95" s="11"/>
      <c r="C95" s="22">
        <v>54106.0</v>
      </c>
      <c r="D95" s="12" t="s">
        <v>68</v>
      </c>
      <c r="E95" s="12" t="s">
        <v>69</v>
      </c>
      <c r="F95" s="13"/>
      <c r="G95" s="6" t="b">
        <v>1</v>
      </c>
      <c r="H95" s="6" t="b">
        <v>1</v>
      </c>
      <c r="I95" s="6" t="b">
        <v>1</v>
      </c>
      <c r="J95" s="6" t="b">
        <v>1</v>
      </c>
      <c r="K95" s="6" t="b">
        <v>1</v>
      </c>
      <c r="L95" s="6" t="b">
        <v>1</v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1</v>
      </c>
      <c r="S95" s="6" t="b">
        <v>1</v>
      </c>
      <c r="T95" s="6" t="b">
        <v>1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1</v>
      </c>
      <c r="AJ95" s="6" t="b">
        <v>0</v>
      </c>
      <c r="AK95" s="6" t="b">
        <v>0</v>
      </c>
      <c r="AL95" s="9" t="str">
        <f t="shared" si="1"/>
        <v>15 dari 31 (48%)</v>
      </c>
    </row>
    <row r="96" ht="22.5" customHeight="1">
      <c r="A96" s="10">
        <v>95.0</v>
      </c>
      <c r="B96" s="11"/>
      <c r="C96" s="22">
        <v>61013.0</v>
      </c>
      <c r="D96" s="12" t="s">
        <v>63</v>
      </c>
      <c r="E96" s="12" t="s">
        <v>64</v>
      </c>
      <c r="F96" s="13"/>
      <c r="G96" s="6" t="b">
        <v>1</v>
      </c>
      <c r="H96" s="6" t="b">
        <v>1</v>
      </c>
      <c r="I96" s="6" t="b">
        <v>1</v>
      </c>
      <c r="J96" s="6" t="b">
        <v>1</v>
      </c>
      <c r="K96" s="6" t="b">
        <v>1</v>
      </c>
      <c r="L96" s="6" t="b">
        <v>1</v>
      </c>
      <c r="M96" s="6" t="b">
        <v>1</v>
      </c>
      <c r="N96" s="6" t="b">
        <v>1</v>
      </c>
      <c r="O96" s="6" t="b">
        <v>1</v>
      </c>
      <c r="P96" s="6" t="b">
        <v>1</v>
      </c>
      <c r="Q96" s="6" t="b">
        <v>1</v>
      </c>
      <c r="R96" s="6" t="b">
        <v>1</v>
      </c>
      <c r="S96" s="6" t="b">
        <v>1</v>
      </c>
      <c r="T96" s="6" t="b">
        <v>1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1</v>
      </c>
      <c r="AJ96" s="6" t="b">
        <v>0</v>
      </c>
      <c r="AK96" s="6" t="b">
        <v>0</v>
      </c>
      <c r="AL96" s="17" t="str">
        <f t="shared" si="1"/>
        <v>15 dari 31 (48%)</v>
      </c>
    </row>
    <row r="97" ht="22.5" customHeight="1">
      <c r="A97" s="2">
        <v>96.0</v>
      </c>
      <c r="B97" s="11"/>
      <c r="C97" s="22">
        <v>60295.0</v>
      </c>
      <c r="D97" s="12" t="s">
        <v>54</v>
      </c>
      <c r="E97" s="12" t="s">
        <v>82</v>
      </c>
      <c r="F97" s="13"/>
      <c r="G97" s="6" t="b">
        <v>1</v>
      </c>
      <c r="H97" s="6" t="b">
        <v>1</v>
      </c>
      <c r="I97" s="6" t="b">
        <v>0</v>
      </c>
      <c r="J97" s="6" t="b">
        <v>0</v>
      </c>
      <c r="K97" s="6" t="b">
        <v>0</v>
      </c>
      <c r="L97" s="6" t="b">
        <v>0</v>
      </c>
      <c r="M97" s="6" t="b">
        <v>0</v>
      </c>
      <c r="N97" s="6" t="b">
        <v>0</v>
      </c>
      <c r="O97" s="6" t="b">
        <v>0</v>
      </c>
      <c r="P97" s="6" t="b">
        <v>0</v>
      </c>
      <c r="Q97" s="6" t="b">
        <v>0</v>
      </c>
      <c r="R97" s="6" t="b">
        <v>1</v>
      </c>
      <c r="S97" s="6" t="b">
        <v>1</v>
      </c>
      <c r="T97" s="6" t="b">
        <v>0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1</v>
      </c>
      <c r="AJ97" s="6" t="b">
        <v>0</v>
      </c>
      <c r="AK97" s="6" t="b">
        <v>0</v>
      </c>
      <c r="AL97" s="9" t="str">
        <f t="shared" si="1"/>
        <v>5 dari 31 (16%)</v>
      </c>
    </row>
    <row r="98" ht="22.5" customHeight="1">
      <c r="A98" s="10">
        <v>97.0</v>
      </c>
      <c r="B98" s="11"/>
      <c r="C98" s="22">
        <v>57426.0</v>
      </c>
      <c r="D98" s="12" t="s">
        <v>74</v>
      </c>
      <c r="E98" s="12" t="s">
        <v>96</v>
      </c>
      <c r="F98" s="13"/>
      <c r="G98" s="6" t="b">
        <v>1</v>
      </c>
      <c r="H98" s="6" t="b">
        <v>1</v>
      </c>
      <c r="I98" s="6" t="b">
        <v>0</v>
      </c>
      <c r="J98" s="6" t="b">
        <v>1</v>
      </c>
      <c r="K98" s="6" t="b">
        <v>1</v>
      </c>
      <c r="L98" s="6" t="b">
        <v>1</v>
      </c>
      <c r="M98" s="6" t="b">
        <v>1</v>
      </c>
      <c r="N98" s="6" t="b">
        <v>0</v>
      </c>
      <c r="O98" s="6" t="b">
        <v>0</v>
      </c>
      <c r="P98" s="6" t="b">
        <v>1</v>
      </c>
      <c r="Q98" s="6" t="b">
        <v>0</v>
      </c>
      <c r="R98" s="6" t="b">
        <v>1</v>
      </c>
      <c r="S98" s="6" t="b">
        <v>1</v>
      </c>
      <c r="T98" s="6" t="b">
        <v>1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10 dari 31 (32%)</v>
      </c>
    </row>
    <row r="99" ht="22.5" customHeight="1">
      <c r="A99" s="10">
        <v>98.0</v>
      </c>
      <c r="B99" s="11"/>
      <c r="C99" s="22">
        <v>31807.0</v>
      </c>
      <c r="D99" s="12" t="s">
        <v>74</v>
      </c>
      <c r="E99" s="12" t="s">
        <v>96</v>
      </c>
      <c r="F99" s="13"/>
      <c r="G99" s="6" t="b">
        <v>1</v>
      </c>
      <c r="H99" s="6" t="b">
        <v>1</v>
      </c>
      <c r="I99" s="6" t="b">
        <v>0</v>
      </c>
      <c r="J99" s="6" t="b">
        <v>1</v>
      </c>
      <c r="K99" s="6" t="b">
        <v>1</v>
      </c>
      <c r="L99" s="6" t="b">
        <v>1</v>
      </c>
      <c r="M99" s="6" t="b">
        <v>1</v>
      </c>
      <c r="N99" s="6" t="b">
        <v>1</v>
      </c>
      <c r="O99" s="6" t="b">
        <v>1</v>
      </c>
      <c r="P99" s="6" t="b">
        <v>1</v>
      </c>
      <c r="Q99" s="6" t="b">
        <v>1</v>
      </c>
      <c r="R99" s="6" t="b">
        <v>1</v>
      </c>
      <c r="S99" s="6" t="b">
        <v>1</v>
      </c>
      <c r="T99" s="6" t="b">
        <v>1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13 dari 31 (42%)</v>
      </c>
    </row>
    <row r="100" ht="22.5" customHeight="1">
      <c r="A100" s="2">
        <v>99.0</v>
      </c>
      <c r="B100" s="11"/>
      <c r="C100" s="22">
        <v>60429.0</v>
      </c>
      <c r="D100" s="12" t="s">
        <v>39</v>
      </c>
      <c r="E100" s="12" t="s">
        <v>57</v>
      </c>
      <c r="F100" s="13"/>
      <c r="G100" s="6" t="b">
        <v>1</v>
      </c>
      <c r="H100" s="6" t="b">
        <v>1</v>
      </c>
      <c r="I100" s="6" t="b">
        <v>1</v>
      </c>
      <c r="J100" s="6" t="b">
        <v>1</v>
      </c>
      <c r="K100" s="6" t="b">
        <v>1</v>
      </c>
      <c r="L100" s="6" t="b">
        <v>1</v>
      </c>
      <c r="M100" s="6" t="b">
        <v>1</v>
      </c>
      <c r="N100" s="6" t="b">
        <v>1</v>
      </c>
      <c r="O100" s="6" t="b">
        <v>1</v>
      </c>
      <c r="P100" s="6" t="b">
        <v>1</v>
      </c>
      <c r="Q100" s="6" t="b">
        <v>1</v>
      </c>
      <c r="R100" s="6" t="b">
        <v>1</v>
      </c>
      <c r="S100" s="6" t="b">
        <v>1</v>
      </c>
      <c r="T100" s="6" t="b">
        <v>1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1</v>
      </c>
      <c r="AJ100" s="6" t="b">
        <v>0</v>
      </c>
      <c r="AK100" s="6" t="b">
        <v>0</v>
      </c>
      <c r="AL100" s="9" t="str">
        <f t="shared" si="1"/>
        <v>15 dari 31 (48%)</v>
      </c>
    </row>
    <row r="101" ht="22.5" customHeight="1">
      <c r="A101" s="10">
        <v>100.0</v>
      </c>
      <c r="B101" s="11"/>
      <c r="C101" s="22">
        <v>59600.0</v>
      </c>
      <c r="D101" s="12" t="s">
        <v>74</v>
      </c>
      <c r="E101" s="12" t="s">
        <v>96</v>
      </c>
      <c r="F101" s="13"/>
      <c r="G101" s="6" t="b">
        <v>1</v>
      </c>
      <c r="H101" s="6" t="b">
        <v>1</v>
      </c>
      <c r="I101" s="6" t="b">
        <v>0</v>
      </c>
      <c r="J101" s="6" t="b">
        <v>0</v>
      </c>
      <c r="K101" s="6" t="b">
        <v>1</v>
      </c>
      <c r="L101" s="6" t="b">
        <v>1</v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b">
        <v>1</v>
      </c>
      <c r="T101" s="6" t="b">
        <v>1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0</v>
      </c>
      <c r="AJ101" s="6" t="b">
        <v>0</v>
      </c>
      <c r="AK101" s="6" t="b">
        <v>0</v>
      </c>
      <c r="AL101" s="9" t="str">
        <f t="shared" si="1"/>
        <v>12 dari 31 (39%)</v>
      </c>
    </row>
    <row r="102" ht="22.5" customHeight="1">
      <c r="A102" s="10">
        <v>101.0</v>
      </c>
      <c r="B102" s="11"/>
      <c r="C102" s="20">
        <v>36358.0</v>
      </c>
      <c r="D102" s="12" t="s">
        <v>80</v>
      </c>
      <c r="E102" s="12" t="s">
        <v>49</v>
      </c>
      <c r="F102" s="15" t="s">
        <v>50</v>
      </c>
      <c r="G102" s="6" t="b">
        <v>1</v>
      </c>
      <c r="H102" s="6" t="b">
        <v>0</v>
      </c>
      <c r="I102" s="6" t="b">
        <v>0</v>
      </c>
      <c r="J102" s="6" t="b">
        <v>0</v>
      </c>
      <c r="K102" s="6" t="b">
        <v>0</v>
      </c>
      <c r="L102" s="6" t="b">
        <v>0</v>
      </c>
      <c r="M102" s="6" t="b">
        <v>0</v>
      </c>
      <c r="N102" s="6" t="b">
        <v>0</v>
      </c>
      <c r="O102" s="6" t="b">
        <v>0</v>
      </c>
      <c r="P102" s="6" t="b">
        <v>0</v>
      </c>
      <c r="Q102" s="6" t="b">
        <v>0</v>
      </c>
      <c r="R102" s="6" t="b">
        <v>0</v>
      </c>
      <c r="S102" s="6" t="b">
        <v>0</v>
      </c>
      <c r="T102" s="6" t="b">
        <v>0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0</v>
      </c>
      <c r="AJ102" s="6" t="b">
        <v>0</v>
      </c>
      <c r="AK102" s="6" t="b">
        <v>0</v>
      </c>
      <c r="AL102" s="17" t="str">
        <f t="shared" si="1"/>
        <v>1 dari 31 (3%)</v>
      </c>
    </row>
    <row r="103" ht="22.5" customHeight="1">
      <c r="A103" s="2">
        <v>102.0</v>
      </c>
      <c r="B103" s="11"/>
      <c r="C103" s="20">
        <v>61015.0</v>
      </c>
      <c r="D103" s="12" t="s">
        <v>54</v>
      </c>
      <c r="E103" s="12" t="s">
        <v>55</v>
      </c>
      <c r="F103" s="13"/>
      <c r="G103" s="6" t="b">
        <v>1</v>
      </c>
      <c r="H103" s="6" t="b">
        <v>1</v>
      </c>
      <c r="I103" s="6" t="b">
        <v>1</v>
      </c>
      <c r="J103" s="6" t="b">
        <v>1</v>
      </c>
      <c r="K103" s="6" t="b">
        <v>1</v>
      </c>
      <c r="L103" s="6" t="b">
        <v>1</v>
      </c>
      <c r="M103" s="6" t="b">
        <v>1</v>
      </c>
      <c r="N103" s="6" t="b">
        <v>1</v>
      </c>
      <c r="O103" s="6" t="b">
        <v>1</v>
      </c>
      <c r="P103" s="6" t="b">
        <v>1</v>
      </c>
      <c r="Q103" s="6" t="b">
        <v>1</v>
      </c>
      <c r="R103" s="6" t="b">
        <v>1</v>
      </c>
      <c r="S103" s="6" t="b">
        <v>1</v>
      </c>
      <c r="T103" s="6" t="b">
        <v>1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1</v>
      </c>
      <c r="AJ103" s="6" t="b">
        <v>0</v>
      </c>
      <c r="AK103" s="6" t="b">
        <v>0</v>
      </c>
      <c r="AL103" s="9" t="str">
        <f t="shared" si="1"/>
        <v>15 dari 31 (48%)</v>
      </c>
    </row>
    <row r="104" ht="22.5" customHeight="1">
      <c r="A104" s="10">
        <v>103.0</v>
      </c>
      <c r="B104" s="11"/>
      <c r="C104" s="20">
        <v>57332.0</v>
      </c>
      <c r="D104" s="12" t="s">
        <v>54</v>
      </c>
      <c r="E104" s="12" t="s">
        <v>70</v>
      </c>
      <c r="F104" s="13"/>
      <c r="G104" s="6" t="b">
        <v>1</v>
      </c>
      <c r="H104" s="6" t="b">
        <v>1</v>
      </c>
      <c r="I104" s="6" t="b">
        <v>1</v>
      </c>
      <c r="J104" s="6" t="b">
        <v>0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1</v>
      </c>
      <c r="AJ104" s="6" t="b">
        <v>0</v>
      </c>
      <c r="AK104" s="6" t="b">
        <v>0</v>
      </c>
      <c r="AL104" s="9" t="str">
        <f t="shared" si="1"/>
        <v>14 dari 31 (45%)</v>
      </c>
    </row>
    <row r="105" ht="22.5" customHeight="1">
      <c r="A105" s="10">
        <v>104.0</v>
      </c>
      <c r="B105" s="11"/>
      <c r="C105" s="20">
        <v>60354.0</v>
      </c>
      <c r="D105" s="12" t="s">
        <v>39</v>
      </c>
      <c r="E105" s="12" t="s">
        <v>42</v>
      </c>
      <c r="F105" s="13"/>
      <c r="G105" s="6" t="b">
        <v>1</v>
      </c>
      <c r="H105" s="6" t="b">
        <v>1</v>
      </c>
      <c r="I105" s="6" t="b">
        <v>1</v>
      </c>
      <c r="J105" s="6" t="b">
        <v>1</v>
      </c>
      <c r="K105" s="6" t="b">
        <v>1</v>
      </c>
      <c r="L105" s="6" t="b">
        <v>1</v>
      </c>
      <c r="M105" s="6" t="b">
        <v>1</v>
      </c>
      <c r="N105" s="6" t="b">
        <v>1</v>
      </c>
      <c r="O105" s="6" t="b">
        <v>1</v>
      </c>
      <c r="P105" s="6" t="b">
        <v>1</v>
      </c>
      <c r="Q105" s="6" t="b">
        <v>1</v>
      </c>
      <c r="R105" s="6" t="b">
        <v>1</v>
      </c>
      <c r="S105" s="6" t="b">
        <v>1</v>
      </c>
      <c r="T105" s="6" t="b">
        <v>1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1</v>
      </c>
      <c r="AJ105" s="6" t="b">
        <v>0</v>
      </c>
      <c r="AK105" s="6" t="b">
        <v>0</v>
      </c>
      <c r="AL105" s="17" t="str">
        <f t="shared" si="1"/>
        <v>15 dari 31 (48%)</v>
      </c>
    </row>
    <row r="106" ht="22.5" customHeight="1">
      <c r="A106" s="2">
        <v>105.0</v>
      </c>
      <c r="B106" s="11"/>
      <c r="C106" s="20">
        <v>60177.0</v>
      </c>
      <c r="D106" s="12" t="s">
        <v>54</v>
      </c>
      <c r="E106" s="12" t="s">
        <v>82</v>
      </c>
      <c r="F106" s="13"/>
      <c r="G106" s="6" t="b">
        <v>1</v>
      </c>
      <c r="H106" s="6" t="b">
        <v>1</v>
      </c>
      <c r="I106" s="6" t="b">
        <v>0</v>
      </c>
      <c r="J106" s="6" t="b">
        <v>0</v>
      </c>
      <c r="K106" s="6" t="b">
        <v>0</v>
      </c>
      <c r="L106" s="6" t="b">
        <v>0</v>
      </c>
      <c r="M106" s="6" t="b">
        <v>0</v>
      </c>
      <c r="N106" s="6" t="b">
        <v>0</v>
      </c>
      <c r="O106" s="6" t="b">
        <v>0</v>
      </c>
      <c r="P106" s="6" t="b">
        <v>0</v>
      </c>
      <c r="Q106" s="6" t="b">
        <v>0</v>
      </c>
      <c r="R106" s="6" t="b">
        <v>1</v>
      </c>
      <c r="S106" s="6" t="b">
        <v>1</v>
      </c>
      <c r="T106" s="6" t="b">
        <v>1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1</v>
      </c>
      <c r="AJ106" s="6" t="b">
        <v>0</v>
      </c>
      <c r="AK106" s="6" t="b">
        <v>0</v>
      </c>
      <c r="AL106" s="9" t="str">
        <f t="shared" si="1"/>
        <v>6 dari 31 (19%)</v>
      </c>
    </row>
    <row r="107" ht="22.5" customHeight="1">
      <c r="A107" s="10">
        <v>106.0</v>
      </c>
      <c r="B107" s="11"/>
      <c r="C107" s="22">
        <v>60522.0</v>
      </c>
      <c r="D107" s="12" t="s">
        <v>39</v>
      </c>
      <c r="E107" s="12" t="s">
        <v>57</v>
      </c>
      <c r="F107" s="13"/>
      <c r="G107" s="6" t="b">
        <v>1</v>
      </c>
      <c r="H107" s="6" t="b">
        <v>1</v>
      </c>
      <c r="I107" s="6" t="b">
        <v>1</v>
      </c>
      <c r="J107" s="6" t="b">
        <v>1</v>
      </c>
      <c r="K107" s="6" t="b">
        <v>1</v>
      </c>
      <c r="L107" s="6" t="b">
        <v>1</v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b">
        <v>1</v>
      </c>
      <c r="T107" s="6" t="b">
        <v>1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1</v>
      </c>
      <c r="AJ107" s="6" t="b">
        <v>0</v>
      </c>
      <c r="AK107" s="6" t="b">
        <v>0</v>
      </c>
      <c r="AL107" s="9" t="str">
        <f t="shared" si="1"/>
        <v>15 dari 31 (48%)</v>
      </c>
    </row>
    <row r="108" ht="22.5" customHeight="1">
      <c r="A108" s="10">
        <v>107.0</v>
      </c>
      <c r="B108" s="11"/>
      <c r="C108" s="22">
        <v>56666.0</v>
      </c>
      <c r="D108" s="12" t="s">
        <v>39</v>
      </c>
      <c r="E108" s="12" t="s">
        <v>57</v>
      </c>
      <c r="F108" s="13"/>
      <c r="G108" s="6" t="b">
        <v>1</v>
      </c>
      <c r="H108" s="6" t="b">
        <v>1</v>
      </c>
      <c r="I108" s="6" t="b">
        <v>1</v>
      </c>
      <c r="J108" s="6" t="b">
        <v>1</v>
      </c>
      <c r="K108" s="6" t="b">
        <v>1</v>
      </c>
      <c r="L108" s="6" t="b">
        <v>1</v>
      </c>
      <c r="M108" s="6" t="b">
        <v>1</v>
      </c>
      <c r="N108" s="6" t="b">
        <v>1</v>
      </c>
      <c r="O108" s="6" t="b">
        <v>1</v>
      </c>
      <c r="P108" s="6" t="b">
        <v>1</v>
      </c>
      <c r="Q108" s="6" t="b">
        <v>1</v>
      </c>
      <c r="R108" s="6" t="b">
        <v>1</v>
      </c>
      <c r="S108" s="6" t="b">
        <v>1</v>
      </c>
      <c r="T108" s="6" t="b">
        <v>1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1</v>
      </c>
      <c r="AJ108" s="6" t="b">
        <v>0</v>
      </c>
      <c r="AK108" s="6" t="b">
        <v>0</v>
      </c>
      <c r="AL108" s="17" t="str">
        <f t="shared" si="1"/>
        <v>15 dari 31 (48%)</v>
      </c>
    </row>
    <row r="109" ht="22.5" customHeight="1">
      <c r="A109" s="2">
        <v>108.0</v>
      </c>
      <c r="B109" s="11"/>
      <c r="C109" s="22">
        <v>45556.0</v>
      </c>
      <c r="D109" s="12" t="s">
        <v>41</v>
      </c>
      <c r="E109" s="12" t="s">
        <v>48</v>
      </c>
      <c r="F109" s="13"/>
      <c r="G109" s="6" t="b">
        <v>1</v>
      </c>
      <c r="H109" s="6" t="b">
        <v>1</v>
      </c>
      <c r="I109" s="6" t="b">
        <v>1</v>
      </c>
      <c r="J109" s="6" t="b">
        <v>0</v>
      </c>
      <c r="K109" s="6" t="b">
        <v>1</v>
      </c>
      <c r="L109" s="6" t="b">
        <v>1</v>
      </c>
      <c r="M109" s="6" t="b">
        <v>1</v>
      </c>
      <c r="N109" s="6" t="b">
        <v>1</v>
      </c>
      <c r="O109" s="6" t="b">
        <v>1</v>
      </c>
      <c r="P109" s="6" t="b">
        <v>1</v>
      </c>
      <c r="Q109" s="6" t="b">
        <v>1</v>
      </c>
      <c r="R109" s="6" t="b">
        <v>1</v>
      </c>
      <c r="S109" s="6" t="b">
        <v>1</v>
      </c>
      <c r="T109" s="6" t="b">
        <v>1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1</v>
      </c>
      <c r="AJ109" s="6" t="b">
        <v>0</v>
      </c>
      <c r="AK109" s="6" t="b">
        <v>0</v>
      </c>
      <c r="AL109" s="9" t="str">
        <f t="shared" si="1"/>
        <v>14 dari 31 (45%)</v>
      </c>
    </row>
    <row r="110" ht="22.5" customHeight="1">
      <c r="A110" s="10">
        <v>109.0</v>
      </c>
      <c r="B110" s="11"/>
      <c r="C110" s="22">
        <v>50842.0</v>
      </c>
      <c r="D110" s="12" t="s">
        <v>40</v>
      </c>
      <c r="E110" s="12" t="s">
        <v>49</v>
      </c>
      <c r="F110" s="13"/>
      <c r="G110" s="6" t="b">
        <v>1</v>
      </c>
      <c r="H110" s="6" t="b">
        <v>1</v>
      </c>
      <c r="I110" s="6" t="b">
        <v>1</v>
      </c>
      <c r="J110" s="6" t="b">
        <v>1</v>
      </c>
      <c r="K110" s="6" t="b">
        <v>1</v>
      </c>
      <c r="L110" s="6" t="b">
        <v>1</v>
      </c>
      <c r="M110" s="6" t="b">
        <v>1</v>
      </c>
      <c r="N110" s="6" t="b">
        <v>1</v>
      </c>
      <c r="O110" s="6" t="b">
        <v>1</v>
      </c>
      <c r="P110" s="6" t="b">
        <v>1</v>
      </c>
      <c r="Q110" s="6" t="b">
        <v>1</v>
      </c>
      <c r="R110" s="6" t="b">
        <v>1</v>
      </c>
      <c r="S110" s="6" t="b">
        <v>1</v>
      </c>
      <c r="T110" s="6" t="b">
        <v>1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1</v>
      </c>
      <c r="AJ110" s="6" t="b">
        <v>0</v>
      </c>
      <c r="AK110" s="6" t="b">
        <v>0</v>
      </c>
      <c r="AL110" s="9" t="str">
        <f t="shared" si="1"/>
        <v>15 dari 31 (48%)</v>
      </c>
    </row>
    <row r="111" ht="22.5" customHeight="1">
      <c r="A111" s="10">
        <v>110.0</v>
      </c>
      <c r="B111" s="11"/>
      <c r="C111" s="22">
        <v>52570.0</v>
      </c>
      <c r="D111" s="12" t="s">
        <v>40</v>
      </c>
      <c r="E111" s="12" t="s">
        <v>49</v>
      </c>
      <c r="F111" s="13"/>
      <c r="G111" s="6" t="b">
        <v>1</v>
      </c>
      <c r="H111" s="6" t="b">
        <v>1</v>
      </c>
      <c r="I111" s="6" t="b">
        <v>1</v>
      </c>
      <c r="J111" s="6" t="b">
        <v>1</v>
      </c>
      <c r="K111" s="6" t="b">
        <v>1</v>
      </c>
      <c r="L111" s="6" t="b">
        <v>1</v>
      </c>
      <c r="M111" s="6" t="b">
        <v>1</v>
      </c>
      <c r="N111" s="6" t="b">
        <v>1</v>
      </c>
      <c r="O111" s="6" t="b">
        <v>1</v>
      </c>
      <c r="P111" s="6" t="b">
        <v>1</v>
      </c>
      <c r="Q111" s="6" t="b">
        <v>1</v>
      </c>
      <c r="R111" s="6" t="b">
        <v>1</v>
      </c>
      <c r="S111" s="6" t="b">
        <v>1</v>
      </c>
      <c r="T111" s="6" t="b">
        <v>1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1</v>
      </c>
      <c r="AJ111" s="6" t="b">
        <v>0</v>
      </c>
      <c r="AK111" s="6" t="b">
        <v>0</v>
      </c>
      <c r="AL111" s="17" t="str">
        <f t="shared" si="1"/>
        <v>15 dari 31 (48%)</v>
      </c>
    </row>
    <row r="112" ht="22.5" customHeight="1">
      <c r="A112" s="2">
        <v>111.0</v>
      </c>
      <c r="B112" s="11"/>
      <c r="C112" s="20">
        <v>61017.0</v>
      </c>
      <c r="D112" s="12" t="s">
        <v>54</v>
      </c>
      <c r="E112" s="12" t="s">
        <v>76</v>
      </c>
      <c r="F112" s="15" t="s">
        <v>50</v>
      </c>
      <c r="G112" s="6" t="b">
        <v>1</v>
      </c>
      <c r="H112" s="6" t="b">
        <v>0</v>
      </c>
      <c r="I112" s="6" t="b">
        <v>0</v>
      </c>
      <c r="J112" s="6" t="b">
        <v>0</v>
      </c>
      <c r="K112" s="6" t="b">
        <v>0</v>
      </c>
      <c r="L112" s="6" t="b">
        <v>0</v>
      </c>
      <c r="M112" s="6" t="b">
        <v>0</v>
      </c>
      <c r="N112" s="6" t="b">
        <v>0</v>
      </c>
      <c r="O112" s="6" t="b">
        <v>0</v>
      </c>
      <c r="P112" s="6" t="b">
        <v>0</v>
      </c>
      <c r="Q112" s="6" t="b">
        <v>0</v>
      </c>
      <c r="R112" s="6" t="b">
        <v>1</v>
      </c>
      <c r="S112" s="6" t="b">
        <v>1</v>
      </c>
      <c r="T112" s="6" t="b">
        <v>0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1</v>
      </c>
      <c r="AA112" s="6" t="b">
        <v>1</v>
      </c>
      <c r="AB112" s="6" t="b">
        <v>1</v>
      </c>
      <c r="AC112" s="6" t="b">
        <v>1</v>
      </c>
      <c r="AD112" s="6" t="b">
        <v>1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1</v>
      </c>
      <c r="AJ112" s="6" t="b">
        <v>0</v>
      </c>
      <c r="AK112" s="6" t="b">
        <v>0</v>
      </c>
      <c r="AL112" s="9" t="str">
        <f t="shared" si="1"/>
        <v>9 dari 31 (29%)</v>
      </c>
    </row>
    <row r="113" ht="22.5" customHeight="1">
      <c r="A113" s="10">
        <v>112.0</v>
      </c>
      <c r="B113" s="11"/>
      <c r="C113" s="20">
        <v>60390.0</v>
      </c>
      <c r="D113" s="12" t="s">
        <v>41</v>
      </c>
      <c r="E113" s="12" t="s">
        <v>44</v>
      </c>
      <c r="F113" s="13"/>
      <c r="G113" s="6" t="b">
        <v>1</v>
      </c>
      <c r="H113" s="6" t="b">
        <v>1</v>
      </c>
      <c r="I113" s="6" t="b">
        <v>1</v>
      </c>
      <c r="J113" s="6" t="b">
        <v>0</v>
      </c>
      <c r="K113" s="6" t="b">
        <v>1</v>
      </c>
      <c r="L113" s="6" t="b">
        <v>1</v>
      </c>
      <c r="M113" s="6" t="b">
        <v>1</v>
      </c>
      <c r="N113" s="6" t="b">
        <v>1</v>
      </c>
      <c r="O113" s="6" t="b">
        <v>1</v>
      </c>
      <c r="P113" s="6" t="b">
        <v>1</v>
      </c>
      <c r="Q113" s="6" t="b">
        <v>1</v>
      </c>
      <c r="R113" s="6" t="b">
        <v>1</v>
      </c>
      <c r="S113" s="6" t="b">
        <v>1</v>
      </c>
      <c r="T113" s="6" t="b">
        <v>1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1</v>
      </c>
      <c r="AJ113" s="6" t="b">
        <v>0</v>
      </c>
      <c r="AK113" s="6" t="b">
        <v>0</v>
      </c>
      <c r="AL113" s="9" t="str">
        <f t="shared" si="1"/>
        <v>14 dari 31 (45%)</v>
      </c>
    </row>
    <row r="114" ht="22.5" customHeight="1">
      <c r="A114" s="10">
        <v>113.0</v>
      </c>
      <c r="B114" s="11"/>
      <c r="C114" s="20">
        <v>61016.0</v>
      </c>
      <c r="D114" s="12" t="s">
        <v>54</v>
      </c>
      <c r="E114" s="12" t="s">
        <v>76</v>
      </c>
      <c r="F114" s="13"/>
      <c r="G114" s="6" t="b">
        <v>1</v>
      </c>
      <c r="H114" s="6" t="b">
        <v>1</v>
      </c>
      <c r="I114" s="6" t="b">
        <v>1</v>
      </c>
      <c r="J114" s="6" t="b">
        <v>0</v>
      </c>
      <c r="K114" s="6" t="b">
        <v>0</v>
      </c>
      <c r="L114" s="6" t="b">
        <v>0</v>
      </c>
      <c r="M114" s="6" t="b">
        <v>0</v>
      </c>
      <c r="N114" s="6" t="b">
        <v>0</v>
      </c>
      <c r="O114" s="6" t="b">
        <v>0</v>
      </c>
      <c r="P114" s="6" t="b">
        <v>0</v>
      </c>
      <c r="Q114" s="6" t="b">
        <v>0</v>
      </c>
      <c r="R114" s="6" t="b">
        <v>1</v>
      </c>
      <c r="S114" s="6" t="b">
        <v>1</v>
      </c>
      <c r="T114" s="6" t="b">
        <v>0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1</v>
      </c>
      <c r="AA114" s="6" t="b">
        <v>1</v>
      </c>
      <c r="AB114" s="6" t="b">
        <v>1</v>
      </c>
      <c r="AC114" s="6" t="b">
        <v>1</v>
      </c>
      <c r="AD114" s="6" t="b">
        <v>1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1</v>
      </c>
      <c r="AJ114" s="6" t="b">
        <v>0</v>
      </c>
      <c r="AK114" s="6" t="b">
        <v>0</v>
      </c>
      <c r="AL114" s="17" t="str">
        <f t="shared" si="1"/>
        <v>11 dari 31 (35%)</v>
      </c>
    </row>
    <row r="115" ht="22.5" customHeight="1">
      <c r="A115" s="2">
        <v>114.0</v>
      </c>
      <c r="B115" s="11"/>
      <c r="C115" s="20">
        <v>57756.0</v>
      </c>
      <c r="D115" s="12" t="s">
        <v>41</v>
      </c>
      <c r="E115" s="12" t="s">
        <v>44</v>
      </c>
      <c r="F115" s="13"/>
      <c r="G115" s="6" t="b">
        <v>1</v>
      </c>
      <c r="H115" s="6" t="b">
        <v>1</v>
      </c>
      <c r="I115" s="6" t="b">
        <v>1</v>
      </c>
      <c r="J115" s="6" t="b">
        <v>0</v>
      </c>
      <c r="K115" s="6" t="b">
        <v>1</v>
      </c>
      <c r="L115" s="6" t="b">
        <v>1</v>
      </c>
      <c r="M115" s="6" t="b">
        <v>1</v>
      </c>
      <c r="N115" s="6" t="b">
        <v>1</v>
      </c>
      <c r="O115" s="6" t="b">
        <v>1</v>
      </c>
      <c r="P115" s="6" t="b">
        <v>1</v>
      </c>
      <c r="Q115" s="6" t="b">
        <v>1</v>
      </c>
      <c r="R115" s="6" t="b">
        <v>1</v>
      </c>
      <c r="S115" s="6" t="b">
        <v>1</v>
      </c>
      <c r="T115" s="6" t="b">
        <v>1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1</v>
      </c>
      <c r="AJ115" s="6" t="b">
        <v>0</v>
      </c>
      <c r="AK115" s="6" t="b">
        <v>0</v>
      </c>
      <c r="AL115" s="9" t="str">
        <f t="shared" si="1"/>
        <v>14 dari 31 (45%)</v>
      </c>
    </row>
    <row r="116" ht="22.5" customHeight="1">
      <c r="A116" s="10">
        <v>115.0</v>
      </c>
      <c r="B116" s="11"/>
      <c r="C116" s="20">
        <v>47170.0</v>
      </c>
      <c r="D116" s="12" t="s">
        <v>39</v>
      </c>
      <c r="E116" s="12" t="s">
        <v>42</v>
      </c>
      <c r="F116" s="13"/>
      <c r="G116" s="6" t="b">
        <v>1</v>
      </c>
      <c r="H116" s="6" t="b">
        <v>1</v>
      </c>
      <c r="I116" s="6" t="b">
        <v>1</v>
      </c>
      <c r="J116" s="6" t="b">
        <v>1</v>
      </c>
      <c r="K116" s="6" t="b">
        <v>1</v>
      </c>
      <c r="L116" s="6" t="b">
        <v>1</v>
      </c>
      <c r="M116" s="6" t="b">
        <v>1</v>
      </c>
      <c r="N116" s="6" t="b">
        <v>1</v>
      </c>
      <c r="O116" s="6" t="b">
        <v>1</v>
      </c>
      <c r="P116" s="6" t="b">
        <v>1</v>
      </c>
      <c r="Q116" s="6" t="b">
        <v>1</v>
      </c>
      <c r="R116" s="6" t="b">
        <v>1</v>
      </c>
      <c r="S116" s="6" t="b">
        <v>1</v>
      </c>
      <c r="T116" s="6" t="b">
        <v>1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0</v>
      </c>
      <c r="AJ116" s="6" t="b">
        <v>0</v>
      </c>
      <c r="AK116" s="6" t="b">
        <v>0</v>
      </c>
      <c r="AL116" s="9" t="str">
        <f t="shared" si="1"/>
        <v>14 dari 31 (45%)</v>
      </c>
    </row>
    <row r="117" ht="22.5" customHeight="1">
      <c r="A117" s="10">
        <v>116.0</v>
      </c>
      <c r="B117" s="11"/>
      <c r="C117" s="22">
        <v>60496.0</v>
      </c>
      <c r="D117" s="12" t="s">
        <v>51</v>
      </c>
      <c r="E117" s="12" t="s">
        <v>61</v>
      </c>
      <c r="F117" s="13"/>
      <c r="G117" s="6" t="b">
        <v>1</v>
      </c>
      <c r="H117" s="6" t="b">
        <v>1</v>
      </c>
      <c r="I117" s="6" t="b">
        <v>1</v>
      </c>
      <c r="J117" s="6" t="b">
        <v>0</v>
      </c>
      <c r="K117" s="6" t="b">
        <v>1</v>
      </c>
      <c r="L117" s="6" t="b">
        <v>1</v>
      </c>
      <c r="M117" s="6" t="b">
        <v>1</v>
      </c>
      <c r="N117" s="6" t="b">
        <v>1</v>
      </c>
      <c r="O117" s="6" t="b">
        <v>1</v>
      </c>
      <c r="P117" s="6" t="b">
        <v>1</v>
      </c>
      <c r="Q117" s="6" t="b">
        <v>1</v>
      </c>
      <c r="R117" s="6" t="b">
        <v>1</v>
      </c>
      <c r="S117" s="6" t="b">
        <v>1</v>
      </c>
      <c r="T117" s="6" t="b">
        <v>1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1</v>
      </c>
      <c r="AJ117" s="6" t="b">
        <v>0</v>
      </c>
      <c r="AK117" s="6" t="b">
        <v>0</v>
      </c>
      <c r="AL117" s="17" t="str">
        <f t="shared" si="1"/>
        <v>14 dari 31 (45%)</v>
      </c>
    </row>
    <row r="118" ht="22.5" customHeight="1">
      <c r="A118" s="2">
        <v>117.0</v>
      </c>
      <c r="B118" s="11"/>
      <c r="C118" s="22">
        <v>60396.0</v>
      </c>
      <c r="D118" s="12" t="s">
        <v>41</v>
      </c>
      <c r="E118" s="12" t="s">
        <v>44</v>
      </c>
      <c r="F118" s="13"/>
      <c r="G118" s="6" t="b">
        <v>1</v>
      </c>
      <c r="H118" s="6" t="b">
        <v>1</v>
      </c>
      <c r="I118" s="6" t="b">
        <v>1</v>
      </c>
      <c r="J118" s="6" t="b">
        <v>0</v>
      </c>
      <c r="K118" s="6" t="b">
        <v>1</v>
      </c>
      <c r="L118" s="6" t="b">
        <v>1</v>
      </c>
      <c r="M118" s="6" t="b">
        <v>1</v>
      </c>
      <c r="N118" s="6" t="b">
        <v>1</v>
      </c>
      <c r="O118" s="6" t="b">
        <v>1</v>
      </c>
      <c r="P118" s="6" t="b">
        <v>1</v>
      </c>
      <c r="Q118" s="6" t="b">
        <v>1</v>
      </c>
      <c r="R118" s="6" t="b">
        <v>1</v>
      </c>
      <c r="S118" s="6" t="b">
        <v>1</v>
      </c>
      <c r="T118" s="6" t="b">
        <v>1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1</v>
      </c>
      <c r="AJ118" s="6" t="b">
        <v>0</v>
      </c>
      <c r="AK118" s="6" t="b">
        <v>0</v>
      </c>
      <c r="AL118" s="9" t="str">
        <f t="shared" si="1"/>
        <v>14 dari 31 (45%)</v>
      </c>
    </row>
    <row r="119" ht="22.5" customHeight="1">
      <c r="A119" s="10">
        <v>118.0</v>
      </c>
      <c r="B119" s="11"/>
      <c r="C119" s="22">
        <v>32613.0</v>
      </c>
      <c r="D119" s="12" t="s">
        <v>101</v>
      </c>
      <c r="E119" s="12" t="s">
        <v>106</v>
      </c>
      <c r="F119" s="13"/>
      <c r="G119" s="6" t="b">
        <v>1</v>
      </c>
      <c r="H119" s="6" t="b">
        <v>1</v>
      </c>
      <c r="I119" s="6" t="b">
        <v>1</v>
      </c>
      <c r="J119" s="6" t="b">
        <v>1</v>
      </c>
      <c r="K119" s="6" t="b">
        <v>1</v>
      </c>
      <c r="L119" s="6" t="b">
        <v>1</v>
      </c>
      <c r="M119" s="6" t="b">
        <v>1</v>
      </c>
      <c r="N119" s="6" t="b">
        <v>1</v>
      </c>
      <c r="O119" s="6" t="b">
        <v>1</v>
      </c>
      <c r="P119" s="6" t="b">
        <v>1</v>
      </c>
      <c r="Q119" s="6" t="b">
        <v>1</v>
      </c>
      <c r="R119" s="6" t="b">
        <v>1</v>
      </c>
      <c r="S119" s="6" t="b">
        <v>1</v>
      </c>
      <c r="T119" s="6" t="b">
        <v>1</v>
      </c>
      <c r="U119" s="6" t="b">
        <v>0</v>
      </c>
      <c r="V119" s="6" t="b">
        <v>0</v>
      </c>
      <c r="W119" s="6" t="b">
        <v>1</v>
      </c>
      <c r="X119" s="6" t="b">
        <v>1</v>
      </c>
      <c r="Y119" s="6" t="b">
        <v>1</v>
      </c>
      <c r="Z119" s="6" t="b">
        <v>0</v>
      </c>
      <c r="AA119" s="6" t="b">
        <v>0</v>
      </c>
      <c r="AB119" s="6" t="b">
        <v>0</v>
      </c>
      <c r="AC119" s="6" t="b">
        <v>0</v>
      </c>
      <c r="AD119" s="6" t="b">
        <v>0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1</v>
      </c>
      <c r="AJ119" s="6" t="b">
        <v>0</v>
      </c>
      <c r="AK119" s="6" t="b">
        <v>0</v>
      </c>
      <c r="AL119" s="9" t="str">
        <f t="shared" si="1"/>
        <v>18 dari 31 (58%)</v>
      </c>
    </row>
    <row r="120" ht="22.5" customHeight="1">
      <c r="A120" s="10">
        <v>119.0</v>
      </c>
      <c r="B120" s="11"/>
      <c r="C120" s="65">
        <v>60554.0</v>
      </c>
      <c r="D120" s="12" t="s">
        <v>51</v>
      </c>
      <c r="E120" s="12" t="s">
        <v>52</v>
      </c>
      <c r="F120" s="13"/>
      <c r="G120" s="6" t="b">
        <v>1</v>
      </c>
      <c r="H120" s="6" t="b">
        <v>1</v>
      </c>
      <c r="I120" s="6" t="b">
        <v>1</v>
      </c>
      <c r="J120" s="6" t="b">
        <v>0</v>
      </c>
      <c r="K120" s="6" t="b">
        <v>1</v>
      </c>
      <c r="L120" s="6" t="b">
        <v>1</v>
      </c>
      <c r="M120" s="6" t="b">
        <v>1</v>
      </c>
      <c r="N120" s="6" t="b">
        <v>1</v>
      </c>
      <c r="O120" s="6" t="b">
        <v>1</v>
      </c>
      <c r="P120" s="6" t="b">
        <v>1</v>
      </c>
      <c r="Q120" s="6" t="b">
        <v>1</v>
      </c>
      <c r="R120" s="6" t="b">
        <v>1</v>
      </c>
      <c r="S120" s="6" t="b">
        <v>1</v>
      </c>
      <c r="T120" s="6" t="b">
        <v>1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1</v>
      </c>
      <c r="AJ120" s="6" t="b">
        <v>0</v>
      </c>
      <c r="AK120" s="6" t="b">
        <v>0</v>
      </c>
      <c r="AL120" s="17" t="str">
        <f t="shared" si="1"/>
        <v>14 dari 31 (45%)</v>
      </c>
    </row>
    <row r="121" ht="22.5" customHeight="1">
      <c r="A121" s="2">
        <v>120.0</v>
      </c>
      <c r="B121" s="11"/>
      <c r="C121" s="22">
        <v>61018.0</v>
      </c>
      <c r="D121" s="12" t="s">
        <v>40</v>
      </c>
      <c r="E121" s="12" t="s">
        <v>43</v>
      </c>
      <c r="F121" s="13"/>
      <c r="G121" s="6" t="b">
        <v>1</v>
      </c>
      <c r="H121" s="6" t="b">
        <v>1</v>
      </c>
      <c r="I121" s="6" t="b">
        <v>1</v>
      </c>
      <c r="J121" s="6" t="b">
        <v>1</v>
      </c>
      <c r="K121" s="6" t="b">
        <v>1</v>
      </c>
      <c r="L121" s="6" t="b">
        <v>1</v>
      </c>
      <c r="M121" s="6" t="b">
        <v>1</v>
      </c>
      <c r="N121" s="6" t="b">
        <v>1</v>
      </c>
      <c r="O121" s="6" t="b">
        <v>1</v>
      </c>
      <c r="P121" s="6" t="b">
        <v>1</v>
      </c>
      <c r="Q121" s="6" t="b">
        <v>1</v>
      </c>
      <c r="R121" s="6" t="b">
        <v>1</v>
      </c>
      <c r="S121" s="6" t="b">
        <v>1</v>
      </c>
      <c r="T121" s="6" t="b">
        <v>1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1</v>
      </c>
      <c r="AJ121" s="6" t="b">
        <v>0</v>
      </c>
      <c r="AK121" s="6" t="b">
        <v>0</v>
      </c>
      <c r="AL121" s="9" t="str">
        <f t="shared" si="1"/>
        <v>15 dari 31 (48%)</v>
      </c>
    </row>
    <row r="122" ht="22.5" customHeight="1">
      <c r="A122" s="10">
        <v>121.0</v>
      </c>
      <c r="B122" s="11"/>
      <c r="C122" s="20">
        <v>61020.0</v>
      </c>
      <c r="D122" s="12" t="s">
        <v>89</v>
      </c>
      <c r="E122" s="12" t="s">
        <v>86</v>
      </c>
      <c r="F122" s="14" t="s">
        <v>50</v>
      </c>
      <c r="G122" s="6" t="b">
        <v>1</v>
      </c>
      <c r="H122" s="6" t="b">
        <v>0</v>
      </c>
      <c r="I122" s="6" t="b">
        <v>0</v>
      </c>
      <c r="J122" s="6" t="b">
        <v>1</v>
      </c>
      <c r="K122" s="6" t="b">
        <v>1</v>
      </c>
      <c r="L122" s="6" t="b">
        <v>1</v>
      </c>
      <c r="M122" s="6" t="b">
        <v>1</v>
      </c>
      <c r="N122" s="6" t="b">
        <v>1</v>
      </c>
      <c r="O122" s="6" t="b">
        <v>1</v>
      </c>
      <c r="P122" s="6" t="b">
        <v>1</v>
      </c>
      <c r="Q122" s="6" t="b">
        <v>1</v>
      </c>
      <c r="R122" s="6" t="b">
        <v>1</v>
      </c>
      <c r="S122" s="6" t="b">
        <v>1</v>
      </c>
      <c r="T122" s="6" t="b">
        <v>1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1</v>
      </c>
      <c r="AA122" s="6" t="b">
        <v>1</v>
      </c>
      <c r="AB122" s="6" t="b">
        <v>1</v>
      </c>
      <c r="AC122" s="6" t="b">
        <v>1</v>
      </c>
      <c r="AD122" s="6" t="b">
        <v>1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1</v>
      </c>
      <c r="AJ122" s="6" t="b">
        <v>0</v>
      </c>
      <c r="AK122" s="6" t="b">
        <v>0</v>
      </c>
      <c r="AL122" s="9" t="str">
        <f t="shared" si="1"/>
        <v>18 dari 31 (58%)</v>
      </c>
    </row>
    <row r="123" ht="22.5" customHeight="1">
      <c r="A123" s="10">
        <v>122.0</v>
      </c>
      <c r="B123" s="11"/>
      <c r="C123" s="20">
        <v>34983.0</v>
      </c>
      <c r="D123" s="12" t="s">
        <v>40</v>
      </c>
      <c r="E123" s="12" t="s">
        <v>121</v>
      </c>
      <c r="F123" s="13"/>
      <c r="G123" s="6" t="b">
        <v>1</v>
      </c>
      <c r="H123" s="6" t="b">
        <v>1</v>
      </c>
      <c r="I123" s="6" t="b">
        <v>1</v>
      </c>
      <c r="J123" s="6" t="b">
        <v>1</v>
      </c>
      <c r="K123" s="6" t="b">
        <v>1</v>
      </c>
      <c r="L123" s="6" t="b">
        <v>1</v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1</v>
      </c>
      <c r="S123" s="6" t="b">
        <v>1</v>
      </c>
      <c r="T123" s="6" t="b">
        <v>1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1</v>
      </c>
      <c r="AJ123" s="6" t="b">
        <v>0</v>
      </c>
      <c r="AK123" s="6" t="b">
        <v>0</v>
      </c>
      <c r="AL123" s="17" t="str">
        <f t="shared" si="1"/>
        <v>15 dari 31 (48%)</v>
      </c>
    </row>
    <row r="124" ht="22.5" customHeight="1">
      <c r="A124" s="2">
        <v>123.0</v>
      </c>
      <c r="B124" s="11"/>
      <c r="C124" s="20">
        <v>60557.0</v>
      </c>
      <c r="D124" s="12" t="s">
        <v>54</v>
      </c>
      <c r="E124" s="12" t="s">
        <v>55</v>
      </c>
      <c r="F124" s="14" t="s">
        <v>50</v>
      </c>
      <c r="G124" s="6" t="b">
        <v>1</v>
      </c>
      <c r="H124" s="6" t="b">
        <v>0</v>
      </c>
      <c r="I124" s="6" t="b">
        <v>0</v>
      </c>
      <c r="J124" s="6" t="b">
        <v>1</v>
      </c>
      <c r="K124" s="6" t="b">
        <v>1</v>
      </c>
      <c r="L124" s="6" t="b">
        <v>1</v>
      </c>
      <c r="M124" s="6" t="b">
        <v>1</v>
      </c>
      <c r="N124" s="6" t="b">
        <v>1</v>
      </c>
      <c r="O124" s="6" t="b">
        <v>1</v>
      </c>
      <c r="P124" s="6" t="b">
        <v>1</v>
      </c>
      <c r="Q124" s="6" t="b">
        <v>1</v>
      </c>
      <c r="R124" s="6" t="b">
        <v>1</v>
      </c>
      <c r="S124" s="6" t="b">
        <v>1</v>
      </c>
      <c r="T124" s="6" t="b">
        <v>0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1</v>
      </c>
      <c r="AJ124" s="6" t="b">
        <v>0</v>
      </c>
      <c r="AK124" s="6" t="b">
        <v>0</v>
      </c>
      <c r="AL124" s="9" t="str">
        <f t="shared" si="1"/>
        <v>12 dari 31 (39%)</v>
      </c>
    </row>
    <row r="125" ht="22.5" customHeight="1">
      <c r="A125" s="10">
        <v>124.0</v>
      </c>
      <c r="B125" s="11"/>
      <c r="C125" s="20">
        <v>61019.0</v>
      </c>
      <c r="D125" s="12" t="s">
        <v>54</v>
      </c>
      <c r="E125" s="12" t="s">
        <v>76</v>
      </c>
      <c r="F125" s="14" t="s">
        <v>50</v>
      </c>
      <c r="G125" s="6" t="b">
        <v>1</v>
      </c>
      <c r="H125" s="6" t="b">
        <v>0</v>
      </c>
      <c r="I125" s="6" t="b">
        <v>0</v>
      </c>
      <c r="J125" s="6" t="b">
        <v>0</v>
      </c>
      <c r="K125" s="6" t="b">
        <v>0</v>
      </c>
      <c r="L125" s="6" t="b">
        <v>0</v>
      </c>
      <c r="M125" s="6" t="b">
        <v>0</v>
      </c>
      <c r="N125" s="6" t="b">
        <v>0</v>
      </c>
      <c r="O125" s="6" t="b">
        <v>0</v>
      </c>
      <c r="P125" s="6" t="b">
        <v>0</v>
      </c>
      <c r="Q125" s="6" t="b">
        <v>0</v>
      </c>
      <c r="R125" s="6" t="b">
        <v>1</v>
      </c>
      <c r="S125" s="6" t="b">
        <v>1</v>
      </c>
      <c r="T125" s="6" t="b">
        <v>0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1</v>
      </c>
      <c r="AA125" s="6" t="b">
        <v>1</v>
      </c>
      <c r="AB125" s="6" t="b">
        <v>1</v>
      </c>
      <c r="AC125" s="6" t="b">
        <v>1</v>
      </c>
      <c r="AD125" s="6" t="b">
        <v>1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1</v>
      </c>
      <c r="AJ125" s="6" t="b">
        <v>0</v>
      </c>
      <c r="AK125" s="6" t="b">
        <v>0</v>
      </c>
      <c r="AL125" s="9" t="str">
        <f t="shared" si="1"/>
        <v>9 dari 31 (29%)</v>
      </c>
    </row>
    <row r="126" ht="22.5" customHeight="1">
      <c r="A126" s="10">
        <v>125.0</v>
      </c>
      <c r="B126" s="11"/>
      <c r="C126" s="20">
        <v>61018.0</v>
      </c>
      <c r="D126" s="12" t="s">
        <v>85</v>
      </c>
      <c r="E126" s="12" t="s">
        <v>109</v>
      </c>
      <c r="F126" s="13"/>
      <c r="G126" s="6" t="b">
        <v>1</v>
      </c>
      <c r="H126" s="6" t="b">
        <v>1</v>
      </c>
      <c r="I126" s="6" t="b">
        <v>1</v>
      </c>
      <c r="J126" s="6" t="b">
        <v>1</v>
      </c>
      <c r="K126" s="6" t="b">
        <v>1</v>
      </c>
      <c r="L126" s="6" t="b">
        <v>1</v>
      </c>
      <c r="M126" s="6" t="b">
        <v>1</v>
      </c>
      <c r="N126" s="6" t="b">
        <v>1</v>
      </c>
      <c r="O126" s="6" t="b">
        <v>1</v>
      </c>
      <c r="P126" s="6" t="b">
        <v>1</v>
      </c>
      <c r="Q126" s="6" t="b">
        <v>1</v>
      </c>
      <c r="R126" s="6" t="b">
        <v>1</v>
      </c>
      <c r="S126" s="6" t="b">
        <v>1</v>
      </c>
      <c r="T126" s="6" t="b">
        <v>1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1</v>
      </c>
      <c r="AJ126" s="6" t="b">
        <v>0</v>
      </c>
      <c r="AK126" s="6" t="b">
        <v>0</v>
      </c>
      <c r="AL126" s="17" t="str">
        <f t="shared" si="1"/>
        <v>15 dari 31 (48%)</v>
      </c>
    </row>
    <row r="127" ht="22.5" customHeight="1">
      <c r="A127" s="2">
        <v>126.0</v>
      </c>
      <c r="B127" s="11"/>
      <c r="C127" s="22">
        <v>59835.0</v>
      </c>
      <c r="D127" s="12" t="s">
        <v>63</v>
      </c>
      <c r="E127" s="12" t="s">
        <v>58</v>
      </c>
      <c r="F127" s="14" t="s">
        <v>50</v>
      </c>
      <c r="G127" s="6" t="b">
        <v>1</v>
      </c>
      <c r="H127" s="6" t="b">
        <v>0</v>
      </c>
      <c r="I127" s="6" t="b">
        <v>0</v>
      </c>
      <c r="J127" s="6" t="b">
        <v>0</v>
      </c>
      <c r="K127" s="6" t="b">
        <v>1</v>
      </c>
      <c r="L127" s="6" t="b">
        <v>1</v>
      </c>
      <c r="M127" s="6" t="b">
        <v>1</v>
      </c>
      <c r="N127" s="6" t="b">
        <v>1</v>
      </c>
      <c r="O127" s="6" t="b">
        <v>1</v>
      </c>
      <c r="P127" s="6" t="b">
        <v>1</v>
      </c>
      <c r="Q127" s="6" t="b">
        <v>1</v>
      </c>
      <c r="R127" s="6" t="b">
        <v>1</v>
      </c>
      <c r="S127" s="6" t="b">
        <v>1</v>
      </c>
      <c r="T127" s="6" t="b">
        <v>0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1</v>
      </c>
      <c r="AJ127" s="6" t="b">
        <v>0</v>
      </c>
      <c r="AK127" s="6" t="b">
        <v>0</v>
      </c>
      <c r="AL127" s="9" t="str">
        <f t="shared" si="1"/>
        <v>11 dari 31 (35%)</v>
      </c>
    </row>
    <row r="128" ht="22.5" customHeight="1">
      <c r="A128" s="10">
        <v>127.0</v>
      </c>
      <c r="B128" s="11"/>
      <c r="C128" s="22">
        <v>60380.0</v>
      </c>
      <c r="D128" s="56" t="s">
        <v>63</v>
      </c>
      <c r="E128" s="56" t="s">
        <v>58</v>
      </c>
      <c r="F128" s="14" t="s">
        <v>50</v>
      </c>
      <c r="G128" s="6" t="b">
        <v>1</v>
      </c>
      <c r="H128" s="6" t="b">
        <v>0</v>
      </c>
      <c r="I128" s="6" t="b">
        <v>0</v>
      </c>
      <c r="J128" s="6" t="b">
        <v>0</v>
      </c>
      <c r="K128" s="6" t="b">
        <v>0</v>
      </c>
      <c r="L128" s="6" t="b">
        <v>0</v>
      </c>
      <c r="M128" s="6" t="b">
        <v>0</v>
      </c>
      <c r="N128" s="6" t="b">
        <v>0</v>
      </c>
      <c r="O128" s="6" t="b">
        <v>0</v>
      </c>
      <c r="P128" s="6" t="b">
        <v>0</v>
      </c>
      <c r="Q128" s="6" t="b">
        <v>0</v>
      </c>
      <c r="R128" s="6" t="b">
        <v>0</v>
      </c>
      <c r="S128" s="6" t="b">
        <v>0</v>
      </c>
      <c r="T128" s="6" t="b">
        <v>0</v>
      </c>
      <c r="U128" s="6" t="b">
        <v>0</v>
      </c>
      <c r="V128" s="6" t="b">
        <v>0</v>
      </c>
      <c r="W128" s="6" t="b">
        <v>0</v>
      </c>
      <c r="X128" s="6" t="b">
        <v>0</v>
      </c>
      <c r="Y128" s="6" t="b">
        <v>0</v>
      </c>
      <c r="Z128" s="6" t="b">
        <v>0</v>
      </c>
      <c r="AA128" s="6" t="b">
        <v>0</v>
      </c>
      <c r="AB128" s="6" t="b">
        <v>0</v>
      </c>
      <c r="AC128" s="6" t="b">
        <v>0</v>
      </c>
      <c r="AD128" s="6" t="b">
        <v>0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0</v>
      </c>
      <c r="AJ128" s="6" t="b">
        <v>0</v>
      </c>
      <c r="AK128" s="6" t="b">
        <v>0</v>
      </c>
      <c r="AL128" s="9" t="str">
        <f t="shared" si="1"/>
        <v>1 dari 31 (3%)</v>
      </c>
    </row>
    <row r="129" ht="22.5" customHeight="1">
      <c r="A129" s="10">
        <v>128.0</v>
      </c>
      <c r="B129" s="11"/>
      <c r="C129" s="22">
        <v>46579.0</v>
      </c>
      <c r="D129" s="12" t="s">
        <v>63</v>
      </c>
      <c r="E129" s="12" t="s">
        <v>58</v>
      </c>
      <c r="F129" s="13"/>
      <c r="G129" s="6" t="b">
        <v>1</v>
      </c>
      <c r="H129" s="6" t="b">
        <v>1</v>
      </c>
      <c r="I129" s="6" t="b">
        <v>0</v>
      </c>
      <c r="J129" s="6" t="b">
        <v>1</v>
      </c>
      <c r="K129" s="6" t="b">
        <v>1</v>
      </c>
      <c r="L129" s="6" t="b">
        <v>1</v>
      </c>
      <c r="M129" s="6" t="b">
        <v>1</v>
      </c>
      <c r="N129" s="6" t="b">
        <v>1</v>
      </c>
      <c r="O129" s="6" t="b">
        <v>1</v>
      </c>
      <c r="P129" s="6" t="b">
        <v>1</v>
      </c>
      <c r="Q129" s="6" t="b">
        <v>1</v>
      </c>
      <c r="R129" s="6" t="b">
        <v>1</v>
      </c>
      <c r="S129" s="6" t="b">
        <v>1</v>
      </c>
      <c r="T129" s="6" t="b">
        <v>0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0</v>
      </c>
      <c r="AJ129" s="6" t="b">
        <v>0</v>
      </c>
      <c r="AK129" s="6" t="b">
        <v>0</v>
      </c>
      <c r="AL129" s="17" t="str">
        <f t="shared" si="1"/>
        <v>12 dari 31 (39%)</v>
      </c>
    </row>
    <row r="130" ht="22.5" customHeight="1">
      <c r="A130" s="2">
        <v>129.0</v>
      </c>
      <c r="B130" s="11"/>
      <c r="C130" s="22">
        <v>52797.0</v>
      </c>
      <c r="D130" s="12" t="s">
        <v>63</v>
      </c>
      <c r="E130" s="12" t="s">
        <v>58</v>
      </c>
      <c r="F130" s="13"/>
      <c r="G130" s="6" t="b">
        <v>1</v>
      </c>
      <c r="H130" s="6" t="b">
        <v>1</v>
      </c>
      <c r="I130" s="6" t="b">
        <v>0</v>
      </c>
      <c r="J130" s="6" t="b">
        <v>1</v>
      </c>
      <c r="K130" s="6" t="b">
        <v>1</v>
      </c>
      <c r="L130" s="6" t="b">
        <v>1</v>
      </c>
      <c r="M130" s="6" t="b">
        <v>1</v>
      </c>
      <c r="N130" s="6" t="b">
        <v>1</v>
      </c>
      <c r="O130" s="6" t="b">
        <v>1</v>
      </c>
      <c r="P130" s="6" t="b">
        <v>1</v>
      </c>
      <c r="Q130" s="6" t="b">
        <v>1</v>
      </c>
      <c r="R130" s="6" t="b">
        <v>1</v>
      </c>
      <c r="S130" s="6" t="b">
        <v>1</v>
      </c>
      <c r="T130" s="6" t="b">
        <v>0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0</v>
      </c>
      <c r="AJ130" s="6" t="b">
        <v>0</v>
      </c>
      <c r="AK130" s="6" t="b">
        <v>0</v>
      </c>
      <c r="AL130" s="9" t="str">
        <f t="shared" si="1"/>
        <v>12 dari 31 (39%)</v>
      </c>
    </row>
    <row r="131" ht="22.5" customHeight="1">
      <c r="A131" s="10">
        <v>130.0</v>
      </c>
      <c r="B131" s="11"/>
      <c r="C131" s="22">
        <v>33440.0</v>
      </c>
      <c r="D131" s="12" t="s">
        <v>63</v>
      </c>
      <c r="E131" s="12" t="s">
        <v>58</v>
      </c>
      <c r="F131" s="13"/>
      <c r="G131" s="6" t="b">
        <v>1</v>
      </c>
      <c r="H131" s="6" t="b">
        <v>1</v>
      </c>
      <c r="I131" s="6" t="b">
        <v>0</v>
      </c>
      <c r="J131" s="6" t="b">
        <v>1</v>
      </c>
      <c r="K131" s="6" t="b">
        <v>1</v>
      </c>
      <c r="L131" s="6" t="b">
        <v>1</v>
      </c>
      <c r="M131" s="6" t="b">
        <v>1</v>
      </c>
      <c r="N131" s="6" t="b">
        <v>1</v>
      </c>
      <c r="O131" s="6" t="b">
        <v>1</v>
      </c>
      <c r="P131" s="6" t="b">
        <v>1</v>
      </c>
      <c r="Q131" s="6" t="b">
        <v>1</v>
      </c>
      <c r="R131" s="6" t="b">
        <v>1</v>
      </c>
      <c r="S131" s="6" t="b">
        <v>1</v>
      </c>
      <c r="T131" s="6" t="b">
        <v>0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1</v>
      </c>
      <c r="AJ131" s="6" t="b">
        <v>0</v>
      </c>
      <c r="AK131" s="6" t="b">
        <v>0</v>
      </c>
      <c r="AL131" s="9" t="str">
        <f t="shared" si="1"/>
        <v>13 dari 31 (42%)</v>
      </c>
    </row>
    <row r="132" ht="22.5" customHeight="1">
      <c r="A132" s="10">
        <v>131.0</v>
      </c>
      <c r="B132" s="11"/>
      <c r="C132" s="20">
        <v>59884.0</v>
      </c>
      <c r="D132" s="12" t="s">
        <v>63</v>
      </c>
      <c r="E132" s="12" t="s">
        <v>58</v>
      </c>
      <c r="F132" s="13"/>
      <c r="G132" s="6" t="b">
        <v>1</v>
      </c>
      <c r="H132" s="6" t="b">
        <v>1</v>
      </c>
      <c r="I132" s="6" t="b">
        <v>1</v>
      </c>
      <c r="J132" s="6" t="b">
        <v>1</v>
      </c>
      <c r="K132" s="6" t="b">
        <v>1</v>
      </c>
      <c r="L132" s="6" t="b">
        <v>1</v>
      </c>
      <c r="M132" s="6" t="b">
        <v>1</v>
      </c>
      <c r="N132" s="6" t="b">
        <v>1</v>
      </c>
      <c r="O132" s="6" t="b">
        <v>1</v>
      </c>
      <c r="P132" s="6" t="b">
        <v>1</v>
      </c>
      <c r="Q132" s="6" t="b">
        <v>1</v>
      </c>
      <c r="R132" s="6" t="b">
        <v>0</v>
      </c>
      <c r="S132" s="6" t="b">
        <v>1</v>
      </c>
      <c r="T132" s="6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1</v>
      </c>
      <c r="AJ132" s="6" t="b">
        <v>0</v>
      </c>
      <c r="AK132" s="6" t="b">
        <v>0</v>
      </c>
      <c r="AL132" s="17" t="str">
        <f t="shared" si="1"/>
        <v>13 dari 31 (42%)</v>
      </c>
    </row>
    <row r="133" ht="22.5" customHeight="1">
      <c r="A133" s="2">
        <v>132.0</v>
      </c>
      <c r="B133" s="11"/>
      <c r="C133" s="20">
        <v>59274.0</v>
      </c>
      <c r="D133" s="12" t="s">
        <v>63</v>
      </c>
      <c r="E133" s="12" t="s">
        <v>58</v>
      </c>
      <c r="F133" s="13"/>
      <c r="G133" s="6" t="b">
        <v>1</v>
      </c>
      <c r="H133" s="6" t="b">
        <v>1</v>
      </c>
      <c r="I133" s="6" t="b">
        <v>0</v>
      </c>
      <c r="J133" s="6" t="b">
        <v>1</v>
      </c>
      <c r="K133" s="6" t="b">
        <v>1</v>
      </c>
      <c r="L133" s="6" t="b">
        <v>1</v>
      </c>
      <c r="M133" s="6" t="b">
        <v>1</v>
      </c>
      <c r="N133" s="6" t="b">
        <v>1</v>
      </c>
      <c r="O133" s="6" t="b">
        <v>1</v>
      </c>
      <c r="P133" s="6" t="b">
        <v>1</v>
      </c>
      <c r="Q133" s="6" t="b">
        <v>1</v>
      </c>
      <c r="R133" s="6" t="b">
        <v>0</v>
      </c>
      <c r="S133" s="6" t="b">
        <v>1</v>
      </c>
      <c r="T133" s="6" t="b">
        <v>0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1</v>
      </c>
      <c r="AJ133" s="6" t="b">
        <v>0</v>
      </c>
      <c r="AK133" s="6" t="b">
        <v>0</v>
      </c>
      <c r="AL133" s="9" t="str">
        <f t="shared" si="1"/>
        <v>12 dari 31 (39%)</v>
      </c>
    </row>
    <row r="134" ht="22.5" customHeight="1">
      <c r="A134" s="10">
        <v>133.0</v>
      </c>
      <c r="B134" s="11"/>
      <c r="C134" s="20">
        <v>40412.0</v>
      </c>
      <c r="D134" s="12" t="s">
        <v>63</v>
      </c>
      <c r="E134" s="12" t="s">
        <v>58</v>
      </c>
      <c r="F134" s="13"/>
      <c r="G134" s="6" t="b">
        <v>1</v>
      </c>
      <c r="H134" s="6" t="b">
        <v>1</v>
      </c>
      <c r="I134" s="6" t="b">
        <v>1</v>
      </c>
      <c r="J134" s="6" t="b">
        <v>1</v>
      </c>
      <c r="K134" s="6" t="b">
        <v>1</v>
      </c>
      <c r="L134" s="6" t="b">
        <v>1</v>
      </c>
      <c r="M134" s="6" t="b">
        <v>1</v>
      </c>
      <c r="N134" s="6" t="b">
        <v>1</v>
      </c>
      <c r="O134" s="6" t="b">
        <v>1</v>
      </c>
      <c r="P134" s="6" t="b">
        <v>1</v>
      </c>
      <c r="Q134" s="6" t="b">
        <v>1</v>
      </c>
      <c r="R134" s="6" t="b">
        <v>0</v>
      </c>
      <c r="S134" s="6" t="b">
        <v>1</v>
      </c>
      <c r="T134" s="6" t="b">
        <v>0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1</v>
      </c>
      <c r="AJ134" s="6" t="b">
        <v>0</v>
      </c>
      <c r="AK134" s="6" t="b">
        <v>0</v>
      </c>
      <c r="AL134" s="9" t="str">
        <f t="shared" si="1"/>
        <v>13 dari 31 (42%)</v>
      </c>
    </row>
    <row r="135" ht="22.5" customHeight="1">
      <c r="A135" s="10">
        <v>134.0</v>
      </c>
      <c r="B135" s="11"/>
      <c r="C135" s="20">
        <v>60610.0</v>
      </c>
      <c r="D135" s="12" t="s">
        <v>63</v>
      </c>
      <c r="E135" s="12" t="s">
        <v>58</v>
      </c>
      <c r="F135" s="13"/>
      <c r="G135" s="6" t="b">
        <v>1</v>
      </c>
      <c r="H135" s="6" t="b">
        <v>1</v>
      </c>
      <c r="I135" s="6" t="b">
        <v>0</v>
      </c>
      <c r="J135" s="6" t="b">
        <v>1</v>
      </c>
      <c r="K135" s="6" t="b">
        <v>1</v>
      </c>
      <c r="L135" s="6" t="b">
        <v>1</v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1</v>
      </c>
      <c r="S135" s="6" t="b">
        <v>1</v>
      </c>
      <c r="T135" s="6" t="b">
        <v>0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0</v>
      </c>
      <c r="AJ135" s="6" t="b">
        <v>0</v>
      </c>
      <c r="AK135" s="6" t="b">
        <v>0</v>
      </c>
      <c r="AL135" s="17" t="str">
        <f t="shared" si="1"/>
        <v>12 dari 31 (39%)</v>
      </c>
    </row>
    <row r="136" ht="22.5" customHeight="1">
      <c r="A136" s="2">
        <v>135.0</v>
      </c>
      <c r="B136" s="11"/>
      <c r="C136" s="20">
        <v>59664.0</v>
      </c>
      <c r="D136" s="12" t="s">
        <v>63</v>
      </c>
      <c r="E136" s="12" t="s">
        <v>58</v>
      </c>
      <c r="F136" s="13"/>
      <c r="G136" s="6" t="b">
        <v>1</v>
      </c>
      <c r="H136" s="6" t="b">
        <v>1</v>
      </c>
      <c r="I136" s="6" t="b">
        <v>0</v>
      </c>
      <c r="J136" s="6" t="b">
        <v>1</v>
      </c>
      <c r="K136" s="6" t="b">
        <v>1</v>
      </c>
      <c r="L136" s="6" t="b">
        <v>1</v>
      </c>
      <c r="M136" s="6" t="b">
        <v>1</v>
      </c>
      <c r="N136" s="6" t="b">
        <v>1</v>
      </c>
      <c r="O136" s="6" t="b">
        <v>1</v>
      </c>
      <c r="P136" s="6" t="b">
        <v>1</v>
      </c>
      <c r="Q136" s="6" t="b">
        <v>1</v>
      </c>
      <c r="R136" s="6" t="b">
        <v>1</v>
      </c>
      <c r="S136" s="6" t="b">
        <v>1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1</v>
      </c>
      <c r="AJ136" s="6" t="b">
        <v>0</v>
      </c>
      <c r="AK136" s="6" t="b">
        <v>0</v>
      </c>
      <c r="AL136" s="9" t="str">
        <f t="shared" si="1"/>
        <v>13 dari 31 (42%)</v>
      </c>
    </row>
    <row r="137" ht="22.5" customHeight="1">
      <c r="A137" s="10">
        <v>136.0</v>
      </c>
      <c r="B137" s="11"/>
      <c r="C137" s="22">
        <v>54166.0</v>
      </c>
      <c r="D137" s="12" t="s">
        <v>63</v>
      </c>
      <c r="E137" s="12" t="s">
        <v>58</v>
      </c>
      <c r="F137" s="13"/>
      <c r="G137" s="6" t="b">
        <v>1</v>
      </c>
      <c r="H137" s="6" t="b">
        <v>1</v>
      </c>
      <c r="I137" s="6" t="b">
        <v>1</v>
      </c>
      <c r="J137" s="6" t="b">
        <v>1</v>
      </c>
      <c r="K137" s="6" t="b">
        <v>1</v>
      </c>
      <c r="L137" s="6" t="b">
        <v>1</v>
      </c>
      <c r="M137" s="6" t="b">
        <v>1</v>
      </c>
      <c r="N137" s="6" t="b">
        <v>1</v>
      </c>
      <c r="O137" s="6" t="b">
        <v>1</v>
      </c>
      <c r="P137" s="6" t="b">
        <v>1</v>
      </c>
      <c r="Q137" s="6" t="b">
        <v>1</v>
      </c>
      <c r="R137" s="6" t="b">
        <v>0</v>
      </c>
      <c r="S137" s="6" t="b">
        <v>1</v>
      </c>
      <c r="T137" s="6" t="b">
        <v>0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1</v>
      </c>
      <c r="AJ137" s="6" t="b">
        <v>0</v>
      </c>
      <c r="AK137" s="6" t="b">
        <v>0</v>
      </c>
      <c r="AL137" s="9" t="str">
        <f t="shared" si="1"/>
        <v>13 dari 31 (42%)</v>
      </c>
    </row>
    <row r="138" ht="22.5" customHeight="1">
      <c r="A138" s="10">
        <v>137.0</v>
      </c>
      <c r="B138" s="11"/>
      <c r="C138" s="22">
        <v>53279.0</v>
      </c>
      <c r="D138" s="12" t="s">
        <v>63</v>
      </c>
      <c r="E138" s="12" t="s">
        <v>58</v>
      </c>
      <c r="F138" s="13"/>
      <c r="G138" s="6" t="b">
        <v>1</v>
      </c>
      <c r="H138" s="6" t="b">
        <v>1</v>
      </c>
      <c r="I138" s="6" t="b">
        <v>0</v>
      </c>
      <c r="J138" s="6" t="b">
        <v>1</v>
      </c>
      <c r="K138" s="6" t="b">
        <v>1</v>
      </c>
      <c r="L138" s="6" t="b">
        <v>1</v>
      </c>
      <c r="M138" s="6" t="b">
        <v>1</v>
      </c>
      <c r="N138" s="6" t="b">
        <v>1</v>
      </c>
      <c r="O138" s="6" t="b">
        <v>1</v>
      </c>
      <c r="P138" s="6" t="b">
        <v>1</v>
      </c>
      <c r="Q138" s="6" t="b">
        <v>1</v>
      </c>
      <c r="R138" s="6" t="b">
        <v>1</v>
      </c>
      <c r="S138" s="6" t="b">
        <v>1</v>
      </c>
      <c r="T138" s="6" t="b">
        <v>0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1</v>
      </c>
      <c r="AJ138" s="6" t="b">
        <v>0</v>
      </c>
      <c r="AK138" s="6" t="b">
        <v>0</v>
      </c>
      <c r="AL138" s="17" t="str">
        <f t="shared" si="1"/>
        <v>13 dari 31 (42%)</v>
      </c>
    </row>
    <row r="139" ht="22.5" customHeight="1">
      <c r="A139" s="2">
        <v>138.0</v>
      </c>
      <c r="B139" s="11"/>
      <c r="C139" s="22">
        <v>59747.0</v>
      </c>
      <c r="D139" s="12" t="s">
        <v>63</v>
      </c>
      <c r="E139" s="12" t="s">
        <v>58</v>
      </c>
      <c r="F139" s="13"/>
      <c r="G139" s="6" t="b">
        <v>1</v>
      </c>
      <c r="H139" s="6" t="b">
        <v>1</v>
      </c>
      <c r="I139" s="6" t="b">
        <v>1</v>
      </c>
      <c r="J139" s="6" t="b">
        <v>1</v>
      </c>
      <c r="K139" s="6" t="b">
        <v>1</v>
      </c>
      <c r="L139" s="6" t="b">
        <v>1</v>
      </c>
      <c r="M139" s="6" t="b">
        <v>1</v>
      </c>
      <c r="N139" s="6" t="b">
        <v>1</v>
      </c>
      <c r="O139" s="6" t="b">
        <v>1</v>
      </c>
      <c r="P139" s="6" t="b">
        <v>1</v>
      </c>
      <c r="Q139" s="6" t="b">
        <v>1</v>
      </c>
      <c r="R139" s="6" t="b">
        <v>0</v>
      </c>
      <c r="S139" s="6" t="b">
        <v>1</v>
      </c>
      <c r="T139" s="6" t="b">
        <v>1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1</v>
      </c>
      <c r="AJ139" s="6" t="b">
        <v>0</v>
      </c>
      <c r="AK139" s="6" t="b">
        <v>0</v>
      </c>
      <c r="AL139" s="9" t="str">
        <f t="shared" si="1"/>
        <v>14 dari 31 (45%)</v>
      </c>
    </row>
    <row r="140" ht="22.5" customHeight="1">
      <c r="A140" s="10">
        <v>139.0</v>
      </c>
      <c r="B140" s="11"/>
      <c r="C140" s="22">
        <v>60044.0</v>
      </c>
      <c r="D140" s="12" t="s">
        <v>63</v>
      </c>
      <c r="E140" s="12" t="s">
        <v>58</v>
      </c>
      <c r="F140" s="13"/>
      <c r="G140" s="6" t="b">
        <v>1</v>
      </c>
      <c r="H140" s="6" t="b">
        <v>1</v>
      </c>
      <c r="I140" s="6" t="b">
        <v>0</v>
      </c>
      <c r="J140" s="6" t="b">
        <v>1</v>
      </c>
      <c r="K140" s="6" t="b">
        <v>1</v>
      </c>
      <c r="L140" s="6" t="b">
        <v>1</v>
      </c>
      <c r="M140" s="6" t="b">
        <v>1</v>
      </c>
      <c r="N140" s="6" t="b">
        <v>1</v>
      </c>
      <c r="O140" s="6" t="b">
        <v>1</v>
      </c>
      <c r="P140" s="6" t="b">
        <v>1</v>
      </c>
      <c r="Q140" s="6" t="b">
        <v>1</v>
      </c>
      <c r="R140" s="6" t="b">
        <v>0</v>
      </c>
      <c r="S140" s="6" t="b">
        <v>1</v>
      </c>
      <c r="T140" s="6" t="b">
        <v>0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1</v>
      </c>
      <c r="AJ140" s="6" t="b">
        <v>0</v>
      </c>
      <c r="AK140" s="6" t="b">
        <v>0</v>
      </c>
      <c r="AL140" s="9" t="str">
        <f t="shared" si="1"/>
        <v>12 dari 31 (39%)</v>
      </c>
    </row>
    <row r="141" ht="22.5" customHeight="1">
      <c r="A141" s="10">
        <v>140.0</v>
      </c>
      <c r="B141" s="11"/>
      <c r="C141" s="22">
        <v>60874.0</v>
      </c>
      <c r="D141" s="12" t="s">
        <v>63</v>
      </c>
      <c r="E141" s="12" t="s">
        <v>58</v>
      </c>
      <c r="F141" s="13"/>
      <c r="G141" s="6" t="b">
        <v>1</v>
      </c>
      <c r="H141" s="6" t="b">
        <v>1</v>
      </c>
      <c r="I141" s="6" t="b">
        <v>0</v>
      </c>
      <c r="J141" s="6" t="b">
        <v>1</v>
      </c>
      <c r="K141" s="6" t="b">
        <v>1</v>
      </c>
      <c r="L141" s="6" t="b">
        <v>1</v>
      </c>
      <c r="M141" s="6" t="b">
        <v>1</v>
      </c>
      <c r="N141" s="6" t="b">
        <v>1</v>
      </c>
      <c r="O141" s="6" t="b">
        <v>1</v>
      </c>
      <c r="P141" s="6" t="b">
        <v>1</v>
      </c>
      <c r="Q141" s="6" t="b">
        <v>1</v>
      </c>
      <c r="R141" s="6" t="b">
        <v>1</v>
      </c>
      <c r="S141" s="6" t="b">
        <v>1</v>
      </c>
      <c r="T141" s="6" t="b">
        <v>0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0</v>
      </c>
      <c r="AJ141" s="6" t="b">
        <v>0</v>
      </c>
      <c r="AK141" s="6" t="b">
        <v>0</v>
      </c>
      <c r="AL141" s="17" t="str">
        <f t="shared" si="1"/>
        <v>12 dari 31 (39%)</v>
      </c>
    </row>
    <row r="142" ht="22.5" customHeight="1">
      <c r="A142" s="2">
        <v>141.0</v>
      </c>
      <c r="B142" s="11"/>
      <c r="C142" s="20">
        <v>54666.0</v>
      </c>
      <c r="D142" s="12" t="s">
        <v>85</v>
      </c>
      <c r="E142" s="12" t="s">
        <v>128</v>
      </c>
      <c r="F142" s="15" t="s">
        <v>50</v>
      </c>
      <c r="G142" s="6" t="b">
        <v>1</v>
      </c>
      <c r="H142" s="6" t="b">
        <v>0</v>
      </c>
      <c r="I142" s="6" t="b">
        <v>0</v>
      </c>
      <c r="J142" s="6" t="b">
        <v>0</v>
      </c>
      <c r="K142" s="6" t="b">
        <v>0</v>
      </c>
      <c r="L142" s="6" t="b">
        <v>0</v>
      </c>
      <c r="M142" s="6" t="b">
        <v>0</v>
      </c>
      <c r="N142" s="6" t="b">
        <v>0</v>
      </c>
      <c r="O142" s="6" t="b">
        <v>0</v>
      </c>
      <c r="P142" s="6" t="b">
        <v>0</v>
      </c>
      <c r="Q142" s="6" t="b">
        <v>0</v>
      </c>
      <c r="R142" s="6" t="b">
        <v>0</v>
      </c>
      <c r="S142" s="6" t="b">
        <v>0</v>
      </c>
      <c r="T142" s="6" t="b">
        <v>0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0</v>
      </c>
      <c r="AJ142" s="6" t="b">
        <v>0</v>
      </c>
      <c r="AK142" s="6" t="b">
        <v>0</v>
      </c>
      <c r="AL142" s="9" t="str">
        <f t="shared" si="1"/>
        <v>1 dari 31 (3%)</v>
      </c>
    </row>
    <row r="143" ht="22.5" customHeight="1">
      <c r="A143" s="10">
        <v>142.0</v>
      </c>
      <c r="B143" s="11"/>
      <c r="C143" s="20">
        <v>61023.0</v>
      </c>
      <c r="D143" s="12" t="s">
        <v>63</v>
      </c>
      <c r="E143" s="12" t="s">
        <v>58</v>
      </c>
      <c r="F143" s="13"/>
      <c r="G143" s="6" t="b">
        <v>1</v>
      </c>
      <c r="H143" s="6" t="b">
        <v>1</v>
      </c>
      <c r="I143" s="6" t="b">
        <v>1</v>
      </c>
      <c r="J143" s="6" t="b">
        <v>1</v>
      </c>
      <c r="K143" s="6" t="b">
        <v>1</v>
      </c>
      <c r="L143" s="6" t="b">
        <v>1</v>
      </c>
      <c r="M143" s="6" t="b">
        <v>1</v>
      </c>
      <c r="N143" s="6" t="b">
        <v>1</v>
      </c>
      <c r="O143" s="6" t="b">
        <v>1</v>
      </c>
      <c r="P143" s="6" t="b">
        <v>1</v>
      </c>
      <c r="Q143" s="6" t="b">
        <v>1</v>
      </c>
      <c r="R143" s="6" t="b">
        <v>1</v>
      </c>
      <c r="S143" s="6" t="b">
        <v>1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1</v>
      </c>
      <c r="AJ143" s="6" t="b">
        <v>0</v>
      </c>
      <c r="AK143" s="6" t="b">
        <v>0</v>
      </c>
      <c r="AL143" s="9" t="str">
        <f t="shared" si="1"/>
        <v>14 dari 31 (45%)</v>
      </c>
    </row>
    <row r="144" ht="22.5" customHeight="1">
      <c r="A144" s="10">
        <v>143.0</v>
      </c>
      <c r="B144" s="11"/>
      <c r="C144" s="20">
        <v>61022.0</v>
      </c>
      <c r="D144" s="12" t="s">
        <v>89</v>
      </c>
      <c r="E144" s="12" t="s">
        <v>95</v>
      </c>
      <c r="F144" s="15" t="s">
        <v>50</v>
      </c>
      <c r="G144" s="6" t="b">
        <v>1</v>
      </c>
      <c r="H144" s="6" t="b">
        <v>0</v>
      </c>
      <c r="I144" s="6" t="b">
        <v>0</v>
      </c>
      <c r="J144" s="6" t="b">
        <v>0</v>
      </c>
      <c r="K144" s="6" t="b">
        <v>0</v>
      </c>
      <c r="L144" s="6" t="b">
        <v>0</v>
      </c>
      <c r="M144" s="6" t="b">
        <v>0</v>
      </c>
      <c r="N144" s="6" t="b">
        <v>0</v>
      </c>
      <c r="O144" s="6" t="b">
        <v>0</v>
      </c>
      <c r="P144" s="6" t="b">
        <v>0</v>
      </c>
      <c r="Q144" s="6" t="b">
        <v>0</v>
      </c>
      <c r="R144" s="6" t="b">
        <v>0</v>
      </c>
      <c r="S144" s="6" t="b">
        <v>0</v>
      </c>
      <c r="T144" s="6" t="b">
        <v>0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0</v>
      </c>
      <c r="AJ144" s="6" t="b">
        <v>0</v>
      </c>
      <c r="AK144" s="6" t="b">
        <v>0</v>
      </c>
      <c r="AL144" s="17" t="str">
        <f t="shared" si="1"/>
        <v>1 dari 31 (3%)</v>
      </c>
    </row>
    <row r="145" ht="22.5" customHeight="1">
      <c r="A145" s="2">
        <v>144.0</v>
      </c>
      <c r="B145" s="11"/>
      <c r="C145" s="20">
        <v>61024.0</v>
      </c>
      <c r="D145" s="12" t="s">
        <v>89</v>
      </c>
      <c r="E145" s="12" t="s">
        <v>95</v>
      </c>
      <c r="F145" s="15" t="s">
        <v>50</v>
      </c>
      <c r="G145" s="6" t="b">
        <v>1</v>
      </c>
      <c r="H145" s="6" t="b">
        <v>0</v>
      </c>
      <c r="I145" s="6" t="b">
        <v>0</v>
      </c>
      <c r="J145" s="6" t="b">
        <v>0</v>
      </c>
      <c r="K145" s="6" t="b">
        <v>0</v>
      </c>
      <c r="L145" s="6" t="b">
        <v>0</v>
      </c>
      <c r="M145" s="6" t="b">
        <v>0</v>
      </c>
      <c r="N145" s="6" t="b">
        <v>0</v>
      </c>
      <c r="O145" s="6" t="b">
        <v>0</v>
      </c>
      <c r="P145" s="6" t="b">
        <v>0</v>
      </c>
      <c r="Q145" s="6" t="b">
        <v>0</v>
      </c>
      <c r="R145" s="6" t="b">
        <v>0</v>
      </c>
      <c r="S145" s="6" t="b">
        <v>0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0</v>
      </c>
      <c r="AJ145" s="6" t="b">
        <v>0</v>
      </c>
      <c r="AK145" s="6" t="b">
        <v>0</v>
      </c>
      <c r="AL145" s="9" t="str">
        <f t="shared" si="1"/>
        <v>1 dari 31 (3%)</v>
      </c>
    </row>
    <row r="146" ht="22.5" customHeight="1">
      <c r="A146" s="10">
        <v>145.0</v>
      </c>
      <c r="B146" s="11"/>
      <c r="C146" s="20">
        <v>61025.0</v>
      </c>
      <c r="D146" s="12" t="s">
        <v>89</v>
      </c>
      <c r="E146" s="12" t="s">
        <v>95</v>
      </c>
      <c r="F146" s="15" t="s">
        <v>50</v>
      </c>
      <c r="G146" s="6" t="b">
        <v>1</v>
      </c>
      <c r="H146" s="6" t="b">
        <v>0</v>
      </c>
      <c r="I146" s="6" t="b">
        <v>0</v>
      </c>
      <c r="J146" s="6" t="b">
        <v>0</v>
      </c>
      <c r="K146" s="6" t="b">
        <v>0</v>
      </c>
      <c r="L146" s="6" t="b">
        <v>0</v>
      </c>
      <c r="M146" s="6" t="b">
        <v>0</v>
      </c>
      <c r="N146" s="6" t="b">
        <v>0</v>
      </c>
      <c r="O146" s="6" t="b">
        <v>0</v>
      </c>
      <c r="P146" s="6" t="b">
        <v>0</v>
      </c>
      <c r="Q146" s="6" t="b">
        <v>0</v>
      </c>
      <c r="R146" s="6" t="b">
        <v>0</v>
      </c>
      <c r="S146" s="6" t="b">
        <v>0</v>
      </c>
      <c r="T146" s="6" t="b">
        <v>0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0</v>
      </c>
      <c r="AJ146" s="6" t="b">
        <v>0</v>
      </c>
      <c r="AK146" s="6" t="b">
        <v>0</v>
      </c>
      <c r="AL146" s="9" t="str">
        <f t="shared" si="1"/>
        <v>1 dari 31 (3%)</v>
      </c>
    </row>
    <row r="147" ht="22.5" customHeight="1">
      <c r="A147" s="10">
        <v>146.0</v>
      </c>
      <c r="B147" s="11"/>
      <c r="C147" s="22">
        <v>51021.0</v>
      </c>
      <c r="D147" s="12" t="s">
        <v>89</v>
      </c>
      <c r="E147" s="12" t="s">
        <v>95</v>
      </c>
      <c r="F147" s="15" t="s">
        <v>50</v>
      </c>
      <c r="G147" s="6" t="b">
        <v>1</v>
      </c>
      <c r="H147" s="6" t="b">
        <v>0</v>
      </c>
      <c r="I147" s="6" t="b">
        <v>0</v>
      </c>
      <c r="J147" s="6" t="b">
        <v>0</v>
      </c>
      <c r="K147" s="6" t="b">
        <v>0</v>
      </c>
      <c r="L147" s="6" t="b">
        <v>0</v>
      </c>
      <c r="M147" s="6" t="b">
        <v>0</v>
      </c>
      <c r="N147" s="6" t="b">
        <v>0</v>
      </c>
      <c r="O147" s="6" t="b">
        <v>0</v>
      </c>
      <c r="P147" s="6" t="b">
        <v>0</v>
      </c>
      <c r="Q147" s="6" t="b">
        <v>0</v>
      </c>
      <c r="R147" s="6" t="b">
        <v>0</v>
      </c>
      <c r="S147" s="6" t="b">
        <v>0</v>
      </c>
      <c r="T147" s="6" t="b">
        <v>0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0</v>
      </c>
      <c r="AJ147" s="6" t="b">
        <v>0</v>
      </c>
      <c r="AK147" s="6" t="b">
        <v>0</v>
      </c>
      <c r="AL147" s="17" t="str">
        <f t="shared" si="1"/>
        <v>1 dari 31 (3%)</v>
      </c>
    </row>
    <row r="148" ht="22.5" customHeight="1">
      <c r="A148" s="2">
        <v>147.0</v>
      </c>
      <c r="B148" s="11"/>
      <c r="C148" s="22">
        <v>61007.0</v>
      </c>
      <c r="D148" s="12" t="s">
        <v>89</v>
      </c>
      <c r="E148" s="12" t="s">
        <v>95</v>
      </c>
      <c r="F148" s="15" t="s">
        <v>50</v>
      </c>
      <c r="G148" s="6" t="b">
        <v>1</v>
      </c>
      <c r="H148" s="6" t="b">
        <v>0</v>
      </c>
      <c r="I148" s="6" t="b">
        <v>0</v>
      </c>
      <c r="J148" s="6" t="b">
        <v>0</v>
      </c>
      <c r="K148" s="6" t="b">
        <v>0</v>
      </c>
      <c r="L148" s="6" t="b">
        <v>0</v>
      </c>
      <c r="M148" s="6" t="b">
        <v>0</v>
      </c>
      <c r="N148" s="6" t="b">
        <v>0</v>
      </c>
      <c r="O148" s="6" t="b">
        <v>0</v>
      </c>
      <c r="P148" s="6" t="b">
        <v>0</v>
      </c>
      <c r="Q148" s="6" t="b">
        <v>0</v>
      </c>
      <c r="R148" s="6" t="b">
        <v>0</v>
      </c>
      <c r="S148" s="6" t="b">
        <v>0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0</v>
      </c>
      <c r="AJ148" s="6" t="b">
        <v>0</v>
      </c>
      <c r="AK148" s="6" t="b">
        <v>0</v>
      </c>
      <c r="AL148" s="9" t="str">
        <f t="shared" si="1"/>
        <v>1 dari 31 (3%)</v>
      </c>
    </row>
    <row r="149" ht="22.5" customHeight="1">
      <c r="A149" s="107">
        <v>148.0</v>
      </c>
      <c r="B149" s="108"/>
      <c r="C149" s="25">
        <v>61014.0</v>
      </c>
      <c r="D149" s="81" t="s">
        <v>89</v>
      </c>
      <c r="E149" s="81" t="s">
        <v>95</v>
      </c>
      <c r="F149" s="27" t="s">
        <v>67</v>
      </c>
      <c r="G149" s="28" t="b">
        <v>0</v>
      </c>
      <c r="H149" s="28" t="b">
        <v>0</v>
      </c>
      <c r="I149" s="28" t="b">
        <v>0</v>
      </c>
      <c r="J149" s="28" t="b">
        <v>0</v>
      </c>
      <c r="K149" s="28" t="b">
        <v>0</v>
      </c>
      <c r="L149" s="28" t="b">
        <v>0</v>
      </c>
      <c r="M149" s="28" t="b">
        <v>0</v>
      </c>
      <c r="N149" s="28" t="b">
        <v>0</v>
      </c>
      <c r="O149" s="28" t="b">
        <v>0</v>
      </c>
      <c r="P149" s="28" t="b">
        <v>0</v>
      </c>
      <c r="Q149" s="28" t="b">
        <v>0</v>
      </c>
      <c r="R149" s="28" t="b">
        <v>0</v>
      </c>
      <c r="S149" s="28" t="b">
        <v>0</v>
      </c>
      <c r="T149" s="28" t="b">
        <v>0</v>
      </c>
      <c r="U149" s="28" t="b">
        <v>0</v>
      </c>
      <c r="V149" s="28" t="b">
        <v>0</v>
      </c>
      <c r="W149" s="28" t="b">
        <v>0</v>
      </c>
      <c r="X149" s="28" t="b">
        <v>0</v>
      </c>
      <c r="Y149" s="28" t="b">
        <v>0</v>
      </c>
      <c r="Z149" s="28" t="b">
        <v>0</v>
      </c>
      <c r="AA149" s="28" t="b">
        <v>0</v>
      </c>
      <c r="AB149" s="28" t="b">
        <v>0</v>
      </c>
      <c r="AC149" s="28" t="b">
        <v>0</v>
      </c>
      <c r="AD149" s="28" t="b">
        <v>0</v>
      </c>
      <c r="AE149" s="28" t="b">
        <v>0</v>
      </c>
      <c r="AF149" s="28" t="b">
        <v>0</v>
      </c>
      <c r="AG149" s="28" t="b">
        <v>0</v>
      </c>
      <c r="AH149" s="28" t="b">
        <v>0</v>
      </c>
      <c r="AI149" s="28" t="b">
        <v>0</v>
      </c>
      <c r="AJ149" s="28" t="b">
        <v>0</v>
      </c>
      <c r="AK149" s="28" t="b">
        <v>0</v>
      </c>
      <c r="AL149" s="29" t="str">
        <f t="shared" si="1"/>
        <v>0 dari 31 (0%)</v>
      </c>
    </row>
    <row r="151">
      <c r="B151" s="71" t="s">
        <v>38</v>
      </c>
      <c r="C151" s="72"/>
      <c r="D151" s="72"/>
      <c r="E151" s="72"/>
      <c r="F151" s="73"/>
      <c r="G151" s="74">
        <f>COUNTIF(JULI_1[ID Encounter], TRUE)</f>
        <v>137</v>
      </c>
      <c r="H151" s="74">
        <f>COUNTIF(JULI_1[ID Condition], TRUE)</f>
        <v>107</v>
      </c>
      <c r="I151" s="74">
        <f>COUNTIF(JULI_1[ID Clinical Impression], TRUE)</f>
        <v>64</v>
      </c>
      <c r="J151" s="74">
        <f>COUNTIF(JULI_1[ID Observation Tensi], TRUE)</f>
        <v>89</v>
      </c>
      <c r="K151" s="74">
        <f>COUNTIF(JULI_1[ID Observation Nadi], TRUE)</f>
        <v>102</v>
      </c>
      <c r="L151" s="74">
        <f>COUNTIF(JULI_1[ID Observation RR], TRUE)</f>
        <v>101</v>
      </c>
      <c r="M151" s="74">
        <f>COUNTIF(JULI_1[ID Observation Suhu], TRUE)</f>
        <v>102</v>
      </c>
      <c r="N151" s="74">
        <f>COUNTIF(JULI_1[ID Observation SPO2], TRUE)</f>
        <v>99</v>
      </c>
      <c r="O151" s="74">
        <f>COUNTIF(JULI_1[ID Observation GCS], TRUE)</f>
        <v>100</v>
      </c>
      <c r="P151" s="74">
        <f>COUNTIF(JULI_1[ID Observation Tinggi], TRUE)</f>
        <v>100</v>
      </c>
      <c r="Q151" s="74">
        <f>COUNTIF(JULI_1[ID Observation Berat], TRUE)</f>
        <v>100</v>
      </c>
      <c r="R151" s="74">
        <f>COUNTIF(JULI_1[ID Observation Perut], TRUE)</f>
        <v>111</v>
      </c>
      <c r="S151" s="74">
        <f>COUNTIF(JULI_1[ID Observation Kesadaran], TRUE)</f>
        <v>117</v>
      </c>
      <c r="T151" s="74">
        <f>COUNTIF(JULI_1[ID Procedure], TRUE)</f>
        <v>95</v>
      </c>
      <c r="U151" s="74">
        <f>COUNTIF(JULI_1[ID Composition], TRUE)</f>
        <v>0</v>
      </c>
      <c r="V151" s="74">
        <f>COUNTIF(JULI_1[ID Vaksin/Imunisasi], TRUE)</f>
        <v>0</v>
      </c>
      <c r="W151" s="74">
        <f>COUNTIF(JULI_1[ID Medication Request], TRUE)</f>
        <v>4</v>
      </c>
      <c r="X151" s="74">
        <f>COUNTIF(JULI_1[ID Medication Dispense], TRUE)</f>
        <v>4</v>
      </c>
      <c r="Y151" s="74">
        <f>COUNTIF(JULI_1[ID Medication Statement], TRUE)</f>
        <v>4</v>
      </c>
      <c r="Z151" s="74">
        <f>COUNTIF(JULI_1[ID Service Request Radiologi], TRUE)</f>
        <v>6</v>
      </c>
      <c r="AA151" s="74">
        <f>COUNTIF(JULI_1[ID Specimen Radiologi], TRUE)</f>
        <v>6</v>
      </c>
      <c r="AB151" s="74">
        <f>COUNTIF(JULI_1[ID Observation Radiologi], TRUE)</f>
        <v>6</v>
      </c>
      <c r="AC151" s="74">
        <f>COUNTIF(JULI_1[ID Diagnostic Report Radiologi], TRUE)</f>
        <v>6</v>
      </c>
      <c r="AD151" s="74">
        <f>COUNTIF(JULI_1[Image Study], TRUE)</f>
        <v>6</v>
      </c>
      <c r="AE151" s="74">
        <f>COUNTIF(JULI_1[ID Service Request Lab PK], TRUE)</f>
        <v>0</v>
      </c>
      <c r="AF151" s="74">
        <f>COUNTIF(JULI_1[ID Specimen Lab PK], TRUE)</f>
        <v>0</v>
      </c>
      <c r="AG151" s="74">
        <f>COUNTIF(JULI_1[ID Observation Lab PK], TRUE)</f>
        <v>0</v>
      </c>
      <c r="AH151" s="74">
        <f>COUNTIF(JULI_1[ID Diagnostic Report Lab PK], TRUE)</f>
        <v>0</v>
      </c>
      <c r="AI151" s="74">
        <f>COUNTIF(JULI_1[ID Care Plan], TRUE)</f>
        <v>73</v>
      </c>
      <c r="AJ151" s="74">
        <f>COUNTIF(JULI_1[ID Allergy], TRUE)</f>
        <v>0</v>
      </c>
      <c r="AK151" s="74">
        <f>COUNTIF(JULI_1[ID Questionnaire], TRUE)</f>
        <v>0</v>
      </c>
      <c r="AL151" s="75" t="str">
        <f>COUNTIF(JULI_1[[ID Encounter]:[ID Questionnaire]], TRUE()) &amp; " dari " &amp; (ROWS(JULI_1[[ID Encounter]:[ID Questionnaire]])*COLUMNS(JULI_1[[ID Encounter]:[ID Questionnaire]])) &amp; " (" &amp; TEXT(COUNTIF(JULI_1[[ID Encounter]:[ID Questionnaire]], TRUE())/(ROWS(JULI_1[[ID Encounter]:[ID Questionnaire]])*COLUMNS(JULI_1[[ID Encounter]:[ID Questionnaire]])),"0%") &amp; ")"</f>
        <v>1539 dari 4588 (34%)</v>
      </c>
    </row>
    <row r="152">
      <c r="B152" s="76"/>
      <c r="C152" s="77"/>
      <c r="D152" s="77"/>
      <c r="E152" s="77"/>
      <c r="F152" s="78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</row>
  </sheetData>
  <mergeCells count="33">
    <mergeCell ref="B151:F152"/>
    <mergeCell ref="G151:G152"/>
    <mergeCell ref="H151:H152"/>
    <mergeCell ref="I151:I152"/>
    <mergeCell ref="J151:J152"/>
    <mergeCell ref="K151:K152"/>
    <mergeCell ref="L151:L152"/>
    <mergeCell ref="M151:M152"/>
    <mergeCell ref="N151:N152"/>
    <mergeCell ref="O151:O152"/>
    <mergeCell ref="P151:P152"/>
    <mergeCell ref="Q151:Q152"/>
    <mergeCell ref="R151:R152"/>
    <mergeCell ref="S151:S152"/>
    <mergeCell ref="T151:T152"/>
    <mergeCell ref="U151:U152"/>
    <mergeCell ref="V151:V152"/>
    <mergeCell ref="W151:W152"/>
    <mergeCell ref="X151:X152"/>
    <mergeCell ref="Y151:Y152"/>
    <mergeCell ref="Z151:Z152"/>
    <mergeCell ref="AH151:AH152"/>
    <mergeCell ref="AI151:AI152"/>
    <mergeCell ref="AJ151:AJ152"/>
    <mergeCell ref="AK151:AK152"/>
    <mergeCell ref="AL151:AL152"/>
    <mergeCell ref="AA151:AA152"/>
    <mergeCell ref="AB151:AB152"/>
    <mergeCell ref="AC151:AC152"/>
    <mergeCell ref="AD151:AD152"/>
    <mergeCell ref="AE151:AE152"/>
    <mergeCell ref="AF151:AF152"/>
    <mergeCell ref="AG151:AG15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1.13"/>
    <col customWidth="1" min="5" max="5" width="40.88"/>
    <col customWidth="1" min="6" max="6" width="20.2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0" max="20" width="15.25"/>
    <col customWidth="1" min="21" max="21" width="17.0"/>
    <col customWidth="1" min="22" max="22" width="20.5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28" max="28" width="24.0"/>
    <col customWidth="1" min="29" max="29" width="28.38"/>
    <col customWidth="1" min="30" max="30" width="14.88"/>
    <col customWidth="1" min="31" max="31" width="25.38"/>
    <col customWidth="1" min="32" max="32" width="20.63"/>
    <col customWidth="1" min="38" max="38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46205.0</v>
      </c>
      <c r="C2" s="4">
        <v>60668.0</v>
      </c>
      <c r="D2" s="7" t="s">
        <v>39</v>
      </c>
      <c r="E2" s="7" t="s">
        <v>45</v>
      </c>
      <c r="F2" s="8" t="s">
        <v>46</v>
      </c>
      <c r="G2" s="6" t="b">
        <v>1</v>
      </c>
      <c r="H2" s="6" t="b">
        <v>1</v>
      </c>
      <c r="I2" s="6" t="b">
        <v>0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228" si="1">COUNTIF(G2:AK2, TRUE()) &amp; " dari " &amp; COLUMNS(G2:AK2) &amp; " (" &amp; TEXT(COUNTIF(G2:AK2, TRUE())/COLUMNS(G2:AK2),"0%") &amp; ")"</f>
        <v>14 dari 31 (45%)</v>
      </c>
    </row>
    <row r="3" ht="22.5" customHeight="1">
      <c r="A3" s="10">
        <v>2.0</v>
      </c>
      <c r="B3" s="11"/>
      <c r="C3" s="4">
        <v>60467.0</v>
      </c>
      <c r="D3" s="7" t="s">
        <v>39</v>
      </c>
      <c r="E3" s="7" t="s">
        <v>45</v>
      </c>
      <c r="F3" s="13"/>
      <c r="G3" s="16" t="b">
        <v>1</v>
      </c>
      <c r="H3" s="16" t="b">
        <v>1</v>
      </c>
      <c r="I3" s="16" t="b">
        <v>0</v>
      </c>
      <c r="J3" s="16" t="b">
        <v>0</v>
      </c>
      <c r="K3" s="16" t="b">
        <v>0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1</v>
      </c>
      <c r="X3" s="16" t="b">
        <v>1</v>
      </c>
      <c r="Y3" s="16" t="b">
        <v>1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15 dari 31 (48%)</v>
      </c>
    </row>
    <row r="4" ht="22.5" customHeight="1">
      <c r="A4" s="2">
        <v>3.0</v>
      </c>
      <c r="B4" s="18"/>
      <c r="C4" s="4">
        <v>60673.0</v>
      </c>
      <c r="D4" s="7" t="s">
        <v>39</v>
      </c>
      <c r="E4" s="7" t="s">
        <v>45</v>
      </c>
      <c r="F4" s="5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1</v>
      </c>
      <c r="AJ4" s="6" t="b">
        <v>0</v>
      </c>
      <c r="AK4" s="6" t="b">
        <v>0</v>
      </c>
      <c r="AL4" s="9" t="str">
        <f t="shared" si="1"/>
        <v>15 dari 31 (48%)</v>
      </c>
    </row>
    <row r="5" ht="22.5" customHeight="1">
      <c r="A5" s="10">
        <v>4.0</v>
      </c>
      <c r="B5" s="11"/>
      <c r="C5" s="4">
        <v>60228.0</v>
      </c>
      <c r="D5" s="7" t="s">
        <v>39</v>
      </c>
      <c r="E5" s="7" t="s">
        <v>45</v>
      </c>
      <c r="F5" s="13"/>
      <c r="G5" s="16" t="b">
        <v>1</v>
      </c>
      <c r="H5" s="16" t="b">
        <v>1</v>
      </c>
      <c r="I5" s="16" t="b">
        <v>0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0</v>
      </c>
      <c r="AJ5" s="16" t="b">
        <v>0</v>
      </c>
      <c r="AK5" s="16" t="b">
        <v>0</v>
      </c>
      <c r="AL5" s="17" t="str">
        <f t="shared" si="1"/>
        <v>13 dari 31 (42%)</v>
      </c>
    </row>
    <row r="6" ht="22.5" customHeight="1">
      <c r="A6" s="2">
        <v>5.0</v>
      </c>
      <c r="B6" s="18"/>
      <c r="C6" s="4">
        <v>59968.0</v>
      </c>
      <c r="D6" s="7" t="s">
        <v>39</v>
      </c>
      <c r="E6" s="7" t="s">
        <v>45</v>
      </c>
      <c r="F6" s="5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1</v>
      </c>
      <c r="X6" s="6" t="b">
        <v>1</v>
      </c>
      <c r="Y6" s="6" t="b">
        <v>1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18 dari 31 (58%)</v>
      </c>
    </row>
    <row r="7" ht="22.5" customHeight="1">
      <c r="A7" s="10">
        <v>6.0</v>
      </c>
      <c r="B7" s="11"/>
      <c r="C7" s="19">
        <v>50043.0</v>
      </c>
      <c r="D7" s="7" t="s">
        <v>39</v>
      </c>
      <c r="E7" s="7" t="s">
        <v>45</v>
      </c>
      <c r="F7" s="13"/>
      <c r="G7" s="16" t="b">
        <v>1</v>
      </c>
      <c r="H7" s="16" t="b">
        <v>1</v>
      </c>
      <c r="I7" s="16" t="b">
        <v>0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14 dari 31 (45%)</v>
      </c>
    </row>
    <row r="8" ht="22.5" customHeight="1">
      <c r="A8" s="2">
        <v>7.0</v>
      </c>
      <c r="B8" s="18"/>
      <c r="C8" s="19">
        <v>60504.0</v>
      </c>
      <c r="D8" s="7" t="s">
        <v>39</v>
      </c>
      <c r="E8" s="7" t="s">
        <v>45</v>
      </c>
      <c r="F8" s="5"/>
      <c r="G8" s="6" t="b">
        <v>1</v>
      </c>
      <c r="H8" s="6" t="b">
        <v>1</v>
      </c>
      <c r="I8" s="6" t="b">
        <v>0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1</v>
      </c>
      <c r="AJ8" s="6" t="b">
        <v>0</v>
      </c>
      <c r="AK8" s="6" t="b">
        <v>0</v>
      </c>
      <c r="AL8" s="9" t="str">
        <f t="shared" si="1"/>
        <v>14 dari 31 (45%)</v>
      </c>
    </row>
    <row r="9" ht="22.5" customHeight="1">
      <c r="A9" s="10">
        <v>8.0</v>
      </c>
      <c r="B9" s="11"/>
      <c r="C9" s="19">
        <v>59658.0</v>
      </c>
      <c r="D9" s="7" t="s">
        <v>39</v>
      </c>
      <c r="E9" s="7" t="s">
        <v>45</v>
      </c>
      <c r="F9" s="13"/>
      <c r="G9" s="16" t="b">
        <v>1</v>
      </c>
      <c r="H9" s="16" t="b">
        <v>1</v>
      </c>
      <c r="I9" s="16" t="b">
        <v>0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13 dari 31 (42%)</v>
      </c>
    </row>
    <row r="10" ht="22.5" customHeight="1">
      <c r="A10" s="2">
        <v>9.0</v>
      </c>
      <c r="B10" s="18"/>
      <c r="C10" s="4">
        <v>60676.0</v>
      </c>
      <c r="D10" s="7" t="s">
        <v>39</v>
      </c>
      <c r="E10" s="7" t="s">
        <v>45</v>
      </c>
      <c r="F10" s="5"/>
      <c r="G10" s="6" t="b">
        <v>1</v>
      </c>
      <c r="H10" s="6" t="b">
        <v>1</v>
      </c>
      <c r="I10" s="6" t="b">
        <v>0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1</v>
      </c>
      <c r="AJ10" s="6" t="b">
        <v>0</v>
      </c>
      <c r="AK10" s="6" t="b">
        <v>0</v>
      </c>
      <c r="AL10" s="9" t="str">
        <f t="shared" si="1"/>
        <v>14 dari 31 (45%)</v>
      </c>
    </row>
    <row r="11" ht="22.5" customHeight="1">
      <c r="A11" s="10">
        <v>10.0</v>
      </c>
      <c r="B11" s="11"/>
      <c r="C11" s="4">
        <v>60847.0</v>
      </c>
      <c r="D11" s="7" t="s">
        <v>39</v>
      </c>
      <c r="E11" s="21" t="s">
        <v>57</v>
      </c>
      <c r="F11" s="13"/>
      <c r="G11" s="16" t="b">
        <v>1</v>
      </c>
      <c r="H11" s="16" t="b">
        <v>1</v>
      </c>
      <c r="I11" s="16" t="b">
        <v>0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1</v>
      </c>
      <c r="AF11" s="16" t="b">
        <v>1</v>
      </c>
      <c r="AG11" s="16" t="b">
        <v>1</v>
      </c>
      <c r="AH11" s="16" t="b">
        <v>1</v>
      </c>
      <c r="AI11" s="16" t="b">
        <v>1</v>
      </c>
      <c r="AJ11" s="16" t="b">
        <v>0</v>
      </c>
      <c r="AK11" s="16" t="b">
        <v>0</v>
      </c>
      <c r="AL11" s="17" t="str">
        <f t="shared" si="1"/>
        <v>18 dari 31 (58%)</v>
      </c>
    </row>
    <row r="12" ht="22.5" customHeight="1">
      <c r="A12" s="2">
        <v>11.0</v>
      </c>
      <c r="B12" s="18"/>
      <c r="C12" s="20">
        <v>60853.0</v>
      </c>
      <c r="D12" s="4" t="s">
        <v>39</v>
      </c>
      <c r="E12" s="4" t="s">
        <v>57</v>
      </c>
      <c r="F12" s="5"/>
      <c r="G12" s="6" t="b">
        <v>1</v>
      </c>
      <c r="H12" s="6" t="b">
        <v>1</v>
      </c>
      <c r="I12" s="6" t="b">
        <v>0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1</v>
      </c>
      <c r="AJ12" s="6" t="b">
        <v>0</v>
      </c>
      <c r="AK12" s="6" t="b">
        <v>0</v>
      </c>
      <c r="AL12" s="9" t="str">
        <f t="shared" si="1"/>
        <v>14 dari 31 (45%)</v>
      </c>
    </row>
    <row r="13" ht="22.5" customHeight="1">
      <c r="A13" s="10">
        <v>12.0</v>
      </c>
      <c r="B13" s="11"/>
      <c r="C13" s="20">
        <v>37268.0</v>
      </c>
      <c r="D13" s="12" t="s">
        <v>54</v>
      </c>
      <c r="E13" s="12" t="s">
        <v>55</v>
      </c>
      <c r="F13" s="13"/>
      <c r="G13" s="16" t="b">
        <v>1</v>
      </c>
      <c r="H13" s="16" t="b">
        <v>1</v>
      </c>
      <c r="I13" s="16" t="b">
        <v>0</v>
      </c>
      <c r="J13" s="16" t="b">
        <v>1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1"/>
        <v>14 dari 31 (45%)</v>
      </c>
    </row>
    <row r="14" ht="22.5" customHeight="1">
      <c r="A14" s="2">
        <v>13.0</v>
      </c>
      <c r="B14" s="18"/>
      <c r="C14" s="20">
        <v>60728.0</v>
      </c>
      <c r="D14" s="4" t="s">
        <v>54</v>
      </c>
      <c r="E14" s="4" t="s">
        <v>62</v>
      </c>
      <c r="F14" s="5"/>
      <c r="G14" s="6" t="b">
        <v>1</v>
      </c>
      <c r="H14" s="6" t="b">
        <v>1</v>
      </c>
      <c r="I14" s="6" t="b">
        <v>0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13 dari 31 (42%)</v>
      </c>
    </row>
    <row r="15" ht="22.5" customHeight="1">
      <c r="A15" s="10">
        <v>14.0</v>
      </c>
      <c r="B15" s="11"/>
      <c r="C15" s="20">
        <v>54970.0</v>
      </c>
      <c r="D15" s="12" t="s">
        <v>54</v>
      </c>
      <c r="E15" s="12" t="s">
        <v>55</v>
      </c>
      <c r="F15" s="13"/>
      <c r="G15" s="16" t="b">
        <v>1</v>
      </c>
      <c r="H15" s="16" t="b">
        <v>1</v>
      </c>
      <c r="I15" s="16" t="b">
        <v>0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13 dari 31 (42%)</v>
      </c>
    </row>
    <row r="16" ht="22.5" customHeight="1">
      <c r="A16" s="2">
        <v>15.0</v>
      </c>
      <c r="B16" s="18"/>
      <c r="C16" s="20">
        <v>45047.0</v>
      </c>
      <c r="D16" s="4" t="s">
        <v>54</v>
      </c>
      <c r="E16" s="4" t="s">
        <v>70</v>
      </c>
      <c r="F16" s="5"/>
      <c r="G16" s="6" t="b">
        <v>1</v>
      </c>
      <c r="H16" s="6" t="b">
        <v>1</v>
      </c>
      <c r="I16" s="6" t="b">
        <v>0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13 dari 31 (42%)</v>
      </c>
    </row>
    <row r="17" ht="22.5" customHeight="1">
      <c r="A17" s="10">
        <v>16.0</v>
      </c>
      <c r="B17" s="11"/>
      <c r="C17" s="19">
        <v>60430.0</v>
      </c>
      <c r="D17" s="12" t="s">
        <v>54</v>
      </c>
      <c r="E17" s="12" t="s">
        <v>70</v>
      </c>
      <c r="F17" s="13"/>
      <c r="G17" s="16" t="b">
        <v>1</v>
      </c>
      <c r="H17" s="16" t="b">
        <v>1</v>
      </c>
      <c r="I17" s="16" t="b">
        <v>1</v>
      </c>
      <c r="J17" s="16" t="b">
        <v>0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1</v>
      </c>
      <c r="AJ17" s="16" t="b">
        <v>0</v>
      </c>
      <c r="AK17" s="16" t="b">
        <v>0</v>
      </c>
      <c r="AL17" s="17" t="str">
        <f t="shared" si="1"/>
        <v>14 dari 31 (45%)</v>
      </c>
    </row>
    <row r="18" ht="22.5" customHeight="1">
      <c r="A18" s="2">
        <v>17.0</v>
      </c>
      <c r="B18" s="18"/>
      <c r="C18" s="22">
        <v>54251.0</v>
      </c>
      <c r="D18" s="4" t="s">
        <v>54</v>
      </c>
      <c r="E18" s="4" t="s">
        <v>55</v>
      </c>
      <c r="F18" s="5"/>
      <c r="G18" s="6" t="b">
        <v>1</v>
      </c>
      <c r="H18" s="6" t="b">
        <v>1</v>
      </c>
      <c r="I18" s="6" t="b">
        <v>1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1</v>
      </c>
      <c r="AJ18" s="6" t="b">
        <v>0</v>
      </c>
      <c r="AK18" s="6" t="b">
        <v>0</v>
      </c>
      <c r="AL18" s="9" t="str">
        <f t="shared" si="1"/>
        <v>15 dari 31 (48%)</v>
      </c>
    </row>
    <row r="19" ht="22.5" customHeight="1">
      <c r="A19" s="10">
        <v>18.0</v>
      </c>
      <c r="B19" s="11"/>
      <c r="C19" s="22">
        <v>54891.0</v>
      </c>
      <c r="D19" s="12" t="s">
        <v>54</v>
      </c>
      <c r="E19" s="12" t="s">
        <v>62</v>
      </c>
      <c r="F19" s="13"/>
      <c r="G19" s="16" t="b">
        <v>1</v>
      </c>
      <c r="H19" s="16" t="b">
        <v>1</v>
      </c>
      <c r="I19" s="16" t="b">
        <v>0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13 dari 31 (42%)</v>
      </c>
    </row>
    <row r="20" ht="22.5" customHeight="1">
      <c r="A20" s="2">
        <v>19.0</v>
      </c>
      <c r="B20" s="18"/>
      <c r="C20" s="22">
        <v>55437.0</v>
      </c>
      <c r="D20" s="4" t="s">
        <v>54</v>
      </c>
      <c r="E20" s="4" t="s">
        <v>55</v>
      </c>
      <c r="F20" s="5"/>
      <c r="G20" s="6" t="b">
        <v>1</v>
      </c>
      <c r="H20" s="6" t="b">
        <v>1</v>
      </c>
      <c r="I20" s="6" t="b">
        <v>1</v>
      </c>
      <c r="J20" s="6" t="b">
        <v>0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1</v>
      </c>
      <c r="AA20" s="6" t="b">
        <v>1</v>
      </c>
      <c r="AB20" s="6" t="b">
        <v>1</v>
      </c>
      <c r="AC20" s="6" t="b">
        <v>1</v>
      </c>
      <c r="AD20" s="6" t="b">
        <v>1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1</v>
      </c>
      <c r="AJ20" s="6" t="b">
        <v>0</v>
      </c>
      <c r="AK20" s="6" t="b">
        <v>0</v>
      </c>
      <c r="AL20" s="9" t="str">
        <f t="shared" si="1"/>
        <v>19 dari 31 (61%)</v>
      </c>
    </row>
    <row r="21" ht="22.5" customHeight="1">
      <c r="A21" s="10">
        <v>20.0</v>
      </c>
      <c r="B21" s="11"/>
      <c r="C21" s="22">
        <v>59800.0</v>
      </c>
      <c r="D21" s="12" t="s">
        <v>63</v>
      </c>
      <c r="E21" s="12" t="s">
        <v>73</v>
      </c>
      <c r="F21" s="13"/>
      <c r="G21" s="16" t="b">
        <v>1</v>
      </c>
      <c r="H21" s="16" t="b">
        <v>1</v>
      </c>
      <c r="I21" s="16" t="b">
        <v>1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1</v>
      </c>
      <c r="AJ21" s="16" t="b">
        <v>0</v>
      </c>
      <c r="AK21" s="16" t="b">
        <v>0</v>
      </c>
      <c r="AL21" s="17" t="str">
        <f t="shared" si="1"/>
        <v>15 dari 31 (48%)</v>
      </c>
    </row>
    <row r="22" ht="22.5" customHeight="1">
      <c r="A22" s="2">
        <v>21.0</v>
      </c>
      <c r="B22" s="18"/>
      <c r="C22" s="20">
        <v>58203.0</v>
      </c>
      <c r="D22" s="12" t="s">
        <v>63</v>
      </c>
      <c r="E22" s="12" t="s">
        <v>73</v>
      </c>
      <c r="F22" s="5"/>
      <c r="G22" s="6" t="b">
        <v>1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1</v>
      </c>
      <c r="AJ22" s="6" t="b">
        <v>0</v>
      </c>
      <c r="AK22" s="6" t="b">
        <v>0</v>
      </c>
      <c r="AL22" s="9" t="str">
        <f t="shared" si="1"/>
        <v>15 dari 31 (48%)</v>
      </c>
    </row>
    <row r="23" ht="22.5" customHeight="1">
      <c r="A23" s="10">
        <v>22.0</v>
      </c>
      <c r="B23" s="11"/>
      <c r="C23" s="20">
        <v>60590.0</v>
      </c>
      <c r="D23" s="12" t="s">
        <v>63</v>
      </c>
      <c r="E23" s="12" t="s">
        <v>73</v>
      </c>
      <c r="F23" s="13"/>
      <c r="G23" s="16" t="b">
        <v>1</v>
      </c>
      <c r="H23" s="16" t="b">
        <v>1</v>
      </c>
      <c r="I23" s="16" t="b">
        <v>1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1</v>
      </c>
      <c r="AJ23" s="16" t="b">
        <v>0</v>
      </c>
      <c r="AK23" s="16" t="b">
        <v>0</v>
      </c>
      <c r="AL23" s="17" t="str">
        <f t="shared" si="1"/>
        <v>15 dari 31 (48%)</v>
      </c>
    </row>
    <row r="24" ht="22.5" customHeight="1">
      <c r="A24" s="2">
        <v>23.0</v>
      </c>
      <c r="B24" s="18"/>
      <c r="C24" s="20">
        <v>59903.0</v>
      </c>
      <c r="D24" s="12" t="s">
        <v>63</v>
      </c>
      <c r="E24" s="12" t="s">
        <v>73</v>
      </c>
      <c r="F24" s="13"/>
      <c r="G24" s="6" t="b">
        <v>1</v>
      </c>
      <c r="H24" s="6" t="b">
        <v>1</v>
      </c>
      <c r="I24" s="6" t="b">
        <v>1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1</v>
      </c>
      <c r="AJ24" s="6" t="b">
        <v>0</v>
      </c>
      <c r="AK24" s="6" t="b">
        <v>0</v>
      </c>
      <c r="AL24" s="9" t="str">
        <f t="shared" si="1"/>
        <v>15 dari 31 (48%)</v>
      </c>
    </row>
    <row r="25" ht="22.5" customHeight="1">
      <c r="A25" s="10">
        <v>24.0</v>
      </c>
      <c r="B25" s="11"/>
      <c r="C25" s="20">
        <v>60033.0</v>
      </c>
      <c r="D25" s="12" t="s">
        <v>63</v>
      </c>
      <c r="E25" s="12" t="s">
        <v>73</v>
      </c>
      <c r="F25" s="13"/>
      <c r="G25" s="16" t="b">
        <v>1</v>
      </c>
      <c r="H25" s="16" t="b">
        <v>1</v>
      </c>
      <c r="I25" s="16" t="b">
        <v>1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1</v>
      </c>
      <c r="AJ25" s="16" t="b">
        <v>0</v>
      </c>
      <c r="AK25" s="16" t="b">
        <v>0</v>
      </c>
      <c r="AL25" s="17" t="str">
        <f t="shared" si="1"/>
        <v>15 dari 31 (48%)</v>
      </c>
    </row>
    <row r="26" ht="22.5" customHeight="1">
      <c r="A26" s="2">
        <v>25.0</v>
      </c>
      <c r="B26" s="18"/>
      <c r="C26" s="20">
        <v>60880.0</v>
      </c>
      <c r="D26" s="12" t="s">
        <v>63</v>
      </c>
      <c r="E26" s="12" t="s">
        <v>73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1</v>
      </c>
      <c r="AJ26" s="6" t="b">
        <v>0</v>
      </c>
      <c r="AK26" s="6" t="b">
        <v>0</v>
      </c>
      <c r="AL26" s="9" t="str">
        <f t="shared" si="1"/>
        <v>15 dari 31 (48%)</v>
      </c>
    </row>
    <row r="27" ht="22.5" customHeight="1">
      <c r="A27" s="10">
        <v>26.0</v>
      </c>
      <c r="B27" s="11"/>
      <c r="C27" s="22">
        <v>57802.0</v>
      </c>
      <c r="D27" s="12" t="s">
        <v>63</v>
      </c>
      <c r="E27" s="12" t="s">
        <v>73</v>
      </c>
      <c r="F27" s="13"/>
      <c r="G27" s="16" t="b">
        <v>1</v>
      </c>
      <c r="H27" s="16" t="b">
        <v>1</v>
      </c>
      <c r="I27" s="16" t="b">
        <v>1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1</v>
      </c>
      <c r="AJ27" s="16" t="b">
        <v>0</v>
      </c>
      <c r="AK27" s="16" t="b">
        <v>0</v>
      </c>
      <c r="AL27" s="17" t="str">
        <f t="shared" si="1"/>
        <v>15 dari 31 (48%)</v>
      </c>
    </row>
    <row r="28" ht="22.5" customHeight="1">
      <c r="A28" s="2">
        <v>27.0</v>
      </c>
      <c r="B28" s="18"/>
      <c r="C28" s="22">
        <v>60599.0</v>
      </c>
      <c r="D28" s="12" t="s">
        <v>63</v>
      </c>
      <c r="E28" s="12" t="s">
        <v>73</v>
      </c>
      <c r="F28" s="13"/>
      <c r="G28" s="6" t="b">
        <v>1</v>
      </c>
      <c r="H28" s="6" t="b">
        <v>1</v>
      </c>
      <c r="I28" s="6" t="b">
        <v>1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1</v>
      </c>
      <c r="AJ28" s="6" t="b">
        <v>0</v>
      </c>
      <c r="AK28" s="6" t="b">
        <v>0</v>
      </c>
      <c r="AL28" s="9" t="str">
        <f t="shared" si="1"/>
        <v>15 dari 31 (48%)</v>
      </c>
    </row>
    <row r="29" ht="22.5" customHeight="1">
      <c r="A29" s="10">
        <v>28.0</v>
      </c>
      <c r="B29" s="11"/>
      <c r="C29" s="22">
        <v>60030.0</v>
      </c>
      <c r="D29" s="12" t="s">
        <v>63</v>
      </c>
      <c r="E29" s="12" t="s">
        <v>73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1</v>
      </c>
      <c r="AJ29" s="16" t="b">
        <v>0</v>
      </c>
      <c r="AK29" s="16" t="b">
        <v>0</v>
      </c>
      <c r="AL29" s="17" t="str">
        <f t="shared" si="1"/>
        <v>15 dari 31 (48%)</v>
      </c>
    </row>
    <row r="30" ht="22.5" customHeight="1">
      <c r="A30" s="2">
        <v>29.0</v>
      </c>
      <c r="B30" s="18"/>
      <c r="C30" s="22">
        <v>59548.0</v>
      </c>
      <c r="D30" s="12" t="s">
        <v>63</v>
      </c>
      <c r="E30" s="12" t="s">
        <v>73</v>
      </c>
      <c r="F30" s="13"/>
      <c r="G30" s="6" t="b">
        <v>1</v>
      </c>
      <c r="H30" s="6" t="b">
        <v>1</v>
      </c>
      <c r="I30" s="6" t="b">
        <v>1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1</v>
      </c>
      <c r="AJ30" s="6" t="b">
        <v>0</v>
      </c>
      <c r="AK30" s="6" t="b">
        <v>0</v>
      </c>
      <c r="AL30" s="9" t="str">
        <f t="shared" si="1"/>
        <v>15 dari 31 (48%)</v>
      </c>
    </row>
    <row r="31" ht="22.5" customHeight="1">
      <c r="A31" s="10">
        <v>30.0</v>
      </c>
      <c r="B31" s="11"/>
      <c r="C31" s="22">
        <v>21131.0</v>
      </c>
      <c r="D31" s="12" t="s">
        <v>63</v>
      </c>
      <c r="E31" s="12" t="s">
        <v>73</v>
      </c>
      <c r="F31" s="13"/>
      <c r="G31" s="16" t="b">
        <v>1</v>
      </c>
      <c r="H31" s="16" t="b">
        <v>1</v>
      </c>
      <c r="I31" s="16" t="b">
        <v>1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15 dari 31 (48%)</v>
      </c>
    </row>
    <row r="32" ht="22.5" customHeight="1">
      <c r="A32" s="2">
        <v>31.0</v>
      </c>
      <c r="B32" s="18"/>
      <c r="C32" s="20">
        <v>60533.0</v>
      </c>
      <c r="D32" s="12" t="s">
        <v>63</v>
      </c>
      <c r="E32" s="12" t="s">
        <v>72</v>
      </c>
      <c r="F32" s="13"/>
      <c r="G32" s="6" t="b">
        <v>1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1</v>
      </c>
      <c r="AJ32" s="6" t="b">
        <v>0</v>
      </c>
      <c r="AK32" s="6" t="b">
        <v>0</v>
      </c>
      <c r="AL32" s="9" t="str">
        <f t="shared" si="1"/>
        <v>15 dari 31 (48%)</v>
      </c>
    </row>
    <row r="33" ht="22.5" customHeight="1">
      <c r="A33" s="10">
        <v>32.0</v>
      </c>
      <c r="B33" s="11"/>
      <c r="C33" s="20">
        <v>46407.0</v>
      </c>
      <c r="D33" s="12" t="s">
        <v>63</v>
      </c>
      <c r="E33" s="12" t="s">
        <v>72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15 dari 31 (48%)</v>
      </c>
    </row>
    <row r="34" ht="22.5" customHeight="1">
      <c r="A34" s="30">
        <v>33.0</v>
      </c>
      <c r="B34" s="31"/>
      <c r="C34" s="60">
        <v>60374.0</v>
      </c>
      <c r="D34" s="51" t="s">
        <v>63</v>
      </c>
      <c r="E34" s="51" t="s">
        <v>72</v>
      </c>
      <c r="F34" s="53"/>
      <c r="G34" s="35" t="b">
        <v>0</v>
      </c>
      <c r="H34" s="35" t="b">
        <v>0</v>
      </c>
      <c r="I34" s="35" t="b">
        <v>0</v>
      </c>
      <c r="J34" s="35" t="b">
        <v>0</v>
      </c>
      <c r="K34" s="35" t="b">
        <v>0</v>
      </c>
      <c r="L34" s="35" t="b">
        <v>0</v>
      </c>
      <c r="M34" s="35" t="b">
        <v>0</v>
      </c>
      <c r="N34" s="35" t="b">
        <v>0</v>
      </c>
      <c r="O34" s="35" t="b">
        <v>0</v>
      </c>
      <c r="P34" s="35" t="b">
        <v>0</v>
      </c>
      <c r="Q34" s="35" t="b">
        <v>0</v>
      </c>
      <c r="R34" s="35" t="b">
        <v>0</v>
      </c>
      <c r="S34" s="35" t="b">
        <v>0</v>
      </c>
      <c r="T34" s="35" t="b">
        <v>0</v>
      </c>
      <c r="U34" s="35" t="b">
        <v>0</v>
      </c>
      <c r="V34" s="35" t="b">
        <v>0</v>
      </c>
      <c r="W34" s="35" t="b">
        <v>0</v>
      </c>
      <c r="X34" s="35" t="b">
        <v>0</v>
      </c>
      <c r="Y34" s="35" t="b">
        <v>0</v>
      </c>
      <c r="Z34" s="35" t="b">
        <v>0</v>
      </c>
      <c r="AA34" s="35" t="b">
        <v>0</v>
      </c>
      <c r="AB34" s="35" t="b">
        <v>0</v>
      </c>
      <c r="AC34" s="35" t="b">
        <v>0</v>
      </c>
      <c r="AD34" s="35" t="b">
        <v>0</v>
      </c>
      <c r="AE34" s="35" t="b">
        <v>0</v>
      </c>
      <c r="AF34" s="35" t="b">
        <v>0</v>
      </c>
      <c r="AG34" s="35" t="b">
        <v>0</v>
      </c>
      <c r="AH34" s="35" t="b">
        <v>0</v>
      </c>
      <c r="AI34" s="35" t="b">
        <v>0</v>
      </c>
      <c r="AJ34" s="35" t="b">
        <v>0</v>
      </c>
      <c r="AK34" s="35" t="b">
        <v>0</v>
      </c>
      <c r="AL34" s="38" t="str">
        <f t="shared" si="1"/>
        <v>0 dari 31 (0%)</v>
      </c>
    </row>
    <row r="35" ht="22.5" customHeight="1">
      <c r="A35" s="10">
        <v>34.0</v>
      </c>
      <c r="B35" s="11"/>
      <c r="C35" s="20">
        <v>59840.0</v>
      </c>
      <c r="D35" s="12" t="s">
        <v>63</v>
      </c>
      <c r="E35" s="12" t="s">
        <v>72</v>
      </c>
      <c r="F35" s="13"/>
      <c r="G35" s="16" t="b">
        <v>1</v>
      </c>
      <c r="H35" s="16" t="b">
        <v>1</v>
      </c>
      <c r="I35" s="16" t="b">
        <v>1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1"/>
        <v>15 dari 31 (48%)</v>
      </c>
    </row>
    <row r="36" ht="22.5" customHeight="1">
      <c r="A36" s="2">
        <v>35.0</v>
      </c>
      <c r="B36" s="18"/>
      <c r="C36" s="20">
        <v>58642.0</v>
      </c>
      <c r="D36" s="12" t="s">
        <v>63</v>
      </c>
      <c r="E36" s="12" t="s">
        <v>72</v>
      </c>
      <c r="F36" s="13"/>
      <c r="G36" s="6" t="b">
        <v>1</v>
      </c>
      <c r="H36" s="6" t="b">
        <v>1</v>
      </c>
      <c r="I36" s="6" t="b">
        <v>1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15 dari 31 (48%)</v>
      </c>
    </row>
    <row r="37" ht="22.5" customHeight="1">
      <c r="A37" s="10">
        <v>36.0</v>
      </c>
      <c r="B37" s="11"/>
      <c r="C37" s="22">
        <v>60424.0</v>
      </c>
      <c r="D37" s="12" t="s">
        <v>51</v>
      </c>
      <c r="E37" s="12" t="s">
        <v>65</v>
      </c>
      <c r="F37" s="13"/>
      <c r="G37" s="16" t="b">
        <v>1</v>
      </c>
      <c r="H37" s="16" t="b">
        <v>1</v>
      </c>
      <c r="I37" s="16" t="b">
        <v>0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0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7" t="str">
        <f t="shared" si="1"/>
        <v>12 dari 31 (39%)</v>
      </c>
    </row>
    <row r="38" ht="22.5" customHeight="1">
      <c r="A38" s="2">
        <v>37.0</v>
      </c>
      <c r="B38" s="18"/>
      <c r="C38" s="22">
        <v>59222.0</v>
      </c>
      <c r="D38" s="12" t="s">
        <v>51</v>
      </c>
      <c r="E38" s="12" t="s">
        <v>65</v>
      </c>
      <c r="F38" s="13"/>
      <c r="G38" s="6" t="b">
        <v>1</v>
      </c>
      <c r="H38" s="6" t="b">
        <v>1</v>
      </c>
      <c r="I38" s="6" t="b">
        <v>0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1"/>
        <v>12 dari 31 (39%)</v>
      </c>
    </row>
    <row r="39" ht="22.5" customHeight="1">
      <c r="A39" s="10">
        <v>38.0</v>
      </c>
      <c r="B39" s="11"/>
      <c r="C39" s="22">
        <v>39836.0</v>
      </c>
      <c r="D39" s="12" t="s">
        <v>63</v>
      </c>
      <c r="E39" s="12" t="s">
        <v>64</v>
      </c>
      <c r="F39" s="13"/>
      <c r="G39" s="16" t="b">
        <v>1</v>
      </c>
      <c r="H39" s="16" t="b">
        <v>1</v>
      </c>
      <c r="I39" s="16" t="b">
        <v>1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1</v>
      </c>
      <c r="AJ39" s="16" t="b">
        <v>0</v>
      </c>
      <c r="AK39" s="16" t="b">
        <v>0</v>
      </c>
      <c r="AL39" s="17" t="str">
        <f t="shared" si="1"/>
        <v>15 dari 31 (48%)</v>
      </c>
    </row>
    <row r="40" ht="22.5" customHeight="1">
      <c r="A40" s="2">
        <v>39.0</v>
      </c>
      <c r="B40" s="18"/>
      <c r="C40" s="22">
        <v>59462.0</v>
      </c>
      <c r="D40" s="12" t="s">
        <v>63</v>
      </c>
      <c r="E40" s="12" t="s">
        <v>64</v>
      </c>
      <c r="F40" s="13"/>
      <c r="G40" s="6" t="b">
        <v>1</v>
      </c>
      <c r="H40" s="6" t="b">
        <v>1</v>
      </c>
      <c r="I40" s="6" t="b">
        <v>1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1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15 dari 31 (48%)</v>
      </c>
    </row>
    <row r="41" ht="22.5" customHeight="1">
      <c r="A41" s="10">
        <v>40.0</v>
      </c>
      <c r="B41" s="11"/>
      <c r="C41" s="22">
        <v>60419.0</v>
      </c>
      <c r="D41" s="12" t="s">
        <v>63</v>
      </c>
      <c r="E41" s="12" t="s">
        <v>64</v>
      </c>
      <c r="F41" s="13"/>
      <c r="G41" s="16" t="b">
        <v>1</v>
      </c>
      <c r="H41" s="16" t="b">
        <v>1</v>
      </c>
      <c r="I41" s="16" t="b">
        <v>1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15 dari 31 (48%)</v>
      </c>
    </row>
    <row r="42" ht="22.5" customHeight="1">
      <c r="A42" s="2">
        <v>41.0</v>
      </c>
      <c r="B42" s="18"/>
      <c r="C42" s="20">
        <v>58510.0</v>
      </c>
      <c r="D42" s="12" t="s">
        <v>63</v>
      </c>
      <c r="E42" s="12" t="s">
        <v>64</v>
      </c>
      <c r="F42" s="13"/>
      <c r="G42" s="6" t="b">
        <v>1</v>
      </c>
      <c r="H42" s="6" t="b">
        <v>1</v>
      </c>
      <c r="I42" s="6" t="b">
        <v>1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1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1</v>
      </c>
      <c r="AJ42" s="6" t="b">
        <v>0</v>
      </c>
      <c r="AK42" s="6" t="b">
        <v>0</v>
      </c>
      <c r="AL42" s="9" t="str">
        <f t="shared" si="1"/>
        <v>15 dari 31 (48%)</v>
      </c>
    </row>
    <row r="43" ht="22.5" customHeight="1">
      <c r="A43" s="10">
        <v>42.0</v>
      </c>
      <c r="B43" s="11"/>
      <c r="C43" s="20">
        <v>56859.0</v>
      </c>
      <c r="D43" s="12" t="s">
        <v>63</v>
      </c>
      <c r="E43" s="12" t="s">
        <v>64</v>
      </c>
      <c r="F43" s="13"/>
      <c r="G43" s="16" t="b">
        <v>1</v>
      </c>
      <c r="H43" s="16" t="b">
        <v>1</v>
      </c>
      <c r="I43" s="16" t="b">
        <v>1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1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1</v>
      </c>
      <c r="AJ43" s="16" t="b">
        <v>0</v>
      </c>
      <c r="AK43" s="16" t="b">
        <v>0</v>
      </c>
      <c r="AL43" s="17" t="str">
        <f t="shared" si="1"/>
        <v>15 dari 31 (48%)</v>
      </c>
    </row>
    <row r="44" ht="22.5" customHeight="1">
      <c r="A44" s="2">
        <v>43.0</v>
      </c>
      <c r="B44" s="18"/>
      <c r="C44" s="20">
        <v>60594.0</v>
      </c>
      <c r="D44" s="12" t="s">
        <v>63</v>
      </c>
      <c r="E44" s="12" t="s">
        <v>64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14 dari 31 (45%)</v>
      </c>
    </row>
    <row r="45" ht="22.5" customHeight="1">
      <c r="A45" s="10">
        <v>44.0</v>
      </c>
      <c r="B45" s="11"/>
      <c r="C45" s="20">
        <v>43634.0</v>
      </c>
      <c r="D45" s="12" t="s">
        <v>63</v>
      </c>
      <c r="E45" s="12" t="s">
        <v>64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15 dari 31 (48%)</v>
      </c>
    </row>
    <row r="46" ht="22.5" customHeight="1">
      <c r="A46" s="2">
        <v>45.0</v>
      </c>
      <c r="B46" s="18"/>
      <c r="C46" s="20">
        <v>60421.0</v>
      </c>
      <c r="D46" s="12" t="s">
        <v>63</v>
      </c>
      <c r="E46" s="12" t="s">
        <v>64</v>
      </c>
      <c r="F46" s="13"/>
      <c r="G46" s="6" t="b">
        <v>1</v>
      </c>
      <c r="H46" s="6" t="b">
        <v>1</v>
      </c>
      <c r="I46" s="6" t="b">
        <v>1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1"/>
        <v>14 dari 31 (45%)</v>
      </c>
    </row>
    <row r="47" ht="22.5" customHeight="1">
      <c r="A47" s="10">
        <v>46.0</v>
      </c>
      <c r="B47" s="11"/>
      <c r="C47" s="22">
        <v>60268.0</v>
      </c>
      <c r="D47" s="12" t="s">
        <v>63</v>
      </c>
      <c r="E47" s="12" t="s">
        <v>64</v>
      </c>
      <c r="F47" s="13"/>
      <c r="G47" s="16" t="b">
        <v>1</v>
      </c>
      <c r="H47" s="16" t="b">
        <v>1</v>
      </c>
      <c r="I47" s="16" t="b">
        <v>1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1</v>
      </c>
      <c r="S47" s="16" t="b">
        <v>1</v>
      </c>
      <c r="T47" s="16" t="b">
        <v>1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15 dari 31 (48%)</v>
      </c>
    </row>
    <row r="48" ht="22.5" customHeight="1">
      <c r="A48" s="10">
        <v>47.0</v>
      </c>
      <c r="B48" s="18"/>
      <c r="C48" s="22">
        <v>59239.0</v>
      </c>
      <c r="D48" s="12" t="s">
        <v>63</v>
      </c>
      <c r="E48" s="12" t="s">
        <v>64</v>
      </c>
      <c r="F48" s="13"/>
      <c r="G48" s="6" t="b">
        <v>1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14 dari 31 (45%)</v>
      </c>
    </row>
    <row r="49" ht="22.5" customHeight="1">
      <c r="A49" s="2">
        <v>48.0</v>
      </c>
      <c r="B49" s="11"/>
      <c r="C49" s="22">
        <v>54010.0</v>
      </c>
      <c r="D49" s="12" t="s">
        <v>63</v>
      </c>
      <c r="E49" s="12" t="s">
        <v>64</v>
      </c>
      <c r="F49" s="13"/>
      <c r="G49" s="16" t="b">
        <v>1</v>
      </c>
      <c r="H49" s="16" t="b">
        <v>1</v>
      </c>
      <c r="I49" s="16" t="b">
        <v>1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0</v>
      </c>
      <c r="O49" s="16" t="b">
        <v>0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13 dari 31 (42%)</v>
      </c>
    </row>
    <row r="50" ht="22.5" customHeight="1">
      <c r="A50" s="10">
        <v>49.0</v>
      </c>
      <c r="B50" s="11"/>
      <c r="C50" s="22">
        <v>35805.0</v>
      </c>
      <c r="D50" s="12" t="s">
        <v>63</v>
      </c>
      <c r="E50" s="12" t="s">
        <v>64</v>
      </c>
      <c r="F50" s="13"/>
      <c r="G50" s="6" t="b">
        <v>1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1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1</v>
      </c>
      <c r="AJ50" s="6" t="b">
        <v>0</v>
      </c>
      <c r="AK50" s="6" t="b">
        <v>0</v>
      </c>
      <c r="AL50" s="9" t="str">
        <f t="shared" si="1"/>
        <v>15 dari 31 (48%)</v>
      </c>
    </row>
    <row r="51" ht="22.5" customHeight="1">
      <c r="A51" s="10">
        <v>50.0</v>
      </c>
      <c r="B51" s="11"/>
      <c r="C51" s="22">
        <v>31651.0</v>
      </c>
      <c r="D51" s="12" t="s">
        <v>63</v>
      </c>
      <c r="E51" s="12" t="s">
        <v>64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1</v>
      </c>
      <c r="AJ51" s="6" t="b">
        <v>0</v>
      </c>
      <c r="AK51" s="6" t="b">
        <v>0</v>
      </c>
      <c r="AL51" s="17" t="str">
        <f t="shared" si="1"/>
        <v>15 dari 31 (48%)</v>
      </c>
    </row>
    <row r="52" ht="22.5" customHeight="1">
      <c r="A52" s="2">
        <v>51.0</v>
      </c>
      <c r="B52" s="11"/>
      <c r="C52" s="20">
        <v>43222.0</v>
      </c>
      <c r="D52" s="12" t="s">
        <v>63</v>
      </c>
      <c r="E52" s="12" t="s">
        <v>64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0</v>
      </c>
      <c r="Q52" s="6" t="b">
        <v>0</v>
      </c>
      <c r="R52" s="6" t="b">
        <v>0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0</v>
      </c>
      <c r="AJ52" s="6" t="b">
        <v>0</v>
      </c>
      <c r="AK52" s="6" t="b">
        <v>0</v>
      </c>
      <c r="AL52" s="9" t="str">
        <f t="shared" si="1"/>
        <v>11 dari 31 (35%)</v>
      </c>
    </row>
    <row r="53" ht="22.5" customHeight="1">
      <c r="A53" s="10">
        <v>52.0</v>
      </c>
      <c r="B53" s="11"/>
      <c r="C53" s="20">
        <v>25651.0</v>
      </c>
      <c r="D53" s="12" t="s">
        <v>63</v>
      </c>
      <c r="E53" s="12" t="s">
        <v>64</v>
      </c>
      <c r="F53" s="13"/>
      <c r="G53" s="6" t="b">
        <v>1</v>
      </c>
      <c r="H53" s="6" t="b">
        <v>1</v>
      </c>
      <c r="I53" s="6" t="b">
        <v>1</v>
      </c>
      <c r="J53" s="6" t="b">
        <v>1</v>
      </c>
      <c r="K53" s="6" t="b">
        <v>1</v>
      </c>
      <c r="L53" s="6" t="b">
        <v>1</v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b">
        <v>1</v>
      </c>
      <c r="T53" s="6" t="b">
        <v>1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1</v>
      </c>
      <c r="AJ53" s="6" t="b">
        <v>0</v>
      </c>
      <c r="AK53" s="6" t="b">
        <v>0</v>
      </c>
      <c r="AL53" s="9" t="str">
        <f t="shared" si="1"/>
        <v>15 dari 31 (48%)</v>
      </c>
    </row>
    <row r="54" ht="22.5" customHeight="1">
      <c r="A54" s="10">
        <v>53.0</v>
      </c>
      <c r="B54" s="11"/>
      <c r="C54" s="20">
        <v>60877.0</v>
      </c>
      <c r="D54" s="12" t="s">
        <v>63</v>
      </c>
      <c r="E54" s="12" t="s">
        <v>64</v>
      </c>
      <c r="F54" s="13"/>
      <c r="G54" s="6" t="b">
        <v>1</v>
      </c>
      <c r="H54" s="6" t="b">
        <v>1</v>
      </c>
      <c r="I54" s="6" t="b">
        <v>1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0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14 dari 31 (45%)</v>
      </c>
    </row>
    <row r="55" ht="22.5" customHeight="1">
      <c r="A55" s="2">
        <v>54.0</v>
      </c>
      <c r="B55" s="11"/>
      <c r="C55" s="20">
        <v>59402.0</v>
      </c>
      <c r="D55" s="12" t="s">
        <v>63</v>
      </c>
      <c r="E55" s="12" t="s">
        <v>64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1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0</v>
      </c>
      <c r="AJ55" s="6" t="b">
        <v>0</v>
      </c>
      <c r="AK55" s="6" t="b">
        <v>0</v>
      </c>
      <c r="AL55" s="9" t="str">
        <f t="shared" si="1"/>
        <v>14 dari 31 (45%)</v>
      </c>
    </row>
    <row r="56" ht="22.5" customHeight="1">
      <c r="A56" s="10">
        <v>55.0</v>
      </c>
      <c r="B56" s="11"/>
      <c r="C56" s="20">
        <v>59690.0</v>
      </c>
      <c r="D56" s="12" t="s">
        <v>63</v>
      </c>
      <c r="E56" s="12" t="s">
        <v>64</v>
      </c>
      <c r="F56" s="13"/>
      <c r="G56" s="6" t="b">
        <v>1</v>
      </c>
      <c r="H56" s="6" t="b">
        <v>1</v>
      </c>
      <c r="I56" s="6" t="b">
        <v>1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1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0</v>
      </c>
      <c r="AJ56" s="6" t="b">
        <v>0</v>
      </c>
      <c r="AK56" s="6" t="b">
        <v>0</v>
      </c>
      <c r="AL56" s="9" t="str">
        <f t="shared" si="1"/>
        <v>14 dari 31 (45%)</v>
      </c>
    </row>
    <row r="57" ht="22.5" customHeight="1">
      <c r="A57" s="10">
        <v>56.0</v>
      </c>
      <c r="B57" s="11"/>
      <c r="C57" s="22">
        <v>32549.0</v>
      </c>
      <c r="D57" s="12" t="s">
        <v>63</v>
      </c>
      <c r="E57" s="12" t="s">
        <v>64</v>
      </c>
      <c r="F57" s="13"/>
      <c r="G57" s="6" t="b">
        <v>1</v>
      </c>
      <c r="H57" s="6" t="b">
        <v>1</v>
      </c>
      <c r="I57" s="6" t="b">
        <v>1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14 dari 31 (45%)</v>
      </c>
    </row>
    <row r="58" ht="22.5" customHeight="1">
      <c r="A58" s="2">
        <v>57.0</v>
      </c>
      <c r="B58" s="11"/>
      <c r="C58" s="22">
        <v>60895.0</v>
      </c>
      <c r="D58" s="12" t="s">
        <v>63</v>
      </c>
      <c r="E58" s="12" t="s">
        <v>64</v>
      </c>
      <c r="F58" s="13"/>
      <c r="G58" s="6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14 dari 31 (45%)</v>
      </c>
    </row>
    <row r="59" ht="22.5" customHeight="1">
      <c r="A59" s="10">
        <v>58.0</v>
      </c>
      <c r="B59" s="11"/>
      <c r="C59" s="22">
        <v>57564.0</v>
      </c>
      <c r="D59" s="12" t="s">
        <v>63</v>
      </c>
      <c r="E59" s="12" t="s">
        <v>64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1</v>
      </c>
      <c r="AJ59" s="6" t="b">
        <v>0</v>
      </c>
      <c r="AK59" s="6" t="b">
        <v>0</v>
      </c>
      <c r="AL59" s="9" t="str">
        <f t="shared" si="1"/>
        <v>15 dari 31 (48%)</v>
      </c>
    </row>
    <row r="60" ht="22.5" customHeight="1">
      <c r="A60" s="10">
        <v>59.0</v>
      </c>
      <c r="B60" s="11"/>
      <c r="C60" s="22">
        <v>60812.0</v>
      </c>
      <c r="D60" s="12" t="s">
        <v>63</v>
      </c>
      <c r="E60" s="12" t="s">
        <v>64</v>
      </c>
      <c r="F60" s="13"/>
      <c r="G60" s="6" t="b">
        <v>1</v>
      </c>
      <c r="H60" s="6" t="b">
        <v>1</v>
      </c>
      <c r="I60" s="6" t="b">
        <v>1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1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14 dari 31 (45%)</v>
      </c>
    </row>
    <row r="61" ht="22.5" customHeight="1">
      <c r="A61" s="2">
        <v>60.0</v>
      </c>
      <c r="B61" s="11"/>
      <c r="C61" s="22">
        <v>35822.0</v>
      </c>
      <c r="D61" s="12" t="s">
        <v>63</v>
      </c>
      <c r="E61" s="12" t="s">
        <v>64</v>
      </c>
      <c r="F61" s="13"/>
      <c r="G61" s="6" t="b">
        <v>1</v>
      </c>
      <c r="H61" s="6" t="b">
        <v>1</v>
      </c>
      <c r="I61" s="6" t="b">
        <v>1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1"/>
        <v>14 dari 31 (45%)</v>
      </c>
    </row>
    <row r="62" ht="22.5" customHeight="1">
      <c r="A62" s="10">
        <v>61.0</v>
      </c>
      <c r="B62" s="11"/>
      <c r="C62" s="20">
        <v>60893.0</v>
      </c>
      <c r="D62" s="12" t="s">
        <v>63</v>
      </c>
      <c r="E62" s="12" t="s">
        <v>64</v>
      </c>
      <c r="F62" s="13"/>
      <c r="G62" s="6" t="b">
        <v>1</v>
      </c>
      <c r="H62" s="6" t="b">
        <v>1</v>
      </c>
      <c r="I62" s="6" t="b">
        <v>1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14 dari 31 (45%)</v>
      </c>
    </row>
    <row r="63" ht="22.5" customHeight="1">
      <c r="A63" s="10">
        <v>62.0</v>
      </c>
      <c r="B63" s="11"/>
      <c r="C63" s="20">
        <v>59902.0</v>
      </c>
      <c r="D63" s="12" t="s">
        <v>63</v>
      </c>
      <c r="E63" s="12" t="s">
        <v>64</v>
      </c>
      <c r="F63" s="13"/>
      <c r="G63" s="6" t="b">
        <v>1</v>
      </c>
      <c r="H63" s="6" t="b">
        <v>1</v>
      </c>
      <c r="I63" s="6" t="b">
        <v>1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14 dari 31 (45%)</v>
      </c>
    </row>
    <row r="64" ht="22.5" customHeight="1">
      <c r="A64" s="2">
        <v>63.0</v>
      </c>
      <c r="B64" s="11"/>
      <c r="C64" s="20">
        <v>60286.0</v>
      </c>
      <c r="D64" s="12" t="s">
        <v>63</v>
      </c>
      <c r="E64" s="12" t="s">
        <v>64</v>
      </c>
      <c r="F64" s="13"/>
      <c r="G64" s="6" t="b">
        <v>1</v>
      </c>
      <c r="H64" s="6" t="b">
        <v>1</v>
      </c>
      <c r="I64" s="6" t="b">
        <v>1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1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1</v>
      </c>
      <c r="AJ64" s="6" t="b">
        <v>0</v>
      </c>
      <c r="AK64" s="6" t="b">
        <v>0</v>
      </c>
      <c r="AL64" s="9" t="str">
        <f t="shared" si="1"/>
        <v>15 dari 31 (48%)</v>
      </c>
    </row>
    <row r="65" ht="22.5" customHeight="1">
      <c r="A65" s="10">
        <v>64.0</v>
      </c>
      <c r="B65" s="11"/>
      <c r="C65" s="20">
        <v>40656.0</v>
      </c>
      <c r="D65" s="12" t="s">
        <v>63</v>
      </c>
      <c r="E65" s="12" t="s">
        <v>64</v>
      </c>
      <c r="F65" s="15" t="s">
        <v>50</v>
      </c>
      <c r="G65" s="6" t="b">
        <v>1</v>
      </c>
      <c r="H65" s="6" t="b">
        <v>0</v>
      </c>
      <c r="I65" s="6" t="b">
        <v>0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0</v>
      </c>
      <c r="AJ65" s="6" t="b">
        <v>0</v>
      </c>
      <c r="AK65" s="6" t="b">
        <v>0</v>
      </c>
      <c r="AL65" s="9" t="str">
        <f t="shared" si="1"/>
        <v>11 dari 31 (35%)</v>
      </c>
    </row>
    <row r="66" ht="22.5" customHeight="1">
      <c r="A66" s="10">
        <v>65.0</v>
      </c>
      <c r="B66" s="11"/>
      <c r="C66" s="20">
        <v>60407.0</v>
      </c>
      <c r="D66" s="12" t="s">
        <v>63</v>
      </c>
      <c r="E66" s="12" t="s">
        <v>64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15 dari 31 (48%)</v>
      </c>
    </row>
    <row r="67" ht="22.5" customHeight="1">
      <c r="A67" s="2">
        <v>66.0</v>
      </c>
      <c r="B67" s="11"/>
      <c r="C67" s="22">
        <v>32420.0</v>
      </c>
      <c r="D67" s="12" t="s">
        <v>63</v>
      </c>
      <c r="E67" s="12" t="s">
        <v>64</v>
      </c>
      <c r="F67" s="13"/>
      <c r="G67" s="6" t="b">
        <v>1</v>
      </c>
      <c r="H67" s="6" t="b">
        <v>1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15 dari 31 (48%)</v>
      </c>
    </row>
    <row r="68" ht="22.5" customHeight="1">
      <c r="A68" s="10">
        <v>67.0</v>
      </c>
      <c r="B68" s="11"/>
      <c r="C68" s="22">
        <v>60420.0</v>
      </c>
      <c r="D68" s="12" t="s">
        <v>63</v>
      </c>
      <c r="E68" s="12" t="s">
        <v>64</v>
      </c>
      <c r="F68" s="13"/>
      <c r="G68" s="6" t="b">
        <v>1</v>
      </c>
      <c r="H68" s="6" t="b">
        <v>1</v>
      </c>
      <c r="I68" s="6" t="b">
        <v>1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1</v>
      </c>
      <c r="AJ68" s="6" t="b">
        <v>0</v>
      </c>
      <c r="AK68" s="6" t="b">
        <v>0</v>
      </c>
      <c r="AL68" s="9" t="str">
        <f t="shared" si="1"/>
        <v>15 dari 31 (48%)</v>
      </c>
    </row>
    <row r="69" ht="22.5" customHeight="1">
      <c r="A69" s="10">
        <v>68.0</v>
      </c>
      <c r="B69" s="11"/>
      <c r="C69" s="22">
        <v>60731.0</v>
      </c>
      <c r="D69" s="12" t="s">
        <v>63</v>
      </c>
      <c r="E69" s="12" t="s">
        <v>64</v>
      </c>
      <c r="F69" s="13"/>
      <c r="G69" s="6" t="b">
        <v>1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1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0</v>
      </c>
      <c r="AJ69" s="6" t="b">
        <v>0</v>
      </c>
      <c r="AK69" s="6" t="b">
        <v>0</v>
      </c>
      <c r="AL69" s="17" t="str">
        <f t="shared" si="1"/>
        <v>14 dari 31 (45%)</v>
      </c>
    </row>
    <row r="70" ht="22.5" customHeight="1">
      <c r="A70" s="2">
        <v>69.0</v>
      </c>
      <c r="B70" s="11"/>
      <c r="C70" s="22">
        <v>61026.0</v>
      </c>
      <c r="D70" s="7" t="s">
        <v>54</v>
      </c>
      <c r="E70" s="7" t="s">
        <v>86</v>
      </c>
      <c r="F70" s="15" t="s">
        <v>50</v>
      </c>
      <c r="G70" s="6" t="b">
        <v>1</v>
      </c>
      <c r="H70" s="6" t="b">
        <v>0</v>
      </c>
      <c r="I70" s="6" t="b">
        <v>0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0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1</v>
      </c>
      <c r="AJ70" s="6" t="b">
        <v>0</v>
      </c>
      <c r="AK70" s="6" t="b">
        <v>0</v>
      </c>
      <c r="AL70" s="9" t="str">
        <f t="shared" si="1"/>
        <v>12 dari 31 (39%)</v>
      </c>
    </row>
    <row r="71" ht="22.5" customHeight="1">
      <c r="A71" s="10">
        <v>70.0</v>
      </c>
      <c r="B71" s="11"/>
      <c r="C71" s="22">
        <v>59820.0</v>
      </c>
      <c r="D71" s="21" t="s">
        <v>68</v>
      </c>
      <c r="E71" s="21" t="s">
        <v>109</v>
      </c>
      <c r="F71" s="13"/>
      <c r="G71" s="6" t="b">
        <v>1</v>
      </c>
      <c r="H71" s="6" t="b">
        <v>1</v>
      </c>
      <c r="I71" s="6" t="b">
        <v>1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1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1</v>
      </c>
      <c r="AJ71" s="6" t="b">
        <v>0</v>
      </c>
      <c r="AK71" s="6" t="b">
        <v>0</v>
      </c>
      <c r="AL71" s="9" t="str">
        <f t="shared" si="1"/>
        <v>15 dari 31 (48%)</v>
      </c>
    </row>
    <row r="72" ht="22.5" customHeight="1">
      <c r="A72" s="10">
        <v>71.0</v>
      </c>
      <c r="B72" s="11"/>
      <c r="C72" s="20">
        <v>59698.0</v>
      </c>
      <c r="D72" s="12" t="s">
        <v>56</v>
      </c>
      <c r="E72" s="12" t="s">
        <v>72</v>
      </c>
      <c r="F72" s="13"/>
      <c r="G72" s="6" t="b">
        <v>1</v>
      </c>
      <c r="H72" s="6" t="b">
        <v>1</v>
      </c>
      <c r="I72" s="6" t="b">
        <v>1</v>
      </c>
      <c r="J72" s="6" t="b">
        <v>1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1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1</v>
      </c>
      <c r="AJ72" s="6" t="b">
        <v>0</v>
      </c>
      <c r="AK72" s="6" t="b">
        <v>0</v>
      </c>
      <c r="AL72" s="17" t="str">
        <f t="shared" si="1"/>
        <v>15 dari 31 (48%)</v>
      </c>
    </row>
    <row r="73" ht="22.5" customHeight="1">
      <c r="A73" s="2">
        <v>72.0</v>
      </c>
      <c r="B73" s="11"/>
      <c r="C73" s="20">
        <v>38671.0</v>
      </c>
      <c r="D73" s="12" t="s">
        <v>39</v>
      </c>
      <c r="E73" s="12" t="s">
        <v>57</v>
      </c>
      <c r="F73" s="13"/>
      <c r="G73" s="6" t="b">
        <v>1</v>
      </c>
      <c r="H73" s="6" t="b">
        <v>1</v>
      </c>
      <c r="I73" s="6" t="b">
        <v>0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1</v>
      </c>
      <c r="AA73" s="6" t="b">
        <v>1</v>
      </c>
      <c r="AB73" s="6" t="b">
        <v>1</v>
      </c>
      <c r="AC73" s="6" t="b">
        <v>1</v>
      </c>
      <c r="AD73" s="6" t="b">
        <v>1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18 dari 31 (58%)</v>
      </c>
    </row>
    <row r="74" ht="22.5" customHeight="1">
      <c r="A74" s="10">
        <v>73.0</v>
      </c>
      <c r="B74" s="11"/>
      <c r="C74" s="20">
        <v>57353.0</v>
      </c>
      <c r="D74" s="12" t="s">
        <v>53</v>
      </c>
      <c r="E74" s="12" t="s">
        <v>100</v>
      </c>
      <c r="F74" s="13"/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1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1</v>
      </c>
      <c r="AJ74" s="6" t="b">
        <v>0</v>
      </c>
      <c r="AK74" s="6" t="b">
        <v>0</v>
      </c>
      <c r="AL74" s="9" t="str">
        <f t="shared" si="1"/>
        <v>15 dari 31 (48%)</v>
      </c>
    </row>
    <row r="75" ht="22.5" customHeight="1">
      <c r="A75" s="10">
        <v>74.0</v>
      </c>
      <c r="B75" s="11"/>
      <c r="C75" s="20">
        <v>59430.0</v>
      </c>
      <c r="D75" s="12" t="s">
        <v>63</v>
      </c>
      <c r="E75" s="12" t="s">
        <v>87</v>
      </c>
      <c r="F75" s="13"/>
      <c r="G75" s="6" t="b">
        <v>1</v>
      </c>
      <c r="H75" s="6" t="b">
        <v>1</v>
      </c>
      <c r="I75" s="6" t="b">
        <v>1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1</v>
      </c>
      <c r="AJ75" s="6" t="b">
        <v>0</v>
      </c>
      <c r="AK75" s="6" t="b">
        <v>0</v>
      </c>
      <c r="AL75" s="17" t="str">
        <f t="shared" si="1"/>
        <v>15 dari 31 (48%)</v>
      </c>
    </row>
    <row r="76" ht="22.5" customHeight="1">
      <c r="A76" s="2">
        <v>75.0</v>
      </c>
      <c r="B76" s="11"/>
      <c r="C76" s="20">
        <v>47269.0</v>
      </c>
      <c r="D76" s="12" t="s">
        <v>53</v>
      </c>
      <c r="E76" s="12" t="s">
        <v>100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1</v>
      </c>
      <c r="AJ76" s="6" t="b">
        <v>0</v>
      </c>
      <c r="AK76" s="6" t="b">
        <v>0</v>
      </c>
      <c r="AL76" s="9" t="str">
        <f t="shared" si="1"/>
        <v>15 dari 31 (48%)</v>
      </c>
    </row>
    <row r="77" ht="22.5" customHeight="1">
      <c r="A77" s="10">
        <v>76.0</v>
      </c>
      <c r="B77" s="11"/>
      <c r="C77" s="22">
        <v>56125.0</v>
      </c>
      <c r="D77" s="12" t="s">
        <v>54</v>
      </c>
      <c r="E77" s="12" t="s">
        <v>87</v>
      </c>
      <c r="F77" s="15" t="s">
        <v>50</v>
      </c>
      <c r="G77" s="6" t="b">
        <v>1</v>
      </c>
      <c r="H77" s="6" t="b">
        <v>0</v>
      </c>
      <c r="I77" s="6" t="b">
        <v>0</v>
      </c>
      <c r="J77" s="6" t="b">
        <v>0</v>
      </c>
      <c r="K77" s="6" t="b">
        <v>0</v>
      </c>
      <c r="L77" s="6" t="b">
        <v>0</v>
      </c>
      <c r="M77" s="6" t="b">
        <v>0</v>
      </c>
      <c r="N77" s="6" t="b">
        <v>0</v>
      </c>
      <c r="O77" s="6" t="b">
        <v>0</v>
      </c>
      <c r="P77" s="6" t="b">
        <v>0</v>
      </c>
      <c r="Q77" s="6" t="b">
        <v>0</v>
      </c>
      <c r="R77" s="6" t="b">
        <v>0</v>
      </c>
      <c r="S77" s="6" t="b">
        <v>0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1 dari 31 (3%)</v>
      </c>
    </row>
    <row r="78" ht="22.5" customHeight="1">
      <c r="A78" s="10">
        <v>77.0</v>
      </c>
      <c r="B78" s="11"/>
      <c r="C78" s="22">
        <v>59409.0</v>
      </c>
      <c r="D78" s="12" t="s">
        <v>63</v>
      </c>
      <c r="E78" s="12" t="s">
        <v>87</v>
      </c>
      <c r="F78" s="13"/>
      <c r="G78" s="6" t="b">
        <v>1</v>
      </c>
      <c r="H78" s="6" t="b">
        <v>1</v>
      </c>
      <c r="I78" s="6" t="b">
        <v>1</v>
      </c>
      <c r="J78" s="6" t="b">
        <v>1</v>
      </c>
      <c r="K78" s="6" t="b">
        <v>1</v>
      </c>
      <c r="L78" s="6" t="b">
        <v>1</v>
      </c>
      <c r="M78" s="6" t="b">
        <v>1</v>
      </c>
      <c r="N78" s="6" t="b">
        <v>1</v>
      </c>
      <c r="O78" s="6" t="b">
        <v>1</v>
      </c>
      <c r="P78" s="6" t="b">
        <v>1</v>
      </c>
      <c r="Q78" s="6" t="b">
        <v>1</v>
      </c>
      <c r="R78" s="6" t="b">
        <v>1</v>
      </c>
      <c r="S78" s="6" t="b">
        <v>1</v>
      </c>
      <c r="T78" s="6" t="b">
        <v>1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1</v>
      </c>
      <c r="AJ78" s="6" t="b">
        <v>0</v>
      </c>
      <c r="AK78" s="6" t="b">
        <v>0</v>
      </c>
      <c r="AL78" s="17" t="str">
        <f t="shared" si="1"/>
        <v>15 dari 31 (48%)</v>
      </c>
    </row>
    <row r="79" ht="22.5" customHeight="1">
      <c r="A79" s="2">
        <v>78.0</v>
      </c>
      <c r="B79" s="11"/>
      <c r="C79" s="22">
        <v>59910.0</v>
      </c>
      <c r="D79" s="12" t="s">
        <v>63</v>
      </c>
      <c r="E79" s="12" t="s">
        <v>112</v>
      </c>
      <c r="F79" s="13"/>
      <c r="G79" s="6" t="b">
        <v>1</v>
      </c>
      <c r="H79" s="6" t="b">
        <v>1</v>
      </c>
      <c r="I79" s="6" t="b">
        <v>1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1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1</v>
      </c>
      <c r="AJ79" s="6" t="b">
        <v>0</v>
      </c>
      <c r="AK79" s="6" t="b">
        <v>0</v>
      </c>
      <c r="AL79" s="9" t="str">
        <f t="shared" si="1"/>
        <v>15 dari 31 (48%)</v>
      </c>
    </row>
    <row r="80" ht="22.5" customHeight="1">
      <c r="A80" s="10">
        <v>79.0</v>
      </c>
      <c r="B80" s="11"/>
      <c r="C80" s="22">
        <v>60438.0</v>
      </c>
      <c r="D80" s="12" t="s">
        <v>63</v>
      </c>
      <c r="E80" s="12" t="s">
        <v>87</v>
      </c>
      <c r="F80" s="13"/>
      <c r="G80" s="6" t="b">
        <v>1</v>
      </c>
      <c r="H80" s="6" t="b">
        <v>1</v>
      </c>
      <c r="I80" s="6" t="b">
        <v>1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1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1</v>
      </c>
      <c r="AJ80" s="6" t="b">
        <v>0</v>
      </c>
      <c r="AK80" s="6" t="b">
        <v>0</v>
      </c>
      <c r="AL80" s="9" t="str">
        <f t="shared" si="1"/>
        <v>15 dari 31 (48%)</v>
      </c>
    </row>
    <row r="81" ht="22.5" customHeight="1">
      <c r="A81" s="10">
        <v>80.0</v>
      </c>
      <c r="B81" s="11"/>
      <c r="C81" s="22">
        <v>60606.0</v>
      </c>
      <c r="D81" s="12" t="s">
        <v>63</v>
      </c>
      <c r="E81" s="12" t="s">
        <v>87</v>
      </c>
      <c r="F81" s="13"/>
      <c r="G81" s="6" t="b">
        <v>1</v>
      </c>
      <c r="H81" s="6" t="b">
        <v>1</v>
      </c>
      <c r="I81" s="6" t="b">
        <v>1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1</v>
      </c>
      <c r="AJ81" s="6" t="b">
        <v>0</v>
      </c>
      <c r="AK81" s="6" t="b">
        <v>0</v>
      </c>
      <c r="AL81" s="17" t="str">
        <f t="shared" si="1"/>
        <v>15 dari 31 (48%)</v>
      </c>
    </row>
    <row r="82" ht="22.5" customHeight="1">
      <c r="A82" s="2">
        <v>81.0</v>
      </c>
      <c r="B82" s="11"/>
      <c r="C82" s="20">
        <v>51603.0</v>
      </c>
      <c r="D82" s="12" t="s">
        <v>63</v>
      </c>
      <c r="E82" s="12" t="s">
        <v>87</v>
      </c>
      <c r="F82" s="13"/>
      <c r="G82" s="6" t="b">
        <v>1</v>
      </c>
      <c r="H82" s="6" t="b">
        <v>1</v>
      </c>
      <c r="I82" s="6" t="b">
        <v>1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0</v>
      </c>
      <c r="S82" s="6" t="b">
        <v>1</v>
      </c>
      <c r="T82" s="6" t="b">
        <v>1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1</v>
      </c>
      <c r="AJ82" s="6" t="b">
        <v>0</v>
      </c>
      <c r="AK82" s="6" t="b">
        <v>0</v>
      </c>
      <c r="AL82" s="9" t="str">
        <f t="shared" si="1"/>
        <v>14 dari 31 (45%)</v>
      </c>
    </row>
    <row r="83" ht="22.5" customHeight="1">
      <c r="A83" s="10">
        <v>82.0</v>
      </c>
      <c r="B83" s="11"/>
      <c r="C83" s="20">
        <v>33157.0</v>
      </c>
      <c r="D83" s="12" t="s">
        <v>63</v>
      </c>
      <c r="E83" s="12" t="s">
        <v>87</v>
      </c>
      <c r="F83" s="13"/>
      <c r="G83" s="6" t="b">
        <v>1</v>
      </c>
      <c r="H83" s="6" t="b">
        <v>1</v>
      </c>
      <c r="I83" s="6" t="b">
        <v>1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0</v>
      </c>
      <c r="S83" s="6" t="b">
        <v>1</v>
      </c>
      <c r="T83" s="6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1</v>
      </c>
      <c r="AJ83" s="6" t="b">
        <v>0</v>
      </c>
      <c r="AK83" s="6" t="b">
        <v>0</v>
      </c>
      <c r="AL83" s="9" t="str">
        <f t="shared" si="1"/>
        <v>14 dari 31 (45%)</v>
      </c>
    </row>
    <row r="84" ht="22.5" customHeight="1">
      <c r="A84" s="10">
        <v>83.0</v>
      </c>
      <c r="B84" s="11"/>
      <c r="C84" s="20">
        <v>22303.0</v>
      </c>
      <c r="D84" s="12" t="s">
        <v>53</v>
      </c>
      <c r="E84" s="12" t="s">
        <v>44</v>
      </c>
      <c r="F84" s="13"/>
      <c r="G84" s="6" t="b">
        <v>1</v>
      </c>
      <c r="H84" s="6" t="b">
        <v>1</v>
      </c>
      <c r="I84" s="6" t="b">
        <v>1</v>
      </c>
      <c r="J84" s="6" t="b">
        <v>0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1</v>
      </c>
      <c r="P84" s="6" t="b">
        <v>1</v>
      </c>
      <c r="Q84" s="6" t="b">
        <v>1</v>
      </c>
      <c r="R84" s="6" t="b">
        <v>1</v>
      </c>
      <c r="S84" s="6" t="b">
        <v>1</v>
      </c>
      <c r="T84" s="6" t="b">
        <v>1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1</v>
      </c>
      <c r="AJ84" s="6" t="b">
        <v>0</v>
      </c>
      <c r="AK84" s="6" t="b">
        <v>0</v>
      </c>
      <c r="AL84" s="17" t="str">
        <f t="shared" si="1"/>
        <v>14 dari 31 (45%)</v>
      </c>
    </row>
    <row r="85" ht="22.5" customHeight="1">
      <c r="A85" s="2">
        <v>84.0</v>
      </c>
      <c r="B85" s="11"/>
      <c r="C85" s="20">
        <v>60038.0</v>
      </c>
      <c r="D85" s="12" t="s">
        <v>63</v>
      </c>
      <c r="E85" s="12" t="s">
        <v>87</v>
      </c>
      <c r="F85" s="13"/>
      <c r="G85" s="6" t="b">
        <v>1</v>
      </c>
      <c r="H85" s="6" t="b">
        <v>1</v>
      </c>
      <c r="I85" s="6" t="b">
        <v>1</v>
      </c>
      <c r="J85" s="6" t="b">
        <v>1</v>
      </c>
      <c r="K85" s="6" t="b">
        <v>1</v>
      </c>
      <c r="L85" s="6" t="b">
        <v>1</v>
      </c>
      <c r="M85" s="6" t="b">
        <v>1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0</v>
      </c>
      <c r="S85" s="6" t="b">
        <v>1</v>
      </c>
      <c r="T85" s="6" t="b">
        <v>1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1</v>
      </c>
      <c r="AJ85" s="6" t="b">
        <v>0</v>
      </c>
      <c r="AK85" s="6" t="b">
        <v>0</v>
      </c>
      <c r="AL85" s="9" t="str">
        <f t="shared" si="1"/>
        <v>14 dari 31 (45%)</v>
      </c>
    </row>
    <row r="86" ht="22.5" customHeight="1">
      <c r="A86" s="10">
        <v>85.0</v>
      </c>
      <c r="B86" s="11"/>
      <c r="C86" s="20">
        <v>57361.0</v>
      </c>
      <c r="D86" s="12" t="s">
        <v>80</v>
      </c>
      <c r="E86" s="12" t="s">
        <v>116</v>
      </c>
      <c r="F86" s="13"/>
      <c r="G86" s="6" t="b">
        <v>1</v>
      </c>
      <c r="H86" s="6" t="b">
        <v>1</v>
      </c>
      <c r="I86" s="6" t="b">
        <v>0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1</v>
      </c>
      <c r="AJ86" s="6" t="b">
        <v>0</v>
      </c>
      <c r="AK86" s="6" t="b">
        <v>0</v>
      </c>
      <c r="AL86" s="9" t="str">
        <f t="shared" si="1"/>
        <v>14 dari 31 (45%)</v>
      </c>
    </row>
    <row r="87" ht="22.5" customHeight="1">
      <c r="A87" s="10">
        <v>86.0</v>
      </c>
      <c r="B87" s="11"/>
      <c r="C87" s="22">
        <v>59466.0</v>
      </c>
      <c r="D87" s="12" t="s">
        <v>63</v>
      </c>
      <c r="E87" s="12" t="s">
        <v>87</v>
      </c>
      <c r="F87" s="13"/>
      <c r="G87" s="6" t="b">
        <v>1</v>
      </c>
      <c r="H87" s="6" t="b">
        <v>1</v>
      </c>
      <c r="I87" s="6" t="b">
        <v>1</v>
      </c>
      <c r="J87" s="6" t="b">
        <v>1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0</v>
      </c>
      <c r="S87" s="6" t="b">
        <v>1</v>
      </c>
      <c r="T87" s="6" t="b">
        <v>1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1</v>
      </c>
      <c r="AJ87" s="6" t="b">
        <v>0</v>
      </c>
      <c r="AK87" s="6" t="b">
        <v>0</v>
      </c>
      <c r="AL87" s="17" t="str">
        <f t="shared" si="1"/>
        <v>14 dari 31 (45%)</v>
      </c>
    </row>
    <row r="88" ht="22.5" customHeight="1">
      <c r="A88" s="2">
        <v>87.0</v>
      </c>
      <c r="B88" s="11"/>
      <c r="C88" s="22">
        <v>46506.0</v>
      </c>
      <c r="D88" s="12" t="s">
        <v>63</v>
      </c>
      <c r="E88" s="12" t="s">
        <v>87</v>
      </c>
      <c r="F88" s="13"/>
      <c r="G88" s="6" t="b">
        <v>1</v>
      </c>
      <c r="H88" s="6" t="b">
        <v>1</v>
      </c>
      <c r="I88" s="6" t="b">
        <v>1</v>
      </c>
      <c r="J88" s="6" t="b">
        <v>1</v>
      </c>
      <c r="K88" s="6" t="b">
        <v>1</v>
      </c>
      <c r="L88" s="6" t="b">
        <v>1</v>
      </c>
      <c r="M88" s="6" t="b">
        <v>1</v>
      </c>
      <c r="N88" s="6" t="b">
        <v>1</v>
      </c>
      <c r="O88" s="6" t="b">
        <v>1</v>
      </c>
      <c r="P88" s="6" t="b">
        <v>1</v>
      </c>
      <c r="Q88" s="6" t="b">
        <v>1</v>
      </c>
      <c r="R88" s="6" t="b">
        <v>0</v>
      </c>
      <c r="S88" s="6" t="b">
        <v>1</v>
      </c>
      <c r="T88" s="6" t="b">
        <v>1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1</v>
      </c>
      <c r="AJ88" s="6" t="b">
        <v>0</v>
      </c>
      <c r="AK88" s="6" t="b">
        <v>0</v>
      </c>
      <c r="AL88" s="9" t="str">
        <f t="shared" si="1"/>
        <v>14 dari 31 (45%)</v>
      </c>
    </row>
    <row r="89" ht="22.5" customHeight="1">
      <c r="A89" s="10">
        <v>88.0</v>
      </c>
      <c r="B89" s="11"/>
      <c r="C89" s="22">
        <v>58923.0</v>
      </c>
      <c r="D89" s="12" t="s">
        <v>63</v>
      </c>
      <c r="E89" s="12" t="s">
        <v>87</v>
      </c>
      <c r="F89" s="13"/>
      <c r="G89" s="6" t="b">
        <v>1</v>
      </c>
      <c r="H89" s="6" t="b">
        <v>1</v>
      </c>
      <c r="I89" s="6" t="b">
        <v>1</v>
      </c>
      <c r="J89" s="6" t="b">
        <v>1</v>
      </c>
      <c r="K89" s="6" t="b">
        <v>1</v>
      </c>
      <c r="L89" s="6" t="b">
        <v>1</v>
      </c>
      <c r="M89" s="6" t="b">
        <v>1</v>
      </c>
      <c r="N89" s="6" t="b">
        <v>1</v>
      </c>
      <c r="O89" s="6" t="b">
        <v>1</v>
      </c>
      <c r="P89" s="6" t="b">
        <v>1</v>
      </c>
      <c r="Q89" s="6" t="b">
        <v>1</v>
      </c>
      <c r="R89" s="6" t="b">
        <v>1</v>
      </c>
      <c r="S89" s="6" t="b">
        <v>1</v>
      </c>
      <c r="T89" s="6" t="b">
        <v>1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1</v>
      </c>
      <c r="AJ89" s="6" t="b">
        <v>0</v>
      </c>
      <c r="AK89" s="6" t="b">
        <v>0</v>
      </c>
      <c r="AL89" s="9" t="str">
        <f t="shared" si="1"/>
        <v>15 dari 31 (48%)</v>
      </c>
    </row>
    <row r="90" ht="22.5" customHeight="1">
      <c r="A90" s="10">
        <v>89.0</v>
      </c>
      <c r="B90" s="11"/>
      <c r="C90" s="22">
        <v>57744.0</v>
      </c>
      <c r="D90" s="12" t="s">
        <v>80</v>
      </c>
      <c r="E90" s="12" t="s">
        <v>100</v>
      </c>
      <c r="F90" s="13"/>
      <c r="G90" s="6" t="b">
        <v>1</v>
      </c>
      <c r="H90" s="6" t="b">
        <v>1</v>
      </c>
      <c r="I90" s="6" t="b">
        <v>0</v>
      </c>
      <c r="J90" s="6" t="b">
        <v>1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1</v>
      </c>
      <c r="S90" s="6" t="b">
        <v>1</v>
      </c>
      <c r="T90" s="6" t="b">
        <v>1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1</v>
      </c>
      <c r="AJ90" s="6" t="b">
        <v>0</v>
      </c>
      <c r="AK90" s="6" t="b">
        <v>0</v>
      </c>
      <c r="AL90" s="17" t="str">
        <f t="shared" si="1"/>
        <v>14 dari 31 (45%)</v>
      </c>
    </row>
    <row r="91" ht="22.5" customHeight="1">
      <c r="A91" s="2">
        <v>90.0</v>
      </c>
      <c r="B91" s="11"/>
      <c r="C91" s="22">
        <v>54611.0</v>
      </c>
      <c r="D91" s="12" t="s">
        <v>63</v>
      </c>
      <c r="E91" s="12" t="s">
        <v>87</v>
      </c>
      <c r="F91" s="13"/>
      <c r="G91" s="6" t="b">
        <v>1</v>
      </c>
      <c r="H91" s="6" t="b">
        <v>1</v>
      </c>
      <c r="I91" s="6" t="b">
        <v>1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0</v>
      </c>
      <c r="S91" s="6" t="b">
        <v>1</v>
      </c>
      <c r="T91" s="6" t="b">
        <v>1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1</v>
      </c>
      <c r="AJ91" s="6" t="b">
        <v>0</v>
      </c>
      <c r="AK91" s="6" t="b">
        <v>0</v>
      </c>
      <c r="AL91" s="9" t="str">
        <f t="shared" si="1"/>
        <v>14 dari 31 (45%)</v>
      </c>
    </row>
    <row r="92" ht="22.5" customHeight="1">
      <c r="A92" s="10">
        <v>91.0</v>
      </c>
      <c r="B92" s="11"/>
      <c r="C92" s="20">
        <v>60605.0</v>
      </c>
      <c r="D92" s="12" t="s">
        <v>63</v>
      </c>
      <c r="E92" s="12" t="s">
        <v>87</v>
      </c>
      <c r="F92" s="13"/>
      <c r="G92" s="6" t="b">
        <v>1</v>
      </c>
      <c r="H92" s="6" t="b">
        <v>1</v>
      </c>
      <c r="I92" s="6" t="b">
        <v>1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0</v>
      </c>
      <c r="S92" s="6" t="b">
        <v>1</v>
      </c>
      <c r="T92" s="6" t="b">
        <v>1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1</v>
      </c>
      <c r="AJ92" s="6" t="b">
        <v>0</v>
      </c>
      <c r="AK92" s="6" t="b">
        <v>0</v>
      </c>
      <c r="AL92" s="9" t="str">
        <f t="shared" si="1"/>
        <v>14 dari 31 (45%)</v>
      </c>
    </row>
    <row r="93" ht="22.5" customHeight="1">
      <c r="A93" s="10">
        <v>92.0</v>
      </c>
      <c r="B93" s="11"/>
      <c r="C93" s="20">
        <v>58485.0</v>
      </c>
      <c r="D93" s="12" t="s">
        <v>63</v>
      </c>
      <c r="E93" s="12" t="s">
        <v>64</v>
      </c>
      <c r="F93" s="13"/>
      <c r="G93" s="6" t="b">
        <v>1</v>
      </c>
      <c r="H93" s="6" t="b">
        <v>1</v>
      </c>
      <c r="I93" s="6" t="b">
        <v>1</v>
      </c>
      <c r="J93" s="6" t="b">
        <v>1</v>
      </c>
      <c r="K93" s="6" t="b">
        <v>1</v>
      </c>
      <c r="L93" s="6" t="b">
        <v>1</v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0</v>
      </c>
      <c r="S93" s="6" t="b">
        <v>1</v>
      </c>
      <c r="T93" s="6" t="b">
        <v>1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1</v>
      </c>
      <c r="AJ93" s="6" t="b">
        <v>0</v>
      </c>
      <c r="AK93" s="6" t="b">
        <v>0</v>
      </c>
      <c r="AL93" s="17" t="str">
        <f t="shared" si="1"/>
        <v>14 dari 31 (45%)</v>
      </c>
    </row>
    <row r="94" ht="22.5" customHeight="1">
      <c r="A94" s="2">
        <v>93.0</v>
      </c>
      <c r="B94" s="11"/>
      <c r="C94" s="20">
        <v>60596.0</v>
      </c>
      <c r="D94" s="12" t="s">
        <v>63</v>
      </c>
      <c r="E94" s="12" t="s">
        <v>87</v>
      </c>
      <c r="F94" s="13"/>
      <c r="G94" s="6" t="b">
        <v>1</v>
      </c>
      <c r="H94" s="6" t="b">
        <v>1</v>
      </c>
      <c r="I94" s="6" t="b">
        <v>0</v>
      </c>
      <c r="J94" s="6" t="b">
        <v>1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1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1</v>
      </c>
      <c r="AJ94" s="6" t="b">
        <v>0</v>
      </c>
      <c r="AK94" s="6" t="b">
        <v>0</v>
      </c>
      <c r="AL94" s="9" t="str">
        <f t="shared" si="1"/>
        <v>14 dari 31 (45%)</v>
      </c>
    </row>
    <row r="95" ht="22.5" customHeight="1">
      <c r="A95" s="10">
        <v>94.0</v>
      </c>
      <c r="B95" s="11"/>
      <c r="C95" s="20">
        <v>50222.0</v>
      </c>
      <c r="D95" s="12" t="s">
        <v>63</v>
      </c>
      <c r="E95" s="12" t="s">
        <v>87</v>
      </c>
      <c r="F95" s="13"/>
      <c r="G95" s="6" t="b">
        <v>1</v>
      </c>
      <c r="H95" s="6" t="b">
        <v>1</v>
      </c>
      <c r="I95" s="6" t="b">
        <v>0</v>
      </c>
      <c r="J95" s="6" t="b">
        <v>1</v>
      </c>
      <c r="K95" s="6" t="b">
        <v>1</v>
      </c>
      <c r="L95" s="6" t="b">
        <v>1</v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1</v>
      </c>
      <c r="S95" s="6" t="b">
        <v>1</v>
      </c>
      <c r="T95" s="6" t="b">
        <v>1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1</v>
      </c>
      <c r="AJ95" s="6" t="b">
        <v>0</v>
      </c>
      <c r="AK95" s="6" t="b">
        <v>0</v>
      </c>
      <c r="AL95" s="9" t="str">
        <f t="shared" si="1"/>
        <v>14 dari 31 (45%)</v>
      </c>
    </row>
    <row r="96" ht="22.5" customHeight="1">
      <c r="A96" s="10">
        <v>95.0</v>
      </c>
      <c r="B96" s="11"/>
      <c r="C96" s="20">
        <v>56477.0</v>
      </c>
      <c r="D96" s="12" t="s">
        <v>63</v>
      </c>
      <c r="E96" s="12" t="s">
        <v>64</v>
      </c>
      <c r="F96" s="13"/>
      <c r="G96" s="6" t="b">
        <v>1</v>
      </c>
      <c r="H96" s="6" t="b">
        <v>1</v>
      </c>
      <c r="I96" s="6" t="b">
        <v>1</v>
      </c>
      <c r="J96" s="6" t="b">
        <v>1</v>
      </c>
      <c r="K96" s="6" t="b">
        <v>1</v>
      </c>
      <c r="L96" s="6" t="b">
        <v>1</v>
      </c>
      <c r="M96" s="6" t="b">
        <v>1</v>
      </c>
      <c r="N96" s="6" t="b">
        <v>1</v>
      </c>
      <c r="O96" s="6" t="b">
        <v>1</v>
      </c>
      <c r="P96" s="6" t="b">
        <v>1</v>
      </c>
      <c r="Q96" s="6" t="b">
        <v>1</v>
      </c>
      <c r="R96" s="6" t="b">
        <v>1</v>
      </c>
      <c r="S96" s="6" t="b">
        <v>1</v>
      </c>
      <c r="T96" s="6" t="b">
        <v>1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14 dari 31 (45%)</v>
      </c>
    </row>
    <row r="97" ht="22.5" customHeight="1">
      <c r="A97" s="2">
        <v>96.0</v>
      </c>
      <c r="B97" s="11"/>
      <c r="C97" s="22">
        <v>59993.0</v>
      </c>
      <c r="D97" s="12" t="s">
        <v>63</v>
      </c>
      <c r="E97" s="12" t="s">
        <v>87</v>
      </c>
      <c r="F97" s="13"/>
      <c r="G97" s="6" t="b">
        <v>1</v>
      </c>
      <c r="H97" s="6" t="b">
        <v>1</v>
      </c>
      <c r="I97" s="6" t="b">
        <v>0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1</v>
      </c>
      <c r="S97" s="6" t="b">
        <v>1</v>
      </c>
      <c r="T97" s="6" t="b">
        <v>1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1</v>
      </c>
      <c r="AJ97" s="6" t="b">
        <v>0</v>
      </c>
      <c r="AK97" s="6" t="b">
        <v>0</v>
      </c>
      <c r="AL97" s="9" t="str">
        <f t="shared" si="1"/>
        <v>14 dari 31 (45%)</v>
      </c>
    </row>
    <row r="98" ht="22.5" customHeight="1">
      <c r="A98" s="10">
        <v>97.0</v>
      </c>
      <c r="B98" s="11"/>
      <c r="C98" s="22">
        <v>57368.0</v>
      </c>
      <c r="D98" s="12" t="s">
        <v>80</v>
      </c>
      <c r="E98" s="12" t="s">
        <v>116</v>
      </c>
      <c r="F98" s="13"/>
      <c r="G98" s="6" t="b">
        <v>1</v>
      </c>
      <c r="H98" s="6" t="b">
        <v>1</v>
      </c>
      <c r="I98" s="6" t="b">
        <v>0</v>
      </c>
      <c r="J98" s="6" t="b">
        <v>1</v>
      </c>
      <c r="K98" s="6" t="b">
        <v>1</v>
      </c>
      <c r="L98" s="6" t="b">
        <v>1</v>
      </c>
      <c r="M98" s="6" t="b">
        <v>1</v>
      </c>
      <c r="N98" s="6" t="b">
        <v>1</v>
      </c>
      <c r="O98" s="6" t="b">
        <v>1</v>
      </c>
      <c r="P98" s="6" t="b">
        <v>1</v>
      </c>
      <c r="Q98" s="6" t="b">
        <v>1</v>
      </c>
      <c r="R98" s="6" t="b">
        <v>1</v>
      </c>
      <c r="S98" s="6" t="b">
        <v>1</v>
      </c>
      <c r="T98" s="6" t="b">
        <v>1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1</v>
      </c>
      <c r="AJ98" s="6" t="b">
        <v>0</v>
      </c>
      <c r="AK98" s="6" t="b">
        <v>0</v>
      </c>
      <c r="AL98" s="9" t="str">
        <f t="shared" si="1"/>
        <v>14 dari 31 (45%)</v>
      </c>
    </row>
    <row r="99" ht="22.5" customHeight="1">
      <c r="A99" s="10">
        <v>98.0</v>
      </c>
      <c r="B99" s="11"/>
      <c r="C99" s="22">
        <v>57198.0</v>
      </c>
      <c r="D99" s="12" t="s">
        <v>63</v>
      </c>
      <c r="E99" s="12" t="s">
        <v>87</v>
      </c>
      <c r="F99" s="13"/>
      <c r="G99" s="6" t="b">
        <v>1</v>
      </c>
      <c r="H99" s="6" t="b">
        <v>1</v>
      </c>
      <c r="I99" s="6" t="b">
        <v>0</v>
      </c>
      <c r="J99" s="6" t="b">
        <v>1</v>
      </c>
      <c r="K99" s="6" t="b">
        <v>1</v>
      </c>
      <c r="L99" s="6" t="b">
        <v>1</v>
      </c>
      <c r="M99" s="6" t="b">
        <v>1</v>
      </c>
      <c r="N99" s="6" t="b">
        <v>1</v>
      </c>
      <c r="O99" s="6" t="b">
        <v>1</v>
      </c>
      <c r="P99" s="6" t="b">
        <v>1</v>
      </c>
      <c r="Q99" s="6" t="b">
        <v>1</v>
      </c>
      <c r="R99" s="6" t="b">
        <v>1</v>
      </c>
      <c r="S99" s="6" t="b">
        <v>1</v>
      </c>
      <c r="T99" s="6" t="b">
        <v>1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1</v>
      </c>
      <c r="AJ99" s="6" t="b">
        <v>0</v>
      </c>
      <c r="AK99" s="6" t="b">
        <v>0</v>
      </c>
      <c r="AL99" s="17" t="str">
        <f t="shared" si="1"/>
        <v>14 dari 31 (45%)</v>
      </c>
    </row>
    <row r="100" ht="22.5" customHeight="1">
      <c r="A100" s="2">
        <v>99.0</v>
      </c>
      <c r="B100" s="11"/>
      <c r="C100" s="22">
        <v>45219.0</v>
      </c>
      <c r="D100" s="12" t="s">
        <v>63</v>
      </c>
      <c r="E100" s="12" t="s">
        <v>87</v>
      </c>
      <c r="F100" s="13"/>
      <c r="G100" s="6" t="b">
        <v>1</v>
      </c>
      <c r="H100" s="6" t="b">
        <v>1</v>
      </c>
      <c r="I100" s="6" t="b">
        <v>0</v>
      </c>
      <c r="J100" s="6" t="b">
        <v>1</v>
      </c>
      <c r="K100" s="6" t="b">
        <v>1</v>
      </c>
      <c r="L100" s="6" t="b">
        <v>1</v>
      </c>
      <c r="M100" s="6" t="b">
        <v>1</v>
      </c>
      <c r="N100" s="6" t="b">
        <v>1</v>
      </c>
      <c r="O100" s="6" t="b">
        <v>1</v>
      </c>
      <c r="P100" s="6" t="b">
        <v>1</v>
      </c>
      <c r="Q100" s="6" t="b">
        <v>1</v>
      </c>
      <c r="R100" s="6" t="b">
        <v>1</v>
      </c>
      <c r="S100" s="6" t="b">
        <v>1</v>
      </c>
      <c r="T100" s="6" t="b">
        <v>1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1</v>
      </c>
      <c r="AJ100" s="6" t="b">
        <v>0</v>
      </c>
      <c r="AK100" s="6" t="b">
        <v>0</v>
      </c>
      <c r="AL100" s="9" t="str">
        <f t="shared" si="1"/>
        <v>14 dari 31 (45%)</v>
      </c>
    </row>
    <row r="101" ht="22.5" customHeight="1">
      <c r="A101" s="10">
        <v>100.0</v>
      </c>
      <c r="B101" s="11"/>
      <c r="C101" s="22">
        <v>57425.0</v>
      </c>
      <c r="D101" s="12" t="s">
        <v>63</v>
      </c>
      <c r="E101" s="12" t="s">
        <v>112</v>
      </c>
      <c r="F101" s="13"/>
      <c r="G101" s="6" t="b">
        <v>1</v>
      </c>
      <c r="H101" s="6" t="b">
        <v>1</v>
      </c>
      <c r="I101" s="6" t="b">
        <v>0</v>
      </c>
      <c r="J101" s="6" t="b">
        <v>1</v>
      </c>
      <c r="K101" s="6" t="b">
        <v>1</v>
      </c>
      <c r="L101" s="6" t="b">
        <v>1</v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b">
        <v>1</v>
      </c>
      <c r="T101" s="6" t="b">
        <v>1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1</v>
      </c>
      <c r="AJ101" s="6" t="b">
        <v>0</v>
      </c>
      <c r="AK101" s="6" t="b">
        <v>0</v>
      </c>
      <c r="AL101" s="9" t="str">
        <f t="shared" si="1"/>
        <v>14 dari 31 (45%)</v>
      </c>
    </row>
    <row r="102" ht="22.5" customHeight="1">
      <c r="A102" s="61">
        <v>101.0</v>
      </c>
      <c r="B102" s="62"/>
      <c r="C102" s="60">
        <v>52729.0</v>
      </c>
      <c r="D102" s="51" t="s">
        <v>63</v>
      </c>
      <c r="E102" s="51" t="s">
        <v>87</v>
      </c>
      <c r="F102" s="53"/>
      <c r="G102" s="35" t="b">
        <v>0</v>
      </c>
      <c r="H102" s="35" t="b">
        <v>0</v>
      </c>
      <c r="I102" s="35" t="b">
        <v>0</v>
      </c>
      <c r="J102" s="35" t="b">
        <v>0</v>
      </c>
      <c r="K102" s="35" t="b">
        <v>0</v>
      </c>
      <c r="L102" s="35" t="b">
        <v>0</v>
      </c>
      <c r="M102" s="35" t="b">
        <v>0</v>
      </c>
      <c r="N102" s="35" t="b">
        <v>0</v>
      </c>
      <c r="O102" s="35" t="b">
        <v>0</v>
      </c>
      <c r="P102" s="35" t="b">
        <v>0</v>
      </c>
      <c r="Q102" s="35" t="b">
        <v>0</v>
      </c>
      <c r="R102" s="35" t="b">
        <v>0</v>
      </c>
      <c r="S102" s="35" t="b">
        <v>0</v>
      </c>
      <c r="T102" s="35" t="b">
        <v>0</v>
      </c>
      <c r="U102" s="35" t="b">
        <v>0</v>
      </c>
      <c r="V102" s="35" t="b">
        <v>0</v>
      </c>
      <c r="W102" s="35" t="b">
        <v>0</v>
      </c>
      <c r="X102" s="35" t="b">
        <v>0</v>
      </c>
      <c r="Y102" s="35" t="b">
        <v>0</v>
      </c>
      <c r="Z102" s="35" t="b">
        <v>0</v>
      </c>
      <c r="AA102" s="35" t="b">
        <v>0</v>
      </c>
      <c r="AB102" s="35" t="b">
        <v>0</v>
      </c>
      <c r="AC102" s="35" t="b">
        <v>0</v>
      </c>
      <c r="AD102" s="35" t="b">
        <v>0</v>
      </c>
      <c r="AE102" s="35" t="b">
        <v>0</v>
      </c>
      <c r="AF102" s="35" t="b">
        <v>0</v>
      </c>
      <c r="AG102" s="35" t="b">
        <v>0</v>
      </c>
      <c r="AH102" s="35" t="b">
        <v>0</v>
      </c>
      <c r="AI102" s="35" t="b">
        <v>0</v>
      </c>
      <c r="AJ102" s="35" t="b">
        <v>0</v>
      </c>
      <c r="AK102" s="35" t="b">
        <v>0</v>
      </c>
      <c r="AL102" s="64" t="str">
        <f t="shared" si="1"/>
        <v>0 dari 31 (0%)</v>
      </c>
    </row>
    <row r="103" ht="22.5" customHeight="1">
      <c r="A103" s="2">
        <v>102.0</v>
      </c>
      <c r="B103" s="11"/>
      <c r="C103" s="22">
        <v>57892.0</v>
      </c>
      <c r="D103" s="12" t="s">
        <v>80</v>
      </c>
      <c r="E103" s="12" t="s">
        <v>100</v>
      </c>
      <c r="F103" s="13"/>
      <c r="G103" s="6" t="b">
        <v>1</v>
      </c>
      <c r="H103" s="6" t="b">
        <v>1</v>
      </c>
      <c r="I103" s="6" t="b">
        <v>0</v>
      </c>
      <c r="J103" s="6" t="b">
        <v>1</v>
      </c>
      <c r="K103" s="6" t="b">
        <v>1</v>
      </c>
      <c r="L103" s="6" t="b">
        <v>1</v>
      </c>
      <c r="M103" s="6" t="b">
        <v>1</v>
      </c>
      <c r="N103" s="6" t="b">
        <v>1</v>
      </c>
      <c r="O103" s="6" t="b">
        <v>1</v>
      </c>
      <c r="P103" s="6" t="b">
        <v>1</v>
      </c>
      <c r="Q103" s="6" t="b">
        <v>1</v>
      </c>
      <c r="R103" s="6" t="b">
        <v>1</v>
      </c>
      <c r="S103" s="6" t="b">
        <v>1</v>
      </c>
      <c r="T103" s="6" t="b">
        <v>1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1</v>
      </c>
      <c r="AJ103" s="6" t="b">
        <v>0</v>
      </c>
      <c r="AK103" s="6" t="b">
        <v>0</v>
      </c>
      <c r="AL103" s="9" t="str">
        <f t="shared" si="1"/>
        <v>14 dari 31 (45%)</v>
      </c>
    </row>
    <row r="104" ht="22.5" customHeight="1">
      <c r="A104" s="10">
        <v>103.0</v>
      </c>
      <c r="B104" s="11"/>
      <c r="C104" s="22">
        <v>57366.0</v>
      </c>
      <c r="D104" s="12" t="s">
        <v>80</v>
      </c>
      <c r="E104" s="12" t="s">
        <v>100</v>
      </c>
      <c r="F104" s="13"/>
      <c r="G104" s="6" t="b">
        <v>1</v>
      </c>
      <c r="H104" s="6" t="b">
        <v>1</v>
      </c>
      <c r="I104" s="6" t="b">
        <v>0</v>
      </c>
      <c r="J104" s="6" t="b">
        <v>1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1</v>
      </c>
      <c r="AJ104" s="6" t="b">
        <v>0</v>
      </c>
      <c r="AK104" s="6" t="b">
        <v>0</v>
      </c>
      <c r="AL104" s="9" t="str">
        <f t="shared" si="1"/>
        <v>14 dari 31 (45%)</v>
      </c>
    </row>
    <row r="105" ht="22.5" customHeight="1">
      <c r="A105" s="10">
        <v>104.0</v>
      </c>
      <c r="B105" s="11"/>
      <c r="C105" s="22">
        <v>40983.0</v>
      </c>
      <c r="D105" s="12" t="s">
        <v>63</v>
      </c>
      <c r="E105" s="12" t="s">
        <v>87</v>
      </c>
      <c r="F105" s="13"/>
      <c r="G105" s="6" t="b">
        <v>1</v>
      </c>
      <c r="H105" s="6" t="b">
        <v>1</v>
      </c>
      <c r="I105" s="6" t="b">
        <v>0</v>
      </c>
      <c r="J105" s="6" t="b">
        <v>1</v>
      </c>
      <c r="K105" s="6" t="b">
        <v>1</v>
      </c>
      <c r="L105" s="6" t="b">
        <v>1</v>
      </c>
      <c r="M105" s="6" t="b">
        <v>1</v>
      </c>
      <c r="N105" s="6" t="b">
        <v>1</v>
      </c>
      <c r="O105" s="6" t="b">
        <v>1</v>
      </c>
      <c r="P105" s="6" t="b">
        <v>1</v>
      </c>
      <c r="Q105" s="6" t="b">
        <v>1</v>
      </c>
      <c r="R105" s="6" t="b">
        <v>1</v>
      </c>
      <c r="S105" s="6" t="b">
        <v>1</v>
      </c>
      <c r="T105" s="6" t="b">
        <v>1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1</v>
      </c>
      <c r="AJ105" s="6" t="b">
        <v>0</v>
      </c>
      <c r="AK105" s="6" t="b">
        <v>0</v>
      </c>
      <c r="AL105" s="17" t="str">
        <f t="shared" si="1"/>
        <v>14 dari 31 (45%)</v>
      </c>
    </row>
    <row r="106" ht="22.5" customHeight="1">
      <c r="A106" s="2">
        <v>105.0</v>
      </c>
      <c r="B106" s="11"/>
      <c r="C106" s="22">
        <v>59789.0</v>
      </c>
      <c r="D106" s="12" t="s">
        <v>63</v>
      </c>
      <c r="E106" s="12" t="s">
        <v>87</v>
      </c>
      <c r="F106" s="13"/>
      <c r="G106" s="6" t="b">
        <v>1</v>
      </c>
      <c r="H106" s="6" t="b">
        <v>1</v>
      </c>
      <c r="I106" s="6" t="b">
        <v>0</v>
      </c>
      <c r="J106" s="6" t="b">
        <v>1</v>
      </c>
      <c r="K106" s="6" t="b">
        <v>1</v>
      </c>
      <c r="L106" s="6" t="b">
        <v>1</v>
      </c>
      <c r="M106" s="6" t="b">
        <v>1</v>
      </c>
      <c r="N106" s="6" t="b">
        <v>1</v>
      </c>
      <c r="O106" s="6" t="b">
        <v>1</v>
      </c>
      <c r="P106" s="6" t="b">
        <v>1</v>
      </c>
      <c r="Q106" s="6" t="b">
        <v>1</v>
      </c>
      <c r="R106" s="6" t="b">
        <v>1</v>
      </c>
      <c r="S106" s="6" t="b">
        <v>1</v>
      </c>
      <c r="T106" s="6" t="b">
        <v>1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1</v>
      </c>
      <c r="AJ106" s="6" t="b">
        <v>0</v>
      </c>
      <c r="AK106" s="6" t="b">
        <v>0</v>
      </c>
      <c r="AL106" s="9" t="str">
        <f t="shared" si="1"/>
        <v>14 dari 31 (45%)</v>
      </c>
    </row>
    <row r="107" ht="22.5" customHeight="1">
      <c r="A107" s="10">
        <v>106.0</v>
      </c>
      <c r="B107" s="11"/>
      <c r="C107" s="22">
        <v>46175.0</v>
      </c>
      <c r="D107" s="12" t="s">
        <v>63</v>
      </c>
      <c r="E107" s="12" t="s">
        <v>112</v>
      </c>
      <c r="F107" s="13"/>
      <c r="G107" s="6" t="b">
        <v>1</v>
      </c>
      <c r="H107" s="6" t="b">
        <v>1</v>
      </c>
      <c r="I107" s="6" t="b">
        <v>0</v>
      </c>
      <c r="J107" s="6" t="b">
        <v>1</v>
      </c>
      <c r="K107" s="6" t="b">
        <v>1</v>
      </c>
      <c r="L107" s="6" t="b">
        <v>1</v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b">
        <v>1</v>
      </c>
      <c r="T107" s="6" t="b">
        <v>1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1</v>
      </c>
      <c r="AJ107" s="6" t="b">
        <v>0</v>
      </c>
      <c r="AK107" s="6" t="b">
        <v>0</v>
      </c>
      <c r="AL107" s="9" t="str">
        <f t="shared" si="1"/>
        <v>14 dari 31 (45%)</v>
      </c>
    </row>
    <row r="108" ht="22.5" customHeight="1">
      <c r="A108" s="10">
        <v>107.0</v>
      </c>
      <c r="B108" s="11"/>
      <c r="C108" s="22">
        <v>60737.0</v>
      </c>
      <c r="D108" s="12" t="s">
        <v>63</v>
      </c>
      <c r="E108" s="12" t="s">
        <v>87</v>
      </c>
      <c r="F108" s="13"/>
      <c r="G108" s="6" t="b">
        <v>1</v>
      </c>
      <c r="H108" s="6" t="b">
        <v>1</v>
      </c>
      <c r="I108" s="6" t="b">
        <v>0</v>
      </c>
      <c r="J108" s="6" t="b">
        <v>1</v>
      </c>
      <c r="K108" s="6" t="b">
        <v>1</v>
      </c>
      <c r="L108" s="6" t="b">
        <v>1</v>
      </c>
      <c r="M108" s="6" t="b">
        <v>1</v>
      </c>
      <c r="N108" s="6" t="b">
        <v>1</v>
      </c>
      <c r="O108" s="6" t="b">
        <v>1</v>
      </c>
      <c r="P108" s="6" t="b">
        <v>1</v>
      </c>
      <c r="Q108" s="6" t="b">
        <v>1</v>
      </c>
      <c r="R108" s="6" t="b">
        <v>1</v>
      </c>
      <c r="S108" s="6" t="b">
        <v>1</v>
      </c>
      <c r="T108" s="6" t="b">
        <v>1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1</v>
      </c>
      <c r="AJ108" s="6" t="b">
        <v>0</v>
      </c>
      <c r="AK108" s="6" t="b">
        <v>0</v>
      </c>
      <c r="AL108" s="17" t="str">
        <f t="shared" si="1"/>
        <v>14 dari 31 (45%)</v>
      </c>
    </row>
    <row r="109" ht="22.5" customHeight="1">
      <c r="A109" s="2">
        <v>108.0</v>
      </c>
      <c r="B109" s="11"/>
      <c r="C109" s="22">
        <v>54936.0</v>
      </c>
      <c r="D109" s="12" t="s">
        <v>63</v>
      </c>
      <c r="E109" s="12" t="s">
        <v>87</v>
      </c>
      <c r="F109" s="13"/>
      <c r="G109" s="6" t="b">
        <v>1</v>
      </c>
      <c r="H109" s="6" t="b">
        <v>1</v>
      </c>
      <c r="I109" s="6" t="b">
        <v>0</v>
      </c>
      <c r="J109" s="6" t="b">
        <v>1</v>
      </c>
      <c r="K109" s="6" t="b">
        <v>1</v>
      </c>
      <c r="L109" s="6" t="b">
        <v>1</v>
      </c>
      <c r="M109" s="6" t="b">
        <v>1</v>
      </c>
      <c r="N109" s="6" t="b">
        <v>1</v>
      </c>
      <c r="O109" s="6" t="b">
        <v>1</v>
      </c>
      <c r="P109" s="6" t="b">
        <v>1</v>
      </c>
      <c r="Q109" s="6" t="b">
        <v>1</v>
      </c>
      <c r="R109" s="6" t="b">
        <v>1</v>
      </c>
      <c r="S109" s="6" t="b">
        <v>1</v>
      </c>
      <c r="T109" s="6" t="b">
        <v>1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1</v>
      </c>
      <c r="AJ109" s="6" t="b">
        <v>0</v>
      </c>
      <c r="AK109" s="6" t="b">
        <v>0</v>
      </c>
      <c r="AL109" s="9" t="str">
        <f t="shared" si="1"/>
        <v>14 dari 31 (45%)</v>
      </c>
    </row>
    <row r="110" ht="22.5" customHeight="1">
      <c r="A110" s="10">
        <v>109.0</v>
      </c>
      <c r="B110" s="11"/>
      <c r="C110" s="22">
        <v>56726.0</v>
      </c>
      <c r="D110" s="12" t="s">
        <v>68</v>
      </c>
      <c r="E110" s="12" t="s">
        <v>109</v>
      </c>
      <c r="F110" s="13"/>
      <c r="G110" s="6" t="b">
        <v>1</v>
      </c>
      <c r="H110" s="6" t="b">
        <v>1</v>
      </c>
      <c r="I110" s="6" t="b">
        <v>1</v>
      </c>
      <c r="J110" s="6" t="b">
        <v>1</v>
      </c>
      <c r="K110" s="6" t="b">
        <v>1</v>
      </c>
      <c r="L110" s="6" t="b">
        <v>1</v>
      </c>
      <c r="M110" s="6" t="b">
        <v>1</v>
      </c>
      <c r="N110" s="6" t="b">
        <v>1</v>
      </c>
      <c r="O110" s="6" t="b">
        <v>1</v>
      </c>
      <c r="P110" s="6" t="b">
        <v>1</v>
      </c>
      <c r="Q110" s="6" t="b">
        <v>1</v>
      </c>
      <c r="R110" s="6" t="b">
        <v>1</v>
      </c>
      <c r="S110" s="6" t="b">
        <v>1</v>
      </c>
      <c r="T110" s="6" t="b">
        <v>1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1</v>
      </c>
      <c r="AJ110" s="6" t="b">
        <v>0</v>
      </c>
      <c r="AK110" s="6" t="b">
        <v>0</v>
      </c>
      <c r="AL110" s="9" t="str">
        <f t="shared" si="1"/>
        <v>15 dari 31 (48%)</v>
      </c>
    </row>
    <row r="111" ht="22.5" customHeight="1">
      <c r="A111" s="10">
        <v>110.0</v>
      </c>
      <c r="B111" s="11"/>
      <c r="C111" s="22">
        <v>30677.0</v>
      </c>
      <c r="D111" s="12" t="s">
        <v>63</v>
      </c>
      <c r="E111" s="12" t="s">
        <v>87</v>
      </c>
      <c r="F111" s="13"/>
      <c r="G111" s="6" t="b">
        <v>1</v>
      </c>
      <c r="H111" s="6" t="b">
        <v>1</v>
      </c>
      <c r="I111" s="6" t="b">
        <v>0</v>
      </c>
      <c r="J111" s="6" t="b">
        <v>1</v>
      </c>
      <c r="K111" s="6" t="b">
        <v>1</v>
      </c>
      <c r="L111" s="6" t="b">
        <v>1</v>
      </c>
      <c r="M111" s="6" t="b">
        <v>1</v>
      </c>
      <c r="N111" s="6" t="b">
        <v>1</v>
      </c>
      <c r="O111" s="6" t="b">
        <v>1</v>
      </c>
      <c r="P111" s="6" t="b">
        <v>1</v>
      </c>
      <c r="Q111" s="6" t="b">
        <v>1</v>
      </c>
      <c r="R111" s="6" t="b">
        <v>1</v>
      </c>
      <c r="S111" s="6" t="b">
        <v>1</v>
      </c>
      <c r="T111" s="6" t="b">
        <v>1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1</v>
      </c>
      <c r="AJ111" s="6" t="b">
        <v>0</v>
      </c>
      <c r="AK111" s="6" t="b">
        <v>0</v>
      </c>
      <c r="AL111" s="17" t="str">
        <f t="shared" si="1"/>
        <v>14 dari 31 (45%)</v>
      </c>
    </row>
    <row r="112" ht="22.5" customHeight="1">
      <c r="A112" s="2">
        <v>111.0</v>
      </c>
      <c r="B112" s="11"/>
      <c r="C112" s="22">
        <v>59781.0</v>
      </c>
      <c r="D112" s="12" t="s">
        <v>63</v>
      </c>
      <c r="E112" s="12" t="s">
        <v>87</v>
      </c>
      <c r="F112" s="13"/>
      <c r="G112" s="6" t="b">
        <v>1</v>
      </c>
      <c r="H112" s="6" t="b">
        <v>1</v>
      </c>
      <c r="I112" s="6" t="b">
        <v>0</v>
      </c>
      <c r="J112" s="6" t="b">
        <v>1</v>
      </c>
      <c r="K112" s="6" t="b">
        <v>1</v>
      </c>
      <c r="L112" s="6" t="b">
        <v>1</v>
      </c>
      <c r="M112" s="6" t="b">
        <v>1</v>
      </c>
      <c r="N112" s="6" t="b">
        <v>1</v>
      </c>
      <c r="O112" s="6" t="b">
        <v>1</v>
      </c>
      <c r="P112" s="6" t="b">
        <v>1</v>
      </c>
      <c r="Q112" s="6" t="b">
        <v>1</v>
      </c>
      <c r="R112" s="6" t="b">
        <v>1</v>
      </c>
      <c r="S112" s="6" t="b">
        <v>1</v>
      </c>
      <c r="T112" s="6" t="b">
        <v>1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1</v>
      </c>
      <c r="AJ112" s="6" t="b">
        <v>0</v>
      </c>
      <c r="AK112" s="6" t="b">
        <v>0</v>
      </c>
      <c r="AL112" s="9" t="str">
        <f t="shared" si="1"/>
        <v>14 dari 31 (45%)</v>
      </c>
    </row>
    <row r="113" ht="22.5" customHeight="1">
      <c r="A113" s="10">
        <v>112.0</v>
      </c>
      <c r="B113" s="11"/>
      <c r="C113" s="22">
        <v>28905.0</v>
      </c>
      <c r="D113" s="12" t="s">
        <v>63</v>
      </c>
      <c r="E113" s="12" t="s">
        <v>87</v>
      </c>
      <c r="F113" s="13"/>
      <c r="G113" s="6" t="b">
        <v>1</v>
      </c>
      <c r="H113" s="6" t="b">
        <v>1</v>
      </c>
      <c r="I113" s="6" t="b">
        <v>0</v>
      </c>
      <c r="J113" s="6" t="b">
        <v>1</v>
      </c>
      <c r="K113" s="6" t="b">
        <v>1</v>
      </c>
      <c r="L113" s="6" t="b">
        <v>1</v>
      </c>
      <c r="M113" s="6" t="b">
        <v>1</v>
      </c>
      <c r="N113" s="6" t="b">
        <v>1</v>
      </c>
      <c r="O113" s="6" t="b">
        <v>1</v>
      </c>
      <c r="P113" s="6" t="b">
        <v>1</v>
      </c>
      <c r="Q113" s="6" t="b">
        <v>1</v>
      </c>
      <c r="R113" s="6" t="b">
        <v>1</v>
      </c>
      <c r="S113" s="6" t="b">
        <v>1</v>
      </c>
      <c r="T113" s="6" t="b">
        <v>1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0</v>
      </c>
      <c r="AJ113" s="6" t="b">
        <v>0</v>
      </c>
      <c r="AK113" s="6" t="b">
        <v>0</v>
      </c>
      <c r="AL113" s="9" t="str">
        <f t="shared" si="1"/>
        <v>13 dari 31 (42%)</v>
      </c>
    </row>
    <row r="114" ht="22.5" customHeight="1">
      <c r="A114" s="10">
        <v>113.0</v>
      </c>
      <c r="B114" s="11"/>
      <c r="C114" s="22">
        <v>58733.0</v>
      </c>
      <c r="D114" s="12" t="s">
        <v>63</v>
      </c>
      <c r="E114" s="12" t="s">
        <v>87</v>
      </c>
      <c r="F114" s="13"/>
      <c r="G114" s="6" t="b">
        <v>1</v>
      </c>
      <c r="H114" s="6" t="b">
        <v>1</v>
      </c>
      <c r="I114" s="6" t="b">
        <v>0</v>
      </c>
      <c r="J114" s="6" t="b">
        <v>1</v>
      </c>
      <c r="K114" s="6" t="b">
        <v>1</v>
      </c>
      <c r="L114" s="6" t="b">
        <v>1</v>
      </c>
      <c r="M114" s="6" t="b">
        <v>1</v>
      </c>
      <c r="N114" s="6" t="b">
        <v>1</v>
      </c>
      <c r="O114" s="6" t="b">
        <v>1</v>
      </c>
      <c r="P114" s="6" t="b">
        <v>1</v>
      </c>
      <c r="Q114" s="6" t="b">
        <v>1</v>
      </c>
      <c r="R114" s="6" t="b">
        <v>1</v>
      </c>
      <c r="S114" s="6" t="b">
        <v>1</v>
      </c>
      <c r="T114" s="6" t="b">
        <v>1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1</v>
      </c>
      <c r="AJ114" s="6" t="b">
        <v>0</v>
      </c>
      <c r="AK114" s="6" t="b">
        <v>0</v>
      </c>
      <c r="AL114" s="17" t="str">
        <f t="shared" si="1"/>
        <v>14 dari 31 (45%)</v>
      </c>
    </row>
    <row r="115" ht="22.5" customHeight="1">
      <c r="A115" s="2">
        <v>114.0</v>
      </c>
      <c r="B115" s="11"/>
      <c r="C115" s="22">
        <v>60789.0</v>
      </c>
      <c r="D115" s="12" t="s">
        <v>63</v>
      </c>
      <c r="E115" s="12" t="s">
        <v>87</v>
      </c>
      <c r="F115" s="13"/>
      <c r="G115" s="6" t="b">
        <v>1</v>
      </c>
      <c r="H115" s="6" t="b">
        <v>1</v>
      </c>
      <c r="I115" s="6" t="b">
        <v>1</v>
      </c>
      <c r="J115" s="6" t="b">
        <v>1</v>
      </c>
      <c r="K115" s="6" t="b">
        <v>1</v>
      </c>
      <c r="L115" s="6" t="b">
        <v>1</v>
      </c>
      <c r="M115" s="6" t="b">
        <v>1</v>
      </c>
      <c r="N115" s="6" t="b">
        <v>1</v>
      </c>
      <c r="O115" s="6" t="b">
        <v>1</v>
      </c>
      <c r="P115" s="6" t="b">
        <v>1</v>
      </c>
      <c r="Q115" s="6" t="b">
        <v>1</v>
      </c>
      <c r="R115" s="6" t="b">
        <v>0</v>
      </c>
      <c r="S115" s="6" t="b">
        <v>1</v>
      </c>
      <c r="T115" s="6" t="b">
        <v>1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1</v>
      </c>
      <c r="AJ115" s="6" t="b">
        <v>0</v>
      </c>
      <c r="AK115" s="6" t="b">
        <v>0</v>
      </c>
      <c r="AL115" s="9" t="str">
        <f t="shared" si="1"/>
        <v>14 dari 31 (45%)</v>
      </c>
    </row>
    <row r="116" ht="22.5" customHeight="1">
      <c r="A116" s="10">
        <v>115.0</v>
      </c>
      <c r="B116" s="11"/>
      <c r="C116" s="22">
        <v>60881.0</v>
      </c>
      <c r="D116" s="12" t="s">
        <v>101</v>
      </c>
      <c r="E116" s="12" t="s">
        <v>122</v>
      </c>
      <c r="F116" s="15" t="s">
        <v>50</v>
      </c>
      <c r="G116" s="6" t="b">
        <v>1</v>
      </c>
      <c r="H116" s="6" t="b">
        <v>0</v>
      </c>
      <c r="I116" s="6" t="b">
        <v>0</v>
      </c>
      <c r="J116" s="6" t="b">
        <v>1</v>
      </c>
      <c r="K116" s="6" t="b">
        <v>1</v>
      </c>
      <c r="L116" s="6" t="b">
        <v>1</v>
      </c>
      <c r="M116" s="6" t="b">
        <v>1</v>
      </c>
      <c r="N116" s="6" t="b">
        <v>1</v>
      </c>
      <c r="O116" s="6" t="b">
        <v>1</v>
      </c>
      <c r="P116" s="6" t="b">
        <v>1</v>
      </c>
      <c r="Q116" s="6" t="b">
        <v>1</v>
      </c>
      <c r="R116" s="6" t="b">
        <v>1</v>
      </c>
      <c r="S116" s="6" t="b">
        <v>1</v>
      </c>
      <c r="T116" s="6" t="b">
        <v>0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1</v>
      </c>
      <c r="AJ116" s="6" t="b">
        <v>0</v>
      </c>
      <c r="AK116" s="6" t="b">
        <v>0</v>
      </c>
      <c r="AL116" s="9" t="str">
        <f t="shared" si="1"/>
        <v>12 dari 31 (39%)</v>
      </c>
    </row>
    <row r="117" ht="22.5" customHeight="1">
      <c r="A117" s="10">
        <v>116.0</v>
      </c>
      <c r="B117" s="11"/>
      <c r="C117" s="22">
        <v>57898.0</v>
      </c>
      <c r="D117" s="12" t="s">
        <v>80</v>
      </c>
      <c r="E117" s="12" t="s">
        <v>116</v>
      </c>
      <c r="F117" s="13"/>
      <c r="G117" s="6" t="b">
        <v>1</v>
      </c>
      <c r="H117" s="6" t="b">
        <v>1</v>
      </c>
      <c r="I117" s="6" t="b">
        <v>0</v>
      </c>
      <c r="J117" s="6" t="b">
        <v>1</v>
      </c>
      <c r="K117" s="6" t="b">
        <v>1</v>
      </c>
      <c r="L117" s="6" t="b">
        <v>1</v>
      </c>
      <c r="M117" s="6" t="b">
        <v>1</v>
      </c>
      <c r="N117" s="6" t="b">
        <v>1</v>
      </c>
      <c r="O117" s="6" t="b">
        <v>1</v>
      </c>
      <c r="P117" s="6" t="b">
        <v>1</v>
      </c>
      <c r="Q117" s="6" t="b">
        <v>1</v>
      </c>
      <c r="R117" s="6" t="b">
        <v>1</v>
      </c>
      <c r="S117" s="6" t="b">
        <v>1</v>
      </c>
      <c r="T117" s="6" t="b">
        <v>1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1</v>
      </c>
      <c r="AJ117" s="6" t="b">
        <v>0</v>
      </c>
      <c r="AK117" s="6" t="b">
        <v>0</v>
      </c>
      <c r="AL117" s="17" t="str">
        <f t="shared" si="1"/>
        <v>14 dari 31 (45%)</v>
      </c>
    </row>
    <row r="118" ht="22.5" customHeight="1">
      <c r="A118" s="30">
        <v>117.0</v>
      </c>
      <c r="B118" s="62"/>
      <c r="C118" s="32">
        <v>59397.0</v>
      </c>
      <c r="D118" s="51" t="s">
        <v>68</v>
      </c>
      <c r="E118" s="51" t="s">
        <v>109</v>
      </c>
      <c r="F118" s="53"/>
      <c r="G118" s="35" t="b">
        <v>0</v>
      </c>
      <c r="H118" s="35" t="b">
        <v>0</v>
      </c>
      <c r="I118" s="35" t="b">
        <v>0</v>
      </c>
      <c r="J118" s="35" t="b">
        <v>0</v>
      </c>
      <c r="K118" s="35" t="b">
        <v>0</v>
      </c>
      <c r="L118" s="35" t="b">
        <v>0</v>
      </c>
      <c r="M118" s="35" t="b">
        <v>0</v>
      </c>
      <c r="N118" s="35" t="b">
        <v>0</v>
      </c>
      <c r="O118" s="35" t="b">
        <v>0</v>
      </c>
      <c r="P118" s="35" t="b">
        <v>0</v>
      </c>
      <c r="Q118" s="35" t="b">
        <v>0</v>
      </c>
      <c r="R118" s="35" t="b">
        <v>0</v>
      </c>
      <c r="S118" s="35" t="b">
        <v>0</v>
      </c>
      <c r="T118" s="35" t="b">
        <v>0</v>
      </c>
      <c r="U118" s="35" t="b">
        <v>0</v>
      </c>
      <c r="V118" s="35" t="b">
        <v>0</v>
      </c>
      <c r="W118" s="35" t="b">
        <v>1</v>
      </c>
      <c r="X118" s="35" t="b">
        <v>1</v>
      </c>
      <c r="Y118" s="35" t="b">
        <v>0</v>
      </c>
      <c r="Z118" s="35" t="b">
        <v>0</v>
      </c>
      <c r="AA118" s="35" t="b">
        <v>0</v>
      </c>
      <c r="AB118" s="35" t="b">
        <v>0</v>
      </c>
      <c r="AC118" s="35" t="b">
        <v>0</v>
      </c>
      <c r="AD118" s="35" t="b">
        <v>0</v>
      </c>
      <c r="AE118" s="35" t="b">
        <v>0</v>
      </c>
      <c r="AF118" s="35" t="b">
        <v>0</v>
      </c>
      <c r="AG118" s="35" t="b">
        <v>0</v>
      </c>
      <c r="AH118" s="35" t="b">
        <v>0</v>
      </c>
      <c r="AI118" s="35" t="b">
        <v>0</v>
      </c>
      <c r="AJ118" s="35" t="b">
        <v>0</v>
      </c>
      <c r="AK118" s="35" t="b">
        <v>0</v>
      </c>
      <c r="AL118" s="38" t="str">
        <f t="shared" si="1"/>
        <v>2 dari 31 (6%)</v>
      </c>
    </row>
    <row r="119" ht="22.5" customHeight="1">
      <c r="A119" s="10">
        <v>118.0</v>
      </c>
      <c r="B119" s="11"/>
      <c r="C119" s="22">
        <v>52505.0</v>
      </c>
      <c r="D119" s="12" t="s">
        <v>68</v>
      </c>
      <c r="E119" s="12" t="s">
        <v>109</v>
      </c>
      <c r="F119" s="13"/>
      <c r="G119" s="6" t="b">
        <v>1</v>
      </c>
      <c r="H119" s="6" t="b">
        <v>1</v>
      </c>
      <c r="I119" s="6" t="b">
        <v>0</v>
      </c>
      <c r="J119" s="6" t="b">
        <v>1</v>
      </c>
      <c r="K119" s="6" t="b">
        <v>1</v>
      </c>
      <c r="L119" s="6" t="b">
        <v>1</v>
      </c>
      <c r="M119" s="6" t="b">
        <v>1</v>
      </c>
      <c r="N119" s="6" t="b">
        <v>1</v>
      </c>
      <c r="O119" s="6" t="b">
        <v>1</v>
      </c>
      <c r="P119" s="6" t="b">
        <v>1</v>
      </c>
      <c r="Q119" s="6" t="b">
        <v>1</v>
      </c>
      <c r="R119" s="6" t="b">
        <v>1</v>
      </c>
      <c r="S119" s="6" t="b">
        <v>1</v>
      </c>
      <c r="T119" s="6" t="b">
        <v>1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0</v>
      </c>
      <c r="AA119" s="6" t="b">
        <v>0</v>
      </c>
      <c r="AB119" s="6" t="b">
        <v>0</v>
      </c>
      <c r="AC119" s="6" t="b">
        <v>0</v>
      </c>
      <c r="AD119" s="6" t="b">
        <v>0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1</v>
      </c>
      <c r="AJ119" s="6" t="b">
        <v>0</v>
      </c>
      <c r="AK119" s="6" t="b">
        <v>0</v>
      </c>
      <c r="AL119" s="9" t="str">
        <f t="shared" si="1"/>
        <v>14 dari 31 (45%)</v>
      </c>
    </row>
    <row r="120" ht="22.5" customHeight="1">
      <c r="A120" s="10">
        <v>119.0</v>
      </c>
      <c r="B120" s="11"/>
      <c r="C120" s="65">
        <v>60539.0</v>
      </c>
      <c r="D120" s="12" t="s">
        <v>68</v>
      </c>
      <c r="E120" s="12" t="s">
        <v>109</v>
      </c>
      <c r="F120" s="13"/>
      <c r="G120" s="6" t="b">
        <v>1</v>
      </c>
      <c r="H120" s="6" t="b">
        <v>1</v>
      </c>
      <c r="I120" s="6" t="b">
        <v>1</v>
      </c>
      <c r="J120" s="6" t="b">
        <v>1</v>
      </c>
      <c r="K120" s="6" t="b">
        <v>1</v>
      </c>
      <c r="L120" s="6" t="b">
        <v>1</v>
      </c>
      <c r="M120" s="6" t="b">
        <v>1</v>
      </c>
      <c r="N120" s="6" t="b">
        <v>1</v>
      </c>
      <c r="O120" s="6" t="b">
        <v>1</v>
      </c>
      <c r="P120" s="6" t="b">
        <v>1</v>
      </c>
      <c r="Q120" s="6" t="b">
        <v>1</v>
      </c>
      <c r="R120" s="6" t="b">
        <v>1</v>
      </c>
      <c r="S120" s="6" t="b">
        <v>1</v>
      </c>
      <c r="T120" s="6" t="b">
        <v>1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1</v>
      </c>
      <c r="AJ120" s="6" t="b">
        <v>0</v>
      </c>
      <c r="AK120" s="6" t="b">
        <v>0</v>
      </c>
      <c r="AL120" s="17" t="str">
        <f t="shared" si="1"/>
        <v>15 dari 31 (48%)</v>
      </c>
    </row>
    <row r="121" ht="22.5" customHeight="1">
      <c r="A121" s="2">
        <v>120.0</v>
      </c>
      <c r="B121" s="11"/>
      <c r="C121" s="22">
        <v>61028.0</v>
      </c>
      <c r="D121" s="12" t="s">
        <v>63</v>
      </c>
      <c r="E121" s="12" t="s">
        <v>72</v>
      </c>
      <c r="F121" s="13"/>
      <c r="G121" s="6" t="b">
        <v>1</v>
      </c>
      <c r="H121" s="6" t="b">
        <v>1</v>
      </c>
      <c r="I121" s="6" t="b">
        <v>1</v>
      </c>
      <c r="J121" s="6" t="b">
        <v>1</v>
      </c>
      <c r="K121" s="6" t="b">
        <v>1</v>
      </c>
      <c r="L121" s="6" t="b">
        <v>1</v>
      </c>
      <c r="M121" s="6" t="b">
        <v>1</v>
      </c>
      <c r="N121" s="6" t="b">
        <v>1</v>
      </c>
      <c r="O121" s="6" t="b">
        <v>1</v>
      </c>
      <c r="P121" s="6" t="b">
        <v>1</v>
      </c>
      <c r="Q121" s="6" t="b">
        <v>1</v>
      </c>
      <c r="R121" s="6" t="b">
        <v>1</v>
      </c>
      <c r="S121" s="6" t="b">
        <v>1</v>
      </c>
      <c r="T121" s="6" t="b">
        <v>1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1</v>
      </c>
      <c r="AJ121" s="6" t="b">
        <v>0</v>
      </c>
      <c r="AK121" s="6" t="b">
        <v>0</v>
      </c>
      <c r="AL121" s="9" t="str">
        <f t="shared" si="1"/>
        <v>15 dari 31 (48%)</v>
      </c>
    </row>
    <row r="122" ht="22.5" customHeight="1">
      <c r="A122" s="10">
        <v>121.0</v>
      </c>
      <c r="B122" s="11"/>
      <c r="C122" s="20">
        <v>59531.0</v>
      </c>
      <c r="D122" s="12" t="s">
        <v>56</v>
      </c>
      <c r="E122" s="12" t="s">
        <v>124</v>
      </c>
      <c r="F122" s="13"/>
      <c r="G122" s="6" t="b">
        <v>1</v>
      </c>
      <c r="H122" s="6" t="b">
        <v>1</v>
      </c>
      <c r="I122" s="6" t="b">
        <v>1</v>
      </c>
      <c r="J122" s="6" t="b">
        <v>1</v>
      </c>
      <c r="K122" s="6" t="b">
        <v>1</v>
      </c>
      <c r="L122" s="6" t="b">
        <v>1</v>
      </c>
      <c r="M122" s="6" t="b">
        <v>1</v>
      </c>
      <c r="N122" s="6" t="b">
        <v>1</v>
      </c>
      <c r="O122" s="6" t="b">
        <v>1</v>
      </c>
      <c r="P122" s="6" t="b">
        <v>1</v>
      </c>
      <c r="Q122" s="6" t="b">
        <v>1</v>
      </c>
      <c r="R122" s="6" t="b">
        <v>1</v>
      </c>
      <c r="S122" s="6" t="b">
        <v>1</v>
      </c>
      <c r="T122" s="6" t="b">
        <v>1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1</v>
      </c>
      <c r="AJ122" s="6" t="b">
        <v>0</v>
      </c>
      <c r="AK122" s="6" t="b">
        <v>0</v>
      </c>
      <c r="AL122" s="9" t="str">
        <f t="shared" si="1"/>
        <v>15 dari 31 (48%)</v>
      </c>
    </row>
    <row r="123" ht="22.5" customHeight="1">
      <c r="A123" s="10">
        <v>122.0</v>
      </c>
      <c r="B123" s="11"/>
      <c r="C123" s="20">
        <v>36232.0</v>
      </c>
      <c r="D123" s="12" t="s">
        <v>63</v>
      </c>
      <c r="E123" s="12" t="s">
        <v>72</v>
      </c>
      <c r="F123" s="15" t="s">
        <v>50</v>
      </c>
      <c r="G123" s="6" t="b">
        <v>1</v>
      </c>
      <c r="H123" s="6" t="b">
        <v>0</v>
      </c>
      <c r="I123" s="6" t="b">
        <v>0</v>
      </c>
      <c r="J123" s="6" t="b">
        <v>1</v>
      </c>
      <c r="K123" s="6" t="b">
        <v>1</v>
      </c>
      <c r="L123" s="6" t="b">
        <v>1</v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1</v>
      </c>
      <c r="S123" s="6" t="b">
        <v>1</v>
      </c>
      <c r="T123" s="6" t="b">
        <v>0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1</v>
      </c>
      <c r="AJ123" s="6" t="b">
        <v>0</v>
      </c>
      <c r="AK123" s="6" t="b">
        <v>0</v>
      </c>
      <c r="AL123" s="17" t="str">
        <f t="shared" si="1"/>
        <v>12 dari 31 (39%)</v>
      </c>
    </row>
    <row r="124" ht="22.5" customHeight="1">
      <c r="A124" s="2">
        <v>123.0</v>
      </c>
      <c r="B124" s="11"/>
      <c r="C124" s="20">
        <v>58592.0</v>
      </c>
      <c r="D124" s="12" t="s">
        <v>56</v>
      </c>
      <c r="E124" s="12" t="s">
        <v>88</v>
      </c>
      <c r="F124" s="13"/>
      <c r="G124" s="6" t="b">
        <v>1</v>
      </c>
      <c r="H124" s="6" t="b">
        <v>1</v>
      </c>
      <c r="I124" s="6" t="b">
        <v>1</v>
      </c>
      <c r="J124" s="6" t="b">
        <v>1</v>
      </c>
      <c r="K124" s="6" t="b">
        <v>1</v>
      </c>
      <c r="L124" s="6" t="b">
        <v>1</v>
      </c>
      <c r="M124" s="6" t="b">
        <v>1</v>
      </c>
      <c r="N124" s="6" t="b">
        <v>1</v>
      </c>
      <c r="O124" s="6" t="b">
        <v>1</v>
      </c>
      <c r="P124" s="6" t="b">
        <v>1</v>
      </c>
      <c r="Q124" s="6" t="b">
        <v>1</v>
      </c>
      <c r="R124" s="6" t="b">
        <v>1</v>
      </c>
      <c r="S124" s="6" t="b">
        <v>1</v>
      </c>
      <c r="T124" s="6" t="b">
        <v>1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1</v>
      </c>
      <c r="AJ124" s="6" t="b">
        <v>0</v>
      </c>
      <c r="AK124" s="6" t="b">
        <v>0</v>
      </c>
      <c r="AL124" s="9" t="str">
        <f t="shared" si="1"/>
        <v>15 dari 31 (48%)</v>
      </c>
    </row>
    <row r="125" ht="22.5" customHeight="1">
      <c r="A125" s="10">
        <v>124.0</v>
      </c>
      <c r="B125" s="11"/>
      <c r="C125" s="20">
        <v>41946.0</v>
      </c>
      <c r="D125" s="12" t="s">
        <v>56</v>
      </c>
      <c r="E125" s="12" t="s">
        <v>124</v>
      </c>
      <c r="F125" s="13"/>
      <c r="G125" s="6" t="b">
        <v>1</v>
      </c>
      <c r="H125" s="6" t="b">
        <v>1</v>
      </c>
      <c r="I125" s="6" t="b">
        <v>1</v>
      </c>
      <c r="J125" s="6" t="b">
        <v>1</v>
      </c>
      <c r="K125" s="6" t="b">
        <v>1</v>
      </c>
      <c r="L125" s="6" t="b">
        <v>1</v>
      </c>
      <c r="M125" s="6" t="b">
        <v>1</v>
      </c>
      <c r="N125" s="6" t="b">
        <v>1</v>
      </c>
      <c r="O125" s="6" t="b">
        <v>1</v>
      </c>
      <c r="P125" s="6" t="b">
        <v>1</v>
      </c>
      <c r="Q125" s="6" t="b">
        <v>1</v>
      </c>
      <c r="R125" s="6" t="b">
        <v>1</v>
      </c>
      <c r="S125" s="6" t="b">
        <v>1</v>
      </c>
      <c r="T125" s="6" t="b">
        <v>1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0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1</v>
      </c>
      <c r="AJ125" s="6" t="b">
        <v>0</v>
      </c>
      <c r="AK125" s="6" t="b">
        <v>0</v>
      </c>
      <c r="AL125" s="9" t="str">
        <f t="shared" si="1"/>
        <v>15 dari 31 (48%)</v>
      </c>
    </row>
    <row r="126" ht="22.5" customHeight="1">
      <c r="A126" s="10">
        <v>125.0</v>
      </c>
      <c r="B126" s="11"/>
      <c r="C126" s="20">
        <v>58319.0</v>
      </c>
      <c r="D126" s="12" t="s">
        <v>56</v>
      </c>
      <c r="E126" s="12" t="s">
        <v>124</v>
      </c>
      <c r="F126" s="13"/>
      <c r="G126" s="6" t="b">
        <v>1</v>
      </c>
      <c r="H126" s="6" t="b">
        <v>1</v>
      </c>
      <c r="I126" s="6" t="b">
        <v>1</v>
      </c>
      <c r="J126" s="6" t="b">
        <v>1</v>
      </c>
      <c r="K126" s="6" t="b">
        <v>1</v>
      </c>
      <c r="L126" s="6" t="b">
        <v>1</v>
      </c>
      <c r="M126" s="6" t="b">
        <v>1</v>
      </c>
      <c r="N126" s="6" t="b">
        <v>1</v>
      </c>
      <c r="O126" s="6" t="b">
        <v>1</v>
      </c>
      <c r="P126" s="6" t="b">
        <v>1</v>
      </c>
      <c r="Q126" s="6" t="b">
        <v>1</v>
      </c>
      <c r="R126" s="6" t="b">
        <v>1</v>
      </c>
      <c r="S126" s="6" t="b">
        <v>1</v>
      </c>
      <c r="T126" s="6" t="b">
        <v>1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1</v>
      </c>
      <c r="AJ126" s="6" t="b">
        <v>0</v>
      </c>
      <c r="AK126" s="6" t="b">
        <v>0</v>
      </c>
      <c r="AL126" s="17" t="str">
        <f t="shared" si="1"/>
        <v>15 dari 31 (48%)</v>
      </c>
    </row>
    <row r="127" ht="22.5" customHeight="1">
      <c r="A127" s="2">
        <v>126.0</v>
      </c>
      <c r="B127" s="11"/>
      <c r="C127" s="22">
        <v>57751.0</v>
      </c>
      <c r="D127" s="12" t="s">
        <v>80</v>
      </c>
      <c r="E127" s="12" t="s">
        <v>116</v>
      </c>
      <c r="F127" s="13"/>
      <c r="G127" s="6" t="b">
        <v>1</v>
      </c>
      <c r="H127" s="6" t="b">
        <v>1</v>
      </c>
      <c r="I127" s="6" t="b">
        <v>0</v>
      </c>
      <c r="J127" s="6" t="b">
        <v>1</v>
      </c>
      <c r="K127" s="6" t="b">
        <v>1</v>
      </c>
      <c r="L127" s="6" t="b">
        <v>1</v>
      </c>
      <c r="M127" s="6" t="b">
        <v>1</v>
      </c>
      <c r="N127" s="6" t="b">
        <v>1</v>
      </c>
      <c r="O127" s="6" t="b">
        <v>1</v>
      </c>
      <c r="P127" s="6" t="b">
        <v>1</v>
      </c>
      <c r="Q127" s="6" t="b">
        <v>1</v>
      </c>
      <c r="R127" s="6" t="b">
        <v>1</v>
      </c>
      <c r="S127" s="6" t="b">
        <v>1</v>
      </c>
      <c r="T127" s="6" t="b">
        <v>1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1</v>
      </c>
      <c r="AJ127" s="6" t="b">
        <v>0</v>
      </c>
      <c r="AK127" s="6" t="b">
        <v>0</v>
      </c>
      <c r="AL127" s="9" t="str">
        <f t="shared" si="1"/>
        <v>14 dari 31 (45%)</v>
      </c>
    </row>
    <row r="128" ht="22.5" customHeight="1">
      <c r="A128" s="10">
        <v>127.0</v>
      </c>
      <c r="B128" s="11"/>
      <c r="C128" s="22">
        <v>60846.0</v>
      </c>
      <c r="D128" s="56" t="s">
        <v>39</v>
      </c>
      <c r="E128" s="56" t="s">
        <v>57</v>
      </c>
      <c r="F128" s="57"/>
      <c r="G128" s="6" t="b">
        <v>1</v>
      </c>
      <c r="H128" s="6" t="b">
        <v>1</v>
      </c>
      <c r="I128" s="6" t="b">
        <v>0</v>
      </c>
      <c r="J128" s="6" t="b">
        <v>1</v>
      </c>
      <c r="K128" s="6" t="b">
        <v>1</v>
      </c>
      <c r="L128" s="6" t="b">
        <v>1</v>
      </c>
      <c r="M128" s="6" t="b">
        <v>1</v>
      </c>
      <c r="N128" s="6" t="b">
        <v>1</v>
      </c>
      <c r="O128" s="6" t="b">
        <v>1</v>
      </c>
      <c r="P128" s="6" t="b">
        <v>1</v>
      </c>
      <c r="Q128" s="6" t="b">
        <v>1</v>
      </c>
      <c r="R128" s="6" t="b">
        <v>1</v>
      </c>
      <c r="S128" s="6" t="b">
        <v>1</v>
      </c>
      <c r="T128" s="6" t="b">
        <v>1</v>
      </c>
      <c r="U128" s="6" t="b">
        <v>0</v>
      </c>
      <c r="V128" s="6" t="b">
        <v>0</v>
      </c>
      <c r="W128" s="6" t="b">
        <v>0</v>
      </c>
      <c r="X128" s="6" t="b">
        <v>0</v>
      </c>
      <c r="Y128" s="6" t="b">
        <v>0</v>
      </c>
      <c r="Z128" s="6" t="b">
        <v>1</v>
      </c>
      <c r="AA128" s="6" t="b">
        <v>1</v>
      </c>
      <c r="AB128" s="6" t="b">
        <v>1</v>
      </c>
      <c r="AC128" s="6" t="b">
        <v>1</v>
      </c>
      <c r="AD128" s="6" t="b">
        <v>1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1</v>
      </c>
      <c r="AJ128" s="6" t="b">
        <v>0</v>
      </c>
      <c r="AK128" s="6" t="b">
        <v>0</v>
      </c>
      <c r="AL128" s="9" t="str">
        <f t="shared" si="1"/>
        <v>19 dari 31 (61%)</v>
      </c>
    </row>
    <row r="129" ht="22.5" customHeight="1">
      <c r="A129" s="10">
        <v>128.0</v>
      </c>
      <c r="B129" s="11"/>
      <c r="C129" s="22">
        <v>60828.0</v>
      </c>
      <c r="D129" s="12" t="s">
        <v>54</v>
      </c>
      <c r="E129" s="12" t="s">
        <v>62</v>
      </c>
      <c r="F129" s="13"/>
      <c r="G129" s="6" t="b">
        <v>1</v>
      </c>
      <c r="H129" s="6" t="b">
        <v>1</v>
      </c>
      <c r="I129" s="6" t="b">
        <v>1</v>
      </c>
      <c r="J129" s="6" t="b">
        <v>0</v>
      </c>
      <c r="K129" s="6" t="b">
        <v>1</v>
      </c>
      <c r="L129" s="6" t="b">
        <v>1</v>
      </c>
      <c r="M129" s="6" t="b">
        <v>1</v>
      </c>
      <c r="N129" s="6" t="b">
        <v>1</v>
      </c>
      <c r="O129" s="6" t="b">
        <v>1</v>
      </c>
      <c r="P129" s="6" t="b">
        <v>1</v>
      </c>
      <c r="Q129" s="6" t="b">
        <v>1</v>
      </c>
      <c r="R129" s="6" t="b">
        <v>1</v>
      </c>
      <c r="S129" s="6" t="b">
        <v>1</v>
      </c>
      <c r="T129" s="6" t="b">
        <v>1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1</v>
      </c>
      <c r="AJ129" s="6" t="b">
        <v>0</v>
      </c>
      <c r="AK129" s="6" t="b">
        <v>0</v>
      </c>
      <c r="AL129" s="17" t="str">
        <f t="shared" si="1"/>
        <v>14 dari 31 (45%)</v>
      </c>
    </row>
    <row r="130" ht="22.5" customHeight="1">
      <c r="A130" s="2">
        <v>129.0</v>
      </c>
      <c r="B130" s="11"/>
      <c r="C130" s="22">
        <v>61027.0</v>
      </c>
      <c r="D130" s="12" t="s">
        <v>51</v>
      </c>
      <c r="E130" s="12" t="s">
        <v>65</v>
      </c>
      <c r="F130" s="13"/>
      <c r="G130" s="6" t="b">
        <v>1</v>
      </c>
      <c r="H130" s="6" t="b">
        <v>1</v>
      </c>
      <c r="I130" s="6" t="b">
        <v>1</v>
      </c>
      <c r="J130" s="6" t="b">
        <v>1</v>
      </c>
      <c r="K130" s="6" t="b">
        <v>1</v>
      </c>
      <c r="L130" s="6" t="b">
        <v>1</v>
      </c>
      <c r="M130" s="6" t="b">
        <v>1</v>
      </c>
      <c r="N130" s="6" t="b">
        <v>1</v>
      </c>
      <c r="O130" s="6" t="b">
        <v>1</v>
      </c>
      <c r="P130" s="6" t="b">
        <v>1</v>
      </c>
      <c r="Q130" s="6" t="b">
        <v>1</v>
      </c>
      <c r="R130" s="6" t="b">
        <v>1</v>
      </c>
      <c r="S130" s="6" t="b">
        <v>1</v>
      </c>
      <c r="T130" s="6" t="b">
        <v>0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1</v>
      </c>
      <c r="AJ130" s="6" t="b">
        <v>0</v>
      </c>
      <c r="AK130" s="6" t="b">
        <v>0</v>
      </c>
      <c r="AL130" s="9" t="str">
        <f t="shared" si="1"/>
        <v>14 dari 31 (45%)</v>
      </c>
    </row>
    <row r="131" ht="22.5" customHeight="1">
      <c r="A131" s="10">
        <v>130.0</v>
      </c>
      <c r="B131" s="11"/>
      <c r="C131" s="22">
        <v>60436.0</v>
      </c>
      <c r="D131" s="12" t="s">
        <v>63</v>
      </c>
      <c r="E131" s="12" t="s">
        <v>72</v>
      </c>
      <c r="F131" s="13"/>
      <c r="G131" s="6" t="b">
        <v>1</v>
      </c>
      <c r="H131" s="6" t="b">
        <v>1</v>
      </c>
      <c r="I131" s="6" t="b">
        <v>1</v>
      </c>
      <c r="J131" s="6" t="b">
        <v>1</v>
      </c>
      <c r="K131" s="6" t="b">
        <v>1</v>
      </c>
      <c r="L131" s="6" t="b">
        <v>1</v>
      </c>
      <c r="M131" s="6" t="b">
        <v>1</v>
      </c>
      <c r="N131" s="6" t="b">
        <v>1</v>
      </c>
      <c r="O131" s="6" t="b">
        <v>1</v>
      </c>
      <c r="P131" s="6" t="b">
        <v>1</v>
      </c>
      <c r="Q131" s="6" t="b">
        <v>1</v>
      </c>
      <c r="R131" s="6" t="b">
        <v>1</v>
      </c>
      <c r="S131" s="6" t="b">
        <v>1</v>
      </c>
      <c r="T131" s="6" t="b">
        <v>1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1</v>
      </c>
      <c r="AJ131" s="6" t="b">
        <v>0</v>
      </c>
      <c r="AK131" s="6" t="b">
        <v>0</v>
      </c>
      <c r="AL131" s="9" t="str">
        <f t="shared" si="1"/>
        <v>15 dari 31 (48%)</v>
      </c>
    </row>
    <row r="132" ht="22.5" customHeight="1">
      <c r="A132" s="10">
        <v>131.0</v>
      </c>
      <c r="B132" s="11"/>
      <c r="C132" s="20">
        <v>61029.0</v>
      </c>
      <c r="D132" s="12" t="s">
        <v>54</v>
      </c>
      <c r="E132" s="12" t="s">
        <v>70</v>
      </c>
      <c r="F132" s="13"/>
      <c r="G132" s="6" t="b">
        <v>1</v>
      </c>
      <c r="H132" s="6" t="b">
        <v>1</v>
      </c>
      <c r="I132" s="6" t="b">
        <v>1</v>
      </c>
      <c r="J132" s="6" t="b">
        <v>1</v>
      </c>
      <c r="K132" s="6" t="b">
        <v>1</v>
      </c>
      <c r="L132" s="6" t="b">
        <v>1</v>
      </c>
      <c r="M132" s="6" t="b">
        <v>1</v>
      </c>
      <c r="N132" s="6" t="b">
        <v>1</v>
      </c>
      <c r="O132" s="6" t="b">
        <v>1</v>
      </c>
      <c r="P132" s="6" t="b">
        <v>1</v>
      </c>
      <c r="Q132" s="6" t="b">
        <v>1</v>
      </c>
      <c r="R132" s="6" t="b">
        <v>1</v>
      </c>
      <c r="S132" s="6" t="b">
        <v>1</v>
      </c>
      <c r="T132" s="6" t="b">
        <v>1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1</v>
      </c>
      <c r="AA132" s="6" t="b">
        <v>1</v>
      </c>
      <c r="AB132" s="6" t="b">
        <v>1</v>
      </c>
      <c r="AC132" s="6" t="b">
        <v>1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1</v>
      </c>
      <c r="AJ132" s="6" t="b">
        <v>0</v>
      </c>
      <c r="AK132" s="6" t="b">
        <v>0</v>
      </c>
      <c r="AL132" s="17" t="str">
        <f t="shared" si="1"/>
        <v>19 dari 31 (61%)</v>
      </c>
    </row>
    <row r="133" ht="22.5" customHeight="1">
      <c r="A133" s="2">
        <v>132.0</v>
      </c>
      <c r="B133" s="11"/>
      <c r="C133" s="20">
        <v>60736.0</v>
      </c>
      <c r="D133" s="12" t="s">
        <v>51</v>
      </c>
      <c r="E133" s="12" t="s">
        <v>65</v>
      </c>
      <c r="F133" s="13"/>
      <c r="G133" s="6" t="b">
        <v>1</v>
      </c>
      <c r="H133" s="6" t="b">
        <v>1</v>
      </c>
      <c r="I133" s="6" t="b">
        <v>0</v>
      </c>
      <c r="J133" s="6" t="b">
        <v>1</v>
      </c>
      <c r="K133" s="6" t="b">
        <v>1</v>
      </c>
      <c r="L133" s="6" t="b">
        <v>1</v>
      </c>
      <c r="M133" s="6" t="b">
        <v>1</v>
      </c>
      <c r="N133" s="6" t="b">
        <v>1</v>
      </c>
      <c r="O133" s="6" t="b">
        <v>1</v>
      </c>
      <c r="P133" s="6" t="b">
        <v>1</v>
      </c>
      <c r="Q133" s="6" t="b">
        <v>1</v>
      </c>
      <c r="R133" s="6" t="b">
        <v>1</v>
      </c>
      <c r="S133" s="6" t="b">
        <v>1</v>
      </c>
      <c r="T133" s="6" t="b">
        <v>0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0</v>
      </c>
      <c r="AJ133" s="6" t="b">
        <v>0</v>
      </c>
      <c r="AK133" s="6" t="b">
        <v>0</v>
      </c>
      <c r="AL133" s="9" t="str">
        <f t="shared" si="1"/>
        <v>12 dari 31 (39%)</v>
      </c>
    </row>
    <row r="134" ht="22.5" customHeight="1">
      <c r="A134" s="10">
        <v>133.0</v>
      </c>
      <c r="B134" s="11"/>
      <c r="C134" s="20">
        <v>61031.0</v>
      </c>
      <c r="D134" s="12" t="s">
        <v>63</v>
      </c>
      <c r="E134" s="12" t="s">
        <v>64</v>
      </c>
      <c r="F134" s="13"/>
      <c r="G134" s="6" t="b">
        <v>1</v>
      </c>
      <c r="H134" s="6" t="b">
        <v>1</v>
      </c>
      <c r="I134" s="6" t="b">
        <v>1</v>
      </c>
      <c r="J134" s="6" t="b">
        <v>1</v>
      </c>
      <c r="K134" s="6" t="b">
        <v>1</v>
      </c>
      <c r="L134" s="6" t="b">
        <v>1</v>
      </c>
      <c r="M134" s="6" t="b">
        <v>1</v>
      </c>
      <c r="N134" s="6" t="b">
        <v>1</v>
      </c>
      <c r="O134" s="6" t="b">
        <v>1</v>
      </c>
      <c r="P134" s="6" t="b">
        <v>1</v>
      </c>
      <c r="Q134" s="6" t="b">
        <v>1</v>
      </c>
      <c r="R134" s="6" t="b">
        <v>1</v>
      </c>
      <c r="S134" s="6" t="b">
        <v>1</v>
      </c>
      <c r="T134" s="6" t="b">
        <v>1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1</v>
      </c>
      <c r="AJ134" s="6" t="b">
        <v>0</v>
      </c>
      <c r="AK134" s="6" t="b">
        <v>0</v>
      </c>
      <c r="AL134" s="9" t="str">
        <f t="shared" si="1"/>
        <v>15 dari 31 (48%)</v>
      </c>
    </row>
    <row r="135" ht="22.5" customHeight="1">
      <c r="A135" s="10">
        <v>134.0</v>
      </c>
      <c r="B135" s="11"/>
      <c r="C135" s="20">
        <v>59573.0</v>
      </c>
      <c r="D135" s="12" t="s">
        <v>80</v>
      </c>
      <c r="E135" s="12" t="s">
        <v>100</v>
      </c>
      <c r="F135" s="13"/>
      <c r="G135" s="6" t="b">
        <v>1</v>
      </c>
      <c r="H135" s="6" t="b">
        <v>1</v>
      </c>
      <c r="I135" s="6" t="b">
        <v>0</v>
      </c>
      <c r="J135" s="6" t="b">
        <v>1</v>
      </c>
      <c r="K135" s="6" t="b">
        <v>1</v>
      </c>
      <c r="L135" s="6" t="b">
        <v>1</v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1</v>
      </c>
      <c r="S135" s="6" t="b">
        <v>1</v>
      </c>
      <c r="T135" s="6" t="b">
        <v>1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1</v>
      </c>
      <c r="AJ135" s="6" t="b">
        <v>0</v>
      </c>
      <c r="AK135" s="6" t="b">
        <v>0</v>
      </c>
      <c r="AL135" s="17" t="str">
        <f t="shared" si="1"/>
        <v>14 dari 31 (45%)</v>
      </c>
    </row>
    <row r="136" ht="22.5" customHeight="1">
      <c r="A136" s="2">
        <v>135.0</v>
      </c>
      <c r="B136" s="11"/>
      <c r="C136" s="20">
        <v>49053.0</v>
      </c>
      <c r="D136" s="12" t="s">
        <v>68</v>
      </c>
      <c r="E136" s="12" t="s">
        <v>109</v>
      </c>
      <c r="F136" s="13"/>
      <c r="G136" s="6" t="b">
        <v>1</v>
      </c>
      <c r="H136" s="6" t="b">
        <v>1</v>
      </c>
      <c r="I136" s="6" t="b">
        <v>1</v>
      </c>
      <c r="J136" s="6" t="b">
        <v>1</v>
      </c>
      <c r="K136" s="6" t="b">
        <v>1</v>
      </c>
      <c r="L136" s="6" t="b">
        <v>1</v>
      </c>
      <c r="M136" s="6" t="b">
        <v>1</v>
      </c>
      <c r="N136" s="6" t="b">
        <v>1</v>
      </c>
      <c r="O136" s="6" t="b">
        <v>1</v>
      </c>
      <c r="P136" s="6" t="b">
        <v>1</v>
      </c>
      <c r="Q136" s="6" t="b">
        <v>1</v>
      </c>
      <c r="R136" s="6" t="b">
        <v>1</v>
      </c>
      <c r="S136" s="6" t="b">
        <v>1</v>
      </c>
      <c r="T136" s="6" t="b">
        <v>1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1</v>
      </c>
      <c r="AJ136" s="6" t="b">
        <v>0</v>
      </c>
      <c r="AK136" s="6" t="b">
        <v>0</v>
      </c>
      <c r="AL136" s="9" t="str">
        <f t="shared" si="1"/>
        <v>15 dari 31 (48%)</v>
      </c>
    </row>
    <row r="137" ht="22.5" customHeight="1">
      <c r="A137" s="10">
        <v>136.0</v>
      </c>
      <c r="B137" s="11"/>
      <c r="C137" s="22">
        <v>51963.0</v>
      </c>
      <c r="D137" s="12" t="s">
        <v>68</v>
      </c>
      <c r="E137" s="12" t="s">
        <v>109</v>
      </c>
      <c r="F137" s="13"/>
      <c r="G137" s="6" t="b">
        <v>1</v>
      </c>
      <c r="H137" s="6" t="b">
        <v>1</v>
      </c>
      <c r="I137" s="6" t="b">
        <v>0</v>
      </c>
      <c r="J137" s="6" t="b">
        <v>1</v>
      </c>
      <c r="K137" s="6" t="b">
        <v>1</v>
      </c>
      <c r="L137" s="6" t="b">
        <v>1</v>
      </c>
      <c r="M137" s="6" t="b">
        <v>1</v>
      </c>
      <c r="N137" s="6" t="b">
        <v>1</v>
      </c>
      <c r="O137" s="6" t="b">
        <v>1</v>
      </c>
      <c r="P137" s="6" t="b">
        <v>1</v>
      </c>
      <c r="Q137" s="6" t="b">
        <v>1</v>
      </c>
      <c r="R137" s="6" t="b">
        <v>1</v>
      </c>
      <c r="S137" s="6" t="b">
        <v>1</v>
      </c>
      <c r="T137" s="6" t="b">
        <v>1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1</v>
      </c>
      <c r="AJ137" s="6" t="b">
        <v>0</v>
      </c>
      <c r="AK137" s="6" t="b">
        <v>0</v>
      </c>
      <c r="AL137" s="9" t="str">
        <f t="shared" si="1"/>
        <v>14 dari 31 (45%)</v>
      </c>
    </row>
    <row r="138" ht="22.5" customHeight="1">
      <c r="A138" s="10">
        <v>137.0</v>
      </c>
      <c r="B138" s="11"/>
      <c r="C138" s="22">
        <v>41703.0</v>
      </c>
      <c r="D138" s="12" t="s">
        <v>98</v>
      </c>
      <c r="E138" s="12" t="s">
        <v>131</v>
      </c>
      <c r="F138" s="13"/>
      <c r="G138" s="6" t="b">
        <v>1</v>
      </c>
      <c r="H138" s="6" t="b">
        <v>1</v>
      </c>
      <c r="I138" s="6" t="b">
        <v>0</v>
      </c>
      <c r="J138" s="6" t="b">
        <v>1</v>
      </c>
      <c r="K138" s="6" t="b">
        <v>1</v>
      </c>
      <c r="L138" s="6" t="b">
        <v>1</v>
      </c>
      <c r="M138" s="6" t="b">
        <v>1</v>
      </c>
      <c r="N138" s="6" t="b">
        <v>1</v>
      </c>
      <c r="O138" s="6" t="b">
        <v>1</v>
      </c>
      <c r="P138" s="6" t="b">
        <v>1</v>
      </c>
      <c r="Q138" s="6" t="b">
        <v>1</v>
      </c>
      <c r="R138" s="6" t="b">
        <v>1</v>
      </c>
      <c r="S138" s="6" t="b">
        <v>1</v>
      </c>
      <c r="T138" s="6" t="b">
        <v>1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0</v>
      </c>
      <c r="AJ138" s="6" t="b">
        <v>0</v>
      </c>
      <c r="AK138" s="6" t="b">
        <v>0</v>
      </c>
      <c r="AL138" s="17" t="str">
        <f t="shared" si="1"/>
        <v>13 dari 31 (42%)</v>
      </c>
    </row>
    <row r="139" ht="22.5" customHeight="1">
      <c r="A139" s="2">
        <v>138.0</v>
      </c>
      <c r="B139" s="11"/>
      <c r="C139" s="22">
        <v>40174.0</v>
      </c>
      <c r="D139" s="12" t="s">
        <v>98</v>
      </c>
      <c r="E139" s="12" t="s">
        <v>133</v>
      </c>
      <c r="F139" s="13"/>
      <c r="G139" s="6" t="b">
        <v>1</v>
      </c>
      <c r="H139" s="6" t="b">
        <v>1</v>
      </c>
      <c r="I139" s="6" t="b">
        <v>1</v>
      </c>
      <c r="J139" s="6" t="b">
        <v>1</v>
      </c>
      <c r="K139" s="6" t="b">
        <v>1</v>
      </c>
      <c r="L139" s="6" t="b">
        <v>1</v>
      </c>
      <c r="M139" s="6" t="b">
        <v>1</v>
      </c>
      <c r="N139" s="6" t="b">
        <v>1</v>
      </c>
      <c r="O139" s="6" t="b">
        <v>1</v>
      </c>
      <c r="P139" s="6" t="b">
        <v>1</v>
      </c>
      <c r="Q139" s="6" t="b">
        <v>1</v>
      </c>
      <c r="R139" s="6" t="b">
        <v>1</v>
      </c>
      <c r="S139" s="6" t="b">
        <v>1</v>
      </c>
      <c r="T139" s="6" t="b">
        <v>1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0</v>
      </c>
      <c r="AJ139" s="6" t="b">
        <v>0</v>
      </c>
      <c r="AK139" s="6" t="b">
        <v>0</v>
      </c>
      <c r="AL139" s="9" t="str">
        <f t="shared" si="1"/>
        <v>14 dari 31 (45%)</v>
      </c>
    </row>
    <row r="140" ht="22.5" customHeight="1">
      <c r="A140" s="10">
        <v>139.0</v>
      </c>
      <c r="B140" s="11"/>
      <c r="C140" s="22">
        <v>60759.0</v>
      </c>
      <c r="D140" s="12" t="s">
        <v>68</v>
      </c>
      <c r="E140" s="12" t="s">
        <v>109</v>
      </c>
      <c r="F140" s="13"/>
      <c r="G140" s="6" t="b">
        <v>1</v>
      </c>
      <c r="H140" s="6" t="b">
        <v>1</v>
      </c>
      <c r="I140" s="6" t="b">
        <v>0</v>
      </c>
      <c r="J140" s="6" t="b">
        <v>1</v>
      </c>
      <c r="K140" s="6" t="b">
        <v>1</v>
      </c>
      <c r="L140" s="6" t="b">
        <v>1</v>
      </c>
      <c r="M140" s="6" t="b">
        <v>1</v>
      </c>
      <c r="N140" s="6" t="b">
        <v>1</v>
      </c>
      <c r="O140" s="6" t="b">
        <v>1</v>
      </c>
      <c r="P140" s="6" t="b">
        <v>1</v>
      </c>
      <c r="Q140" s="6" t="b">
        <v>1</v>
      </c>
      <c r="R140" s="6" t="b">
        <v>1</v>
      </c>
      <c r="S140" s="6" t="b">
        <v>1</v>
      </c>
      <c r="T140" s="6" t="b">
        <v>1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1</v>
      </c>
      <c r="AJ140" s="6" t="b">
        <v>0</v>
      </c>
      <c r="AK140" s="6" t="b">
        <v>0</v>
      </c>
      <c r="AL140" s="9" t="str">
        <f t="shared" si="1"/>
        <v>14 dari 31 (45%)</v>
      </c>
    </row>
    <row r="141" ht="22.5" customHeight="1">
      <c r="A141" s="10">
        <v>140.0</v>
      </c>
      <c r="B141" s="11"/>
      <c r="C141" s="22">
        <v>59970.0</v>
      </c>
      <c r="D141" s="12" t="s">
        <v>68</v>
      </c>
      <c r="E141" s="12" t="s">
        <v>109</v>
      </c>
      <c r="F141" s="13"/>
      <c r="G141" s="6" t="b">
        <v>1</v>
      </c>
      <c r="H141" s="6" t="b">
        <v>1</v>
      </c>
      <c r="I141" s="6" t="b">
        <v>1</v>
      </c>
      <c r="J141" s="6" t="b">
        <v>0</v>
      </c>
      <c r="K141" s="6" t="b">
        <v>1</v>
      </c>
      <c r="L141" s="6" t="b">
        <v>1</v>
      </c>
      <c r="M141" s="6" t="b">
        <v>1</v>
      </c>
      <c r="N141" s="6" t="b">
        <v>1</v>
      </c>
      <c r="O141" s="6" t="b">
        <v>1</v>
      </c>
      <c r="P141" s="6" t="b">
        <v>1</v>
      </c>
      <c r="Q141" s="6" t="b">
        <v>1</v>
      </c>
      <c r="R141" s="6" t="b">
        <v>1</v>
      </c>
      <c r="S141" s="6" t="b">
        <v>1</v>
      </c>
      <c r="T141" s="6" t="b">
        <v>1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1</v>
      </c>
      <c r="AJ141" s="6" t="b">
        <v>0</v>
      </c>
      <c r="AK141" s="6" t="b">
        <v>0</v>
      </c>
      <c r="AL141" s="17" t="str">
        <f t="shared" si="1"/>
        <v>14 dari 31 (45%)</v>
      </c>
    </row>
    <row r="142" ht="22.5" customHeight="1">
      <c r="A142" s="2">
        <v>141.0</v>
      </c>
      <c r="B142" s="11"/>
      <c r="C142" s="20">
        <v>60796.0</v>
      </c>
      <c r="D142" s="12" t="s">
        <v>68</v>
      </c>
      <c r="E142" s="12" t="s">
        <v>109</v>
      </c>
      <c r="F142" s="13"/>
      <c r="G142" s="6" t="b">
        <v>1</v>
      </c>
      <c r="H142" s="6" t="b">
        <v>1</v>
      </c>
      <c r="I142" s="6" t="b">
        <v>0</v>
      </c>
      <c r="J142" s="6" t="b">
        <v>1</v>
      </c>
      <c r="K142" s="6" t="b">
        <v>1</v>
      </c>
      <c r="L142" s="6" t="b">
        <v>1</v>
      </c>
      <c r="M142" s="6" t="b">
        <v>1</v>
      </c>
      <c r="N142" s="6" t="b">
        <v>1</v>
      </c>
      <c r="O142" s="6" t="b">
        <v>1</v>
      </c>
      <c r="P142" s="6" t="b">
        <v>1</v>
      </c>
      <c r="Q142" s="6" t="b">
        <v>1</v>
      </c>
      <c r="R142" s="6" t="b">
        <v>1</v>
      </c>
      <c r="S142" s="6" t="b">
        <v>1</v>
      </c>
      <c r="T142" s="6" t="b">
        <v>1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1</v>
      </c>
      <c r="AJ142" s="6" t="b">
        <v>0</v>
      </c>
      <c r="AK142" s="6" t="b">
        <v>0</v>
      </c>
      <c r="AL142" s="9" t="str">
        <f t="shared" si="1"/>
        <v>14 dari 31 (45%)</v>
      </c>
    </row>
    <row r="143" ht="22.5" customHeight="1">
      <c r="A143" s="10">
        <v>142.0</v>
      </c>
      <c r="B143" s="11"/>
      <c r="C143" s="20">
        <v>60722.0</v>
      </c>
      <c r="D143" s="12" t="s">
        <v>39</v>
      </c>
      <c r="E143" s="12" t="s">
        <v>57</v>
      </c>
      <c r="F143" s="13"/>
      <c r="G143" s="6" t="b">
        <v>1</v>
      </c>
      <c r="H143" s="6" t="b">
        <v>1</v>
      </c>
      <c r="I143" s="6" t="b">
        <v>0</v>
      </c>
      <c r="J143" s="6" t="b">
        <v>1</v>
      </c>
      <c r="K143" s="6" t="b">
        <v>1</v>
      </c>
      <c r="L143" s="6" t="b">
        <v>1</v>
      </c>
      <c r="M143" s="6" t="b">
        <v>1</v>
      </c>
      <c r="N143" s="6" t="b">
        <v>1</v>
      </c>
      <c r="O143" s="6" t="b">
        <v>1</v>
      </c>
      <c r="P143" s="6" t="b">
        <v>1</v>
      </c>
      <c r="Q143" s="6" t="b">
        <v>1</v>
      </c>
      <c r="R143" s="6" t="b">
        <v>1</v>
      </c>
      <c r="S143" s="6" t="b">
        <v>1</v>
      </c>
      <c r="T143" s="6" t="b">
        <v>1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1</v>
      </c>
      <c r="AF143" s="6" t="b">
        <v>1</v>
      </c>
      <c r="AG143" s="6" t="b">
        <v>1</v>
      </c>
      <c r="AH143" s="6" t="b">
        <v>1</v>
      </c>
      <c r="AI143" s="6" t="b">
        <v>0</v>
      </c>
      <c r="AJ143" s="6" t="b">
        <v>0</v>
      </c>
      <c r="AK143" s="6" t="b">
        <v>0</v>
      </c>
      <c r="AL143" s="9" t="str">
        <f t="shared" si="1"/>
        <v>17 dari 31 (55%)</v>
      </c>
    </row>
    <row r="144" ht="22.5" customHeight="1">
      <c r="A144" s="10">
        <v>143.0</v>
      </c>
      <c r="B144" s="11"/>
      <c r="C144" s="20">
        <v>51396.0</v>
      </c>
      <c r="D144" s="12" t="s">
        <v>68</v>
      </c>
      <c r="E144" s="12" t="s">
        <v>109</v>
      </c>
      <c r="F144" s="13"/>
      <c r="G144" s="6" t="b">
        <v>1</v>
      </c>
      <c r="H144" s="6" t="b">
        <v>1</v>
      </c>
      <c r="I144" s="6" t="b">
        <v>1</v>
      </c>
      <c r="J144" s="6" t="b">
        <v>1</v>
      </c>
      <c r="K144" s="6" t="b">
        <v>1</v>
      </c>
      <c r="L144" s="6" t="b">
        <v>1</v>
      </c>
      <c r="M144" s="6" t="b">
        <v>1</v>
      </c>
      <c r="N144" s="6" t="b">
        <v>1</v>
      </c>
      <c r="O144" s="6" t="b">
        <v>1</v>
      </c>
      <c r="P144" s="6" t="b">
        <v>1</v>
      </c>
      <c r="Q144" s="6" t="b">
        <v>1</v>
      </c>
      <c r="R144" s="6" t="b">
        <v>1</v>
      </c>
      <c r="S144" s="6" t="b">
        <v>1</v>
      </c>
      <c r="T144" s="6" t="b">
        <v>1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1</v>
      </c>
      <c r="AJ144" s="6" t="b">
        <v>0</v>
      </c>
      <c r="AK144" s="6" t="b">
        <v>0</v>
      </c>
      <c r="AL144" s="17" t="str">
        <f t="shared" si="1"/>
        <v>15 dari 31 (48%)</v>
      </c>
    </row>
    <row r="145" ht="22.5" customHeight="1">
      <c r="A145" s="2">
        <v>144.0</v>
      </c>
      <c r="B145" s="11"/>
      <c r="C145" s="20">
        <v>58747.0</v>
      </c>
      <c r="D145" s="12" t="s">
        <v>68</v>
      </c>
      <c r="E145" s="12" t="s">
        <v>109</v>
      </c>
      <c r="F145" s="13"/>
      <c r="G145" s="6" t="b">
        <v>1</v>
      </c>
      <c r="H145" s="6" t="b">
        <v>1</v>
      </c>
      <c r="I145" s="6" t="b">
        <v>1</v>
      </c>
      <c r="J145" s="6" t="b">
        <v>1</v>
      </c>
      <c r="K145" s="6" t="b">
        <v>1</v>
      </c>
      <c r="L145" s="6" t="b">
        <v>1</v>
      </c>
      <c r="M145" s="6" t="b">
        <v>1</v>
      </c>
      <c r="N145" s="6" t="b">
        <v>1</v>
      </c>
      <c r="O145" s="6" t="b">
        <v>1</v>
      </c>
      <c r="P145" s="6" t="b">
        <v>1</v>
      </c>
      <c r="Q145" s="6" t="b">
        <v>1</v>
      </c>
      <c r="R145" s="6" t="b">
        <v>1</v>
      </c>
      <c r="S145" s="6" t="b">
        <v>1</v>
      </c>
      <c r="T145" s="6" t="b">
        <v>1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1</v>
      </c>
      <c r="AJ145" s="6" t="b">
        <v>0</v>
      </c>
      <c r="AK145" s="6" t="b">
        <v>0</v>
      </c>
      <c r="AL145" s="9" t="str">
        <f t="shared" si="1"/>
        <v>15 dari 31 (48%)</v>
      </c>
    </row>
    <row r="146" ht="22.5" customHeight="1">
      <c r="A146" s="10">
        <v>145.0</v>
      </c>
      <c r="B146" s="11"/>
      <c r="C146" s="20">
        <v>58252.0</v>
      </c>
      <c r="D146" s="12" t="s">
        <v>80</v>
      </c>
      <c r="E146" s="12" t="s">
        <v>116</v>
      </c>
      <c r="F146" s="13"/>
      <c r="G146" s="6" t="b">
        <v>1</v>
      </c>
      <c r="H146" s="6" t="b">
        <v>1</v>
      </c>
      <c r="I146" s="6" t="b">
        <v>0</v>
      </c>
      <c r="J146" s="6" t="b">
        <v>1</v>
      </c>
      <c r="K146" s="6" t="b">
        <v>1</v>
      </c>
      <c r="L146" s="6" t="b">
        <v>1</v>
      </c>
      <c r="M146" s="6" t="b">
        <v>1</v>
      </c>
      <c r="N146" s="6" t="b">
        <v>1</v>
      </c>
      <c r="O146" s="6" t="b">
        <v>1</v>
      </c>
      <c r="P146" s="6" t="b">
        <v>1</v>
      </c>
      <c r="Q146" s="6" t="b">
        <v>1</v>
      </c>
      <c r="R146" s="6" t="b">
        <v>1</v>
      </c>
      <c r="S146" s="6" t="b">
        <v>1</v>
      </c>
      <c r="T146" s="6" t="b">
        <v>1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1</v>
      </c>
      <c r="AJ146" s="6" t="b">
        <v>0</v>
      </c>
      <c r="AK146" s="6" t="b">
        <v>0</v>
      </c>
      <c r="AL146" s="9" t="str">
        <f t="shared" si="1"/>
        <v>14 dari 31 (45%)</v>
      </c>
    </row>
    <row r="147" ht="22.5" customHeight="1">
      <c r="A147" s="10">
        <v>146.0</v>
      </c>
      <c r="B147" s="11"/>
      <c r="C147" s="22">
        <v>32613.0</v>
      </c>
      <c r="D147" s="12" t="s">
        <v>101</v>
      </c>
      <c r="E147" s="12" t="s">
        <v>122</v>
      </c>
      <c r="F147" s="13"/>
      <c r="G147" s="6" t="b">
        <v>1</v>
      </c>
      <c r="H147" s="6" t="b">
        <v>1</v>
      </c>
      <c r="I147" s="6" t="b">
        <v>1</v>
      </c>
      <c r="J147" s="6" t="b">
        <v>1</v>
      </c>
      <c r="K147" s="6" t="b">
        <v>1</v>
      </c>
      <c r="L147" s="6" t="b">
        <v>1</v>
      </c>
      <c r="M147" s="6" t="b">
        <v>1</v>
      </c>
      <c r="N147" s="6" t="b">
        <v>1</v>
      </c>
      <c r="O147" s="6" t="b">
        <v>0</v>
      </c>
      <c r="P147" s="6" t="b">
        <v>1</v>
      </c>
      <c r="Q147" s="6" t="b">
        <v>1</v>
      </c>
      <c r="R147" s="6" t="b">
        <v>1</v>
      </c>
      <c r="S147" s="6" t="b">
        <v>1</v>
      </c>
      <c r="T147" s="6" t="b">
        <v>1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1</v>
      </c>
      <c r="AJ147" s="6" t="b">
        <v>0</v>
      </c>
      <c r="AK147" s="6" t="b">
        <v>0</v>
      </c>
      <c r="AL147" s="17" t="str">
        <f t="shared" si="1"/>
        <v>14 dari 31 (45%)</v>
      </c>
    </row>
    <row r="148" ht="22.5" customHeight="1">
      <c r="A148" s="2">
        <v>147.0</v>
      </c>
      <c r="B148" s="11"/>
      <c r="C148" s="22">
        <v>60615.0</v>
      </c>
      <c r="D148" s="12" t="s">
        <v>101</v>
      </c>
      <c r="E148" s="12" t="s">
        <v>122</v>
      </c>
      <c r="F148" s="13"/>
      <c r="G148" s="6" t="b">
        <v>1</v>
      </c>
      <c r="H148" s="6" t="b">
        <v>1</v>
      </c>
      <c r="I148" s="6" t="b">
        <v>1</v>
      </c>
      <c r="J148" s="6" t="b">
        <v>1</v>
      </c>
      <c r="K148" s="6" t="b">
        <v>1</v>
      </c>
      <c r="L148" s="6" t="b">
        <v>1</v>
      </c>
      <c r="M148" s="6" t="b">
        <v>1</v>
      </c>
      <c r="N148" s="6" t="b">
        <v>1</v>
      </c>
      <c r="O148" s="6" t="b">
        <v>1</v>
      </c>
      <c r="P148" s="6" t="b">
        <v>1</v>
      </c>
      <c r="Q148" s="6" t="b">
        <v>1</v>
      </c>
      <c r="R148" s="6" t="b">
        <v>1</v>
      </c>
      <c r="S148" s="6" t="b">
        <v>1</v>
      </c>
      <c r="T148" s="6" t="b">
        <v>1</v>
      </c>
      <c r="U148" s="6" t="b">
        <v>0</v>
      </c>
      <c r="V148" s="6" t="b">
        <v>0</v>
      </c>
      <c r="W148" s="6" t="b">
        <v>1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0</v>
      </c>
      <c r="AJ148" s="6" t="b">
        <v>0</v>
      </c>
      <c r="AK148" s="6" t="b">
        <v>0</v>
      </c>
      <c r="AL148" s="9" t="str">
        <f t="shared" si="1"/>
        <v>15 dari 31 (48%)</v>
      </c>
    </row>
    <row r="149" ht="22.5" customHeight="1">
      <c r="A149" s="10">
        <v>148.0</v>
      </c>
      <c r="B149" s="11"/>
      <c r="C149" s="22">
        <v>59929.0</v>
      </c>
      <c r="D149" s="12" t="s">
        <v>98</v>
      </c>
      <c r="E149" s="12" t="s">
        <v>137</v>
      </c>
      <c r="F149" s="13"/>
      <c r="G149" s="6" t="b">
        <v>1</v>
      </c>
      <c r="H149" s="6" t="b">
        <v>1</v>
      </c>
      <c r="I149" s="6" t="b">
        <v>0</v>
      </c>
      <c r="J149" s="6" t="b">
        <v>1</v>
      </c>
      <c r="K149" s="6" t="b">
        <v>1</v>
      </c>
      <c r="L149" s="6" t="b">
        <v>1</v>
      </c>
      <c r="M149" s="6" t="b">
        <v>1</v>
      </c>
      <c r="N149" s="6" t="b">
        <v>1</v>
      </c>
      <c r="O149" s="6" t="b">
        <v>1</v>
      </c>
      <c r="P149" s="6" t="b">
        <v>1</v>
      </c>
      <c r="Q149" s="6" t="b">
        <v>1</v>
      </c>
      <c r="R149" s="6" t="b">
        <v>1</v>
      </c>
      <c r="S149" s="6" t="b">
        <v>1</v>
      </c>
      <c r="T149" s="6" t="b">
        <v>1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0</v>
      </c>
      <c r="AJ149" s="6" t="b">
        <v>0</v>
      </c>
      <c r="AK149" s="6" t="b">
        <v>0</v>
      </c>
      <c r="AL149" s="9" t="str">
        <f t="shared" si="1"/>
        <v>13 dari 31 (42%)</v>
      </c>
    </row>
    <row r="150" ht="22.5" customHeight="1">
      <c r="A150" s="10">
        <v>149.0</v>
      </c>
      <c r="B150" s="11"/>
      <c r="C150" s="22">
        <v>58279.0</v>
      </c>
      <c r="D150" s="12" t="s">
        <v>63</v>
      </c>
      <c r="E150" s="12" t="s">
        <v>72</v>
      </c>
      <c r="F150" s="13"/>
      <c r="G150" s="6" t="b">
        <v>1</v>
      </c>
      <c r="H150" s="6" t="b">
        <v>1</v>
      </c>
      <c r="I150" s="6" t="b">
        <v>1</v>
      </c>
      <c r="J150" s="6" t="b">
        <v>1</v>
      </c>
      <c r="K150" s="6" t="b">
        <v>1</v>
      </c>
      <c r="L150" s="6" t="b">
        <v>1</v>
      </c>
      <c r="M150" s="6" t="b">
        <v>1</v>
      </c>
      <c r="N150" s="6" t="b">
        <v>1</v>
      </c>
      <c r="O150" s="6" t="b">
        <v>1</v>
      </c>
      <c r="P150" s="6" t="b">
        <v>1</v>
      </c>
      <c r="Q150" s="6" t="b">
        <v>1</v>
      </c>
      <c r="R150" s="6" t="b">
        <v>1</v>
      </c>
      <c r="S150" s="6" t="b">
        <v>1</v>
      </c>
      <c r="T150" s="6" t="b">
        <v>1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1</v>
      </c>
      <c r="AJ150" s="6" t="b">
        <v>0</v>
      </c>
      <c r="AK150" s="6" t="b">
        <v>0</v>
      </c>
      <c r="AL150" s="17" t="str">
        <f t="shared" si="1"/>
        <v>15 dari 31 (48%)</v>
      </c>
    </row>
    <row r="151" ht="22.5" customHeight="1">
      <c r="A151" s="30">
        <v>150.0</v>
      </c>
      <c r="B151" s="62"/>
      <c r="C151" s="32">
        <v>45183.0</v>
      </c>
      <c r="D151" s="51" t="s">
        <v>63</v>
      </c>
      <c r="E151" s="51" t="s">
        <v>72</v>
      </c>
      <c r="F151" s="53"/>
      <c r="G151" s="35" t="b">
        <v>0</v>
      </c>
      <c r="H151" s="35" t="b">
        <v>0</v>
      </c>
      <c r="I151" s="35" t="b">
        <v>0</v>
      </c>
      <c r="J151" s="35" t="b">
        <v>0</v>
      </c>
      <c r="K151" s="35" t="b">
        <v>0</v>
      </c>
      <c r="L151" s="35" t="b">
        <v>0</v>
      </c>
      <c r="M151" s="35" t="b">
        <v>0</v>
      </c>
      <c r="N151" s="35" t="b">
        <v>0</v>
      </c>
      <c r="O151" s="35" t="b">
        <v>0</v>
      </c>
      <c r="P151" s="35" t="b">
        <v>0</v>
      </c>
      <c r="Q151" s="35" t="b">
        <v>0</v>
      </c>
      <c r="R151" s="35" t="b">
        <v>0</v>
      </c>
      <c r="S151" s="35" t="b">
        <v>0</v>
      </c>
      <c r="T151" s="35" t="b">
        <v>0</v>
      </c>
      <c r="U151" s="35" t="b">
        <v>0</v>
      </c>
      <c r="V151" s="35" t="b">
        <v>0</v>
      </c>
      <c r="W151" s="35" t="b">
        <v>0</v>
      </c>
      <c r="X151" s="35" t="b">
        <v>0</v>
      </c>
      <c r="Y151" s="35" t="b">
        <v>0</v>
      </c>
      <c r="Z151" s="35" t="b">
        <v>0</v>
      </c>
      <c r="AA151" s="35" t="b">
        <v>0</v>
      </c>
      <c r="AB151" s="35" t="b">
        <v>0</v>
      </c>
      <c r="AC151" s="35" t="b">
        <v>0</v>
      </c>
      <c r="AD151" s="35" t="b">
        <v>0</v>
      </c>
      <c r="AE151" s="35" t="b">
        <v>0</v>
      </c>
      <c r="AF151" s="35" t="b">
        <v>0</v>
      </c>
      <c r="AG151" s="35" t="b">
        <v>0</v>
      </c>
      <c r="AH151" s="35" t="b">
        <v>0</v>
      </c>
      <c r="AI151" s="35" t="b">
        <v>0</v>
      </c>
      <c r="AJ151" s="35" t="b">
        <v>0</v>
      </c>
      <c r="AK151" s="35" t="b">
        <v>0</v>
      </c>
      <c r="AL151" s="38" t="str">
        <f t="shared" si="1"/>
        <v>0 dari 31 (0%)</v>
      </c>
    </row>
    <row r="152" ht="22.5" customHeight="1">
      <c r="A152" s="82">
        <v>151.0</v>
      </c>
      <c r="B152" s="83"/>
      <c r="C152" s="91">
        <v>60887.0</v>
      </c>
      <c r="D152" s="91" t="s">
        <v>85</v>
      </c>
      <c r="E152" s="91" t="s">
        <v>138</v>
      </c>
      <c r="F152" s="86" t="s">
        <v>67</v>
      </c>
      <c r="G152" s="87" t="b">
        <v>0</v>
      </c>
      <c r="H152" s="87" t="b">
        <v>0</v>
      </c>
      <c r="I152" s="87" t="b">
        <v>0</v>
      </c>
      <c r="J152" s="87" t="b">
        <v>0</v>
      </c>
      <c r="K152" s="87" t="b">
        <v>0</v>
      </c>
      <c r="L152" s="87" t="b">
        <v>0</v>
      </c>
      <c r="M152" s="87" t="b">
        <v>0</v>
      </c>
      <c r="N152" s="87" t="b">
        <v>0</v>
      </c>
      <c r="O152" s="87" t="b">
        <v>0</v>
      </c>
      <c r="P152" s="87" t="b">
        <v>0</v>
      </c>
      <c r="Q152" s="87" t="b">
        <v>0</v>
      </c>
      <c r="R152" s="87" t="b">
        <v>0</v>
      </c>
      <c r="S152" s="87" t="b">
        <v>0</v>
      </c>
      <c r="T152" s="87" t="b">
        <v>0</v>
      </c>
      <c r="U152" s="87" t="b">
        <v>0</v>
      </c>
      <c r="V152" s="87" t="b">
        <v>0</v>
      </c>
      <c r="W152" s="87" t="b">
        <v>0</v>
      </c>
      <c r="X152" s="87" t="b">
        <v>0</v>
      </c>
      <c r="Y152" s="87" t="b">
        <v>0</v>
      </c>
      <c r="Z152" s="87" t="b">
        <v>0</v>
      </c>
      <c r="AA152" s="87" t="b">
        <v>0</v>
      </c>
      <c r="AB152" s="87" t="b">
        <v>0</v>
      </c>
      <c r="AC152" s="87" t="b">
        <v>0</v>
      </c>
      <c r="AD152" s="87" t="b">
        <v>0</v>
      </c>
      <c r="AE152" s="87" t="b">
        <v>0</v>
      </c>
      <c r="AF152" s="87" t="b">
        <v>0</v>
      </c>
      <c r="AG152" s="87" t="b">
        <v>0</v>
      </c>
      <c r="AH152" s="87" t="b">
        <v>0</v>
      </c>
      <c r="AI152" s="87" t="b">
        <v>0</v>
      </c>
      <c r="AJ152" s="87" t="b">
        <v>0</v>
      </c>
      <c r="AK152" s="87" t="b">
        <v>0</v>
      </c>
      <c r="AL152" s="89" t="str">
        <f t="shared" si="1"/>
        <v>0 dari 31 (0%)</v>
      </c>
    </row>
    <row r="153" ht="22.5" customHeight="1">
      <c r="A153" s="10">
        <v>152.0</v>
      </c>
      <c r="B153" s="11"/>
      <c r="C153" s="20">
        <v>61033.0</v>
      </c>
      <c r="D153" s="20" t="s">
        <v>39</v>
      </c>
      <c r="E153" s="20" t="s">
        <v>45</v>
      </c>
      <c r="F153" s="13"/>
      <c r="G153" s="112" t="b">
        <v>1</v>
      </c>
      <c r="H153" s="112" t="b">
        <v>1</v>
      </c>
      <c r="I153" s="112" t="b">
        <v>1</v>
      </c>
      <c r="J153" s="112" t="b">
        <v>1</v>
      </c>
      <c r="K153" s="112" t="b">
        <v>1</v>
      </c>
      <c r="L153" s="112" t="b">
        <v>1</v>
      </c>
      <c r="M153" s="112" t="b">
        <v>1</v>
      </c>
      <c r="N153" s="112" t="b">
        <v>1</v>
      </c>
      <c r="O153" s="112" t="b">
        <v>1</v>
      </c>
      <c r="P153" s="112" t="b">
        <v>1</v>
      </c>
      <c r="Q153" s="112" t="b">
        <v>1</v>
      </c>
      <c r="R153" s="112" t="b">
        <v>1</v>
      </c>
      <c r="S153" s="112" t="b">
        <v>1</v>
      </c>
      <c r="T153" s="112" t="b">
        <v>1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1</v>
      </c>
      <c r="AA153" s="112" t="b">
        <v>1</v>
      </c>
      <c r="AB153" s="112" t="b">
        <v>1</v>
      </c>
      <c r="AC153" s="112" t="b">
        <v>1</v>
      </c>
      <c r="AD153" s="112" t="b">
        <v>1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1</v>
      </c>
      <c r="AJ153" s="112" t="b">
        <v>0</v>
      </c>
      <c r="AK153" s="112" t="b">
        <v>0</v>
      </c>
      <c r="AL153" s="113" t="str">
        <f t="shared" si="1"/>
        <v>20 dari 31 (65%)</v>
      </c>
    </row>
    <row r="154" ht="22.5" customHeight="1">
      <c r="A154" s="2">
        <v>153.0</v>
      </c>
      <c r="B154" s="11"/>
      <c r="C154" s="20">
        <v>60427.0</v>
      </c>
      <c r="D154" s="20" t="s">
        <v>63</v>
      </c>
      <c r="E154" s="20" t="s">
        <v>72</v>
      </c>
      <c r="F154" s="15" t="s">
        <v>50</v>
      </c>
      <c r="G154" s="114" t="b">
        <v>1</v>
      </c>
      <c r="H154" s="114" t="b">
        <v>0</v>
      </c>
      <c r="I154" s="114" t="b">
        <v>0</v>
      </c>
      <c r="J154" s="114" t="b">
        <v>0</v>
      </c>
      <c r="K154" s="114" t="b">
        <v>0</v>
      </c>
      <c r="L154" s="114" t="b">
        <v>0</v>
      </c>
      <c r="M154" s="114" t="b">
        <v>0</v>
      </c>
      <c r="N154" s="114" t="b">
        <v>0</v>
      </c>
      <c r="O154" s="114" t="b">
        <v>0</v>
      </c>
      <c r="P154" s="114" t="b">
        <v>0</v>
      </c>
      <c r="Q154" s="114" t="b">
        <v>0</v>
      </c>
      <c r="R154" s="114" t="b">
        <v>0</v>
      </c>
      <c r="S154" s="114" t="b">
        <v>0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0</v>
      </c>
      <c r="AJ154" s="114" t="b">
        <v>0</v>
      </c>
      <c r="AK154" s="114" t="b">
        <v>0</v>
      </c>
      <c r="AL154" s="115" t="str">
        <f t="shared" si="1"/>
        <v>1 dari 31 (3%)</v>
      </c>
    </row>
    <row r="155" ht="22.5" customHeight="1">
      <c r="A155" s="10">
        <v>154.0</v>
      </c>
      <c r="B155" s="11"/>
      <c r="C155" s="20">
        <v>60409.0</v>
      </c>
      <c r="D155" s="20" t="s">
        <v>63</v>
      </c>
      <c r="E155" s="20" t="s">
        <v>87</v>
      </c>
      <c r="F155" s="13"/>
      <c r="G155" s="114" t="b">
        <v>1</v>
      </c>
      <c r="H155" s="114" t="b">
        <v>1</v>
      </c>
      <c r="I155" s="114" t="b">
        <v>0</v>
      </c>
      <c r="J155" s="114" t="b">
        <v>1</v>
      </c>
      <c r="K155" s="114" t="b">
        <v>1</v>
      </c>
      <c r="L155" s="114" t="b">
        <v>1</v>
      </c>
      <c r="M155" s="114" t="b">
        <v>1</v>
      </c>
      <c r="N155" s="114" t="b">
        <v>1</v>
      </c>
      <c r="O155" s="114" t="b">
        <v>1</v>
      </c>
      <c r="P155" s="114" t="b">
        <v>1</v>
      </c>
      <c r="Q155" s="114" t="b">
        <v>1</v>
      </c>
      <c r="R155" s="114" t="b">
        <v>1</v>
      </c>
      <c r="S155" s="114" t="b">
        <v>1</v>
      </c>
      <c r="T155" s="114" t="b">
        <v>0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1</v>
      </c>
      <c r="AJ155" s="114" t="b">
        <v>0</v>
      </c>
      <c r="AK155" s="114" t="b">
        <v>0</v>
      </c>
      <c r="AL155" s="115" t="str">
        <f t="shared" si="1"/>
        <v>13 dari 31 (42%)</v>
      </c>
    </row>
    <row r="156" ht="22.5" customHeight="1">
      <c r="A156" s="10">
        <v>155.0</v>
      </c>
      <c r="B156" s="11"/>
      <c r="C156" s="20">
        <v>60059.0</v>
      </c>
      <c r="D156" s="20" t="s">
        <v>63</v>
      </c>
      <c r="E156" s="20" t="s">
        <v>87</v>
      </c>
      <c r="F156" s="13"/>
      <c r="G156" s="114" t="b">
        <v>1</v>
      </c>
      <c r="H156" s="114" t="b">
        <v>1</v>
      </c>
      <c r="I156" s="114" t="b">
        <v>0</v>
      </c>
      <c r="J156" s="114" t="b">
        <v>1</v>
      </c>
      <c r="K156" s="114" t="b">
        <v>1</v>
      </c>
      <c r="L156" s="114" t="b">
        <v>1</v>
      </c>
      <c r="M156" s="114" t="b">
        <v>1</v>
      </c>
      <c r="N156" s="114" t="b">
        <v>1</v>
      </c>
      <c r="O156" s="114" t="b">
        <v>1</v>
      </c>
      <c r="P156" s="114" t="b">
        <v>1</v>
      </c>
      <c r="Q156" s="114" t="b">
        <v>1</v>
      </c>
      <c r="R156" s="114" t="b">
        <v>1</v>
      </c>
      <c r="S156" s="114" t="b">
        <v>1</v>
      </c>
      <c r="T156" s="114" t="b">
        <v>0</v>
      </c>
      <c r="U156" s="114" t="b">
        <v>0</v>
      </c>
      <c r="V156" s="114" t="b">
        <v>0</v>
      </c>
      <c r="W156" s="114" t="b">
        <v>0</v>
      </c>
      <c r="X156" s="114" t="b">
        <v>0</v>
      </c>
      <c r="Y156" s="114" t="b">
        <v>0</v>
      </c>
      <c r="Z156" s="114" t="b">
        <v>0</v>
      </c>
      <c r="AA156" s="114" t="b">
        <v>0</v>
      </c>
      <c r="AB156" s="114" t="b">
        <v>0</v>
      </c>
      <c r="AC156" s="114" t="b">
        <v>0</v>
      </c>
      <c r="AD156" s="114" t="b">
        <v>0</v>
      </c>
      <c r="AE156" s="114" t="b">
        <v>0</v>
      </c>
      <c r="AF156" s="114" t="b">
        <v>0</v>
      </c>
      <c r="AG156" s="114" t="b">
        <v>0</v>
      </c>
      <c r="AH156" s="114" t="b">
        <v>0</v>
      </c>
      <c r="AI156" s="114" t="b">
        <v>1</v>
      </c>
      <c r="AJ156" s="114" t="b">
        <v>0</v>
      </c>
      <c r="AK156" s="114" t="b">
        <v>0</v>
      </c>
      <c r="AL156" s="115" t="str">
        <f t="shared" si="1"/>
        <v>13 dari 31 (42%)</v>
      </c>
    </row>
    <row r="157" ht="22.5" customHeight="1">
      <c r="A157" s="2">
        <v>156.0</v>
      </c>
      <c r="B157" s="11"/>
      <c r="C157" s="20">
        <v>60110.0</v>
      </c>
      <c r="D157" s="20" t="s">
        <v>63</v>
      </c>
      <c r="E157" s="20" t="s">
        <v>87</v>
      </c>
      <c r="F157" s="13"/>
      <c r="G157" s="114" t="b">
        <v>1</v>
      </c>
      <c r="H157" s="114" t="b">
        <v>1</v>
      </c>
      <c r="I157" s="114" t="b">
        <v>1</v>
      </c>
      <c r="J157" s="114" t="b">
        <v>1</v>
      </c>
      <c r="K157" s="114" t="b">
        <v>1</v>
      </c>
      <c r="L157" s="114" t="b">
        <v>1</v>
      </c>
      <c r="M157" s="114" t="b">
        <v>1</v>
      </c>
      <c r="N157" s="114" t="b">
        <v>1</v>
      </c>
      <c r="O157" s="114" t="b">
        <v>1</v>
      </c>
      <c r="P157" s="114" t="b">
        <v>1</v>
      </c>
      <c r="Q157" s="114" t="b">
        <v>1</v>
      </c>
      <c r="R157" s="114" t="b">
        <v>1</v>
      </c>
      <c r="S157" s="114" t="b">
        <v>1</v>
      </c>
      <c r="T157" s="114" t="b">
        <v>0</v>
      </c>
      <c r="U157" s="114" t="b">
        <v>0</v>
      </c>
      <c r="V157" s="114" t="b">
        <v>0</v>
      </c>
      <c r="W157" s="114" t="b">
        <v>0</v>
      </c>
      <c r="X157" s="114" t="b">
        <v>0</v>
      </c>
      <c r="Y157" s="114" t="b">
        <v>0</v>
      </c>
      <c r="Z157" s="114" t="b">
        <v>0</v>
      </c>
      <c r="AA157" s="114" t="b">
        <v>0</v>
      </c>
      <c r="AB157" s="114" t="b">
        <v>0</v>
      </c>
      <c r="AC157" s="114" t="b">
        <v>0</v>
      </c>
      <c r="AD157" s="114" t="b">
        <v>0</v>
      </c>
      <c r="AE157" s="114" t="b">
        <v>0</v>
      </c>
      <c r="AF157" s="114" t="b">
        <v>0</v>
      </c>
      <c r="AG157" s="114" t="b">
        <v>0</v>
      </c>
      <c r="AH157" s="114" t="b">
        <v>0</v>
      </c>
      <c r="AI157" s="114" t="b">
        <v>1</v>
      </c>
      <c r="AJ157" s="114" t="b">
        <v>0</v>
      </c>
      <c r="AK157" s="114" t="b">
        <v>0</v>
      </c>
      <c r="AL157" s="115" t="str">
        <f t="shared" si="1"/>
        <v>14 dari 31 (45%)</v>
      </c>
    </row>
    <row r="158" ht="22.5" customHeight="1">
      <c r="A158" s="10">
        <v>157.0</v>
      </c>
      <c r="B158" s="11"/>
      <c r="C158" s="20">
        <v>58069.0</v>
      </c>
      <c r="D158" s="20" t="s">
        <v>63</v>
      </c>
      <c r="E158" s="20" t="s">
        <v>87</v>
      </c>
      <c r="F158" s="13"/>
      <c r="G158" s="114" t="b">
        <v>1</v>
      </c>
      <c r="H158" s="114" t="b">
        <v>1</v>
      </c>
      <c r="I158" s="114" t="b">
        <v>0</v>
      </c>
      <c r="J158" s="114" t="b">
        <v>1</v>
      </c>
      <c r="K158" s="114" t="b">
        <v>1</v>
      </c>
      <c r="L158" s="114" t="b">
        <v>1</v>
      </c>
      <c r="M158" s="114" t="b">
        <v>1</v>
      </c>
      <c r="N158" s="114" t="b">
        <v>1</v>
      </c>
      <c r="O158" s="114" t="b">
        <v>1</v>
      </c>
      <c r="P158" s="114" t="b">
        <v>1</v>
      </c>
      <c r="Q158" s="114" t="b">
        <v>1</v>
      </c>
      <c r="R158" s="114" t="b">
        <v>1</v>
      </c>
      <c r="S158" s="114" t="b">
        <v>1</v>
      </c>
      <c r="T158" s="114" t="b">
        <v>0</v>
      </c>
      <c r="U158" s="114" t="b">
        <v>0</v>
      </c>
      <c r="V158" s="114" t="b">
        <v>0</v>
      </c>
      <c r="W158" s="114" t="b">
        <v>0</v>
      </c>
      <c r="X158" s="114" t="b">
        <v>0</v>
      </c>
      <c r="Y158" s="114" t="b">
        <v>0</v>
      </c>
      <c r="Z158" s="114" t="b">
        <v>0</v>
      </c>
      <c r="AA158" s="114" t="b">
        <v>0</v>
      </c>
      <c r="AB158" s="114" t="b">
        <v>0</v>
      </c>
      <c r="AC158" s="114" t="b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 t="b">
        <v>0</v>
      </c>
      <c r="AI158" s="114" t="b">
        <v>1</v>
      </c>
      <c r="AJ158" s="114" t="b">
        <v>0</v>
      </c>
      <c r="AK158" s="114" t="b">
        <v>0</v>
      </c>
      <c r="AL158" s="115" t="str">
        <f t="shared" si="1"/>
        <v>13 dari 31 (42%)</v>
      </c>
    </row>
    <row r="159" ht="22.5" customHeight="1">
      <c r="A159" s="10">
        <v>158.0</v>
      </c>
      <c r="B159" s="11"/>
      <c r="C159" s="20">
        <v>30475.0</v>
      </c>
      <c r="D159" s="20" t="s">
        <v>63</v>
      </c>
      <c r="E159" s="20" t="s">
        <v>87</v>
      </c>
      <c r="F159" s="13"/>
      <c r="G159" s="114" t="b">
        <v>1</v>
      </c>
      <c r="H159" s="114" t="b">
        <v>1</v>
      </c>
      <c r="I159" s="114" t="b">
        <v>0</v>
      </c>
      <c r="J159" s="114" t="b">
        <v>1</v>
      </c>
      <c r="K159" s="114" t="b">
        <v>1</v>
      </c>
      <c r="L159" s="114" t="b">
        <v>1</v>
      </c>
      <c r="M159" s="114" t="b">
        <v>1</v>
      </c>
      <c r="N159" s="114" t="b">
        <v>1</v>
      </c>
      <c r="O159" s="114" t="b">
        <v>1</v>
      </c>
      <c r="P159" s="114" t="b">
        <v>1</v>
      </c>
      <c r="Q159" s="114" t="b">
        <v>1</v>
      </c>
      <c r="R159" s="114" t="b">
        <v>1</v>
      </c>
      <c r="S159" s="114" t="b">
        <v>1</v>
      </c>
      <c r="T159" s="114" t="b">
        <v>0</v>
      </c>
      <c r="U159" s="114" t="b">
        <v>0</v>
      </c>
      <c r="V159" s="114" t="b">
        <v>0</v>
      </c>
      <c r="W159" s="114" t="b">
        <v>0</v>
      </c>
      <c r="X159" s="114" t="b">
        <v>0</v>
      </c>
      <c r="Y159" s="114" t="b">
        <v>0</v>
      </c>
      <c r="Z159" s="114" t="b">
        <v>0</v>
      </c>
      <c r="AA159" s="114" t="b">
        <v>0</v>
      </c>
      <c r="AB159" s="114" t="b">
        <v>0</v>
      </c>
      <c r="AC159" s="114" t="b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 t="b">
        <v>0</v>
      </c>
      <c r="AI159" s="114" t="b">
        <v>1</v>
      </c>
      <c r="AJ159" s="114" t="b">
        <v>0</v>
      </c>
      <c r="AK159" s="114" t="b">
        <v>0</v>
      </c>
      <c r="AL159" s="115" t="str">
        <f t="shared" si="1"/>
        <v>13 dari 31 (42%)</v>
      </c>
    </row>
    <row r="160" ht="22.5" customHeight="1">
      <c r="A160" s="2">
        <v>159.0</v>
      </c>
      <c r="B160" s="11"/>
      <c r="C160" s="20">
        <v>59625.0</v>
      </c>
      <c r="D160" s="20" t="s">
        <v>63</v>
      </c>
      <c r="E160" s="20" t="s">
        <v>87</v>
      </c>
      <c r="F160" s="13"/>
      <c r="G160" s="114" t="b">
        <v>1</v>
      </c>
      <c r="H160" s="114" t="b">
        <v>1</v>
      </c>
      <c r="I160" s="114" t="b">
        <v>0</v>
      </c>
      <c r="J160" s="114" t="b">
        <v>1</v>
      </c>
      <c r="K160" s="114" t="b">
        <v>1</v>
      </c>
      <c r="L160" s="114" t="b">
        <v>1</v>
      </c>
      <c r="M160" s="114" t="b">
        <v>1</v>
      </c>
      <c r="N160" s="114" t="b">
        <v>1</v>
      </c>
      <c r="O160" s="114" t="b">
        <v>1</v>
      </c>
      <c r="P160" s="114" t="b">
        <v>1</v>
      </c>
      <c r="Q160" s="114" t="b">
        <v>1</v>
      </c>
      <c r="R160" s="114" t="b">
        <v>1</v>
      </c>
      <c r="S160" s="114" t="b">
        <v>1</v>
      </c>
      <c r="T160" s="114" t="b">
        <v>0</v>
      </c>
      <c r="U160" s="114" t="b">
        <v>0</v>
      </c>
      <c r="V160" s="114" t="b">
        <v>0</v>
      </c>
      <c r="W160" s="114" t="b">
        <v>1</v>
      </c>
      <c r="X160" s="114" t="b">
        <v>1</v>
      </c>
      <c r="Y160" s="114" t="b">
        <v>1</v>
      </c>
      <c r="Z160" s="114" t="b">
        <v>0</v>
      </c>
      <c r="AA160" s="114" t="b">
        <v>0</v>
      </c>
      <c r="AB160" s="114" t="b">
        <v>0</v>
      </c>
      <c r="AC160" s="114" t="b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 t="b">
        <v>0</v>
      </c>
      <c r="AI160" s="114" t="b">
        <v>1</v>
      </c>
      <c r="AJ160" s="114" t="b">
        <v>0</v>
      </c>
      <c r="AK160" s="114" t="b">
        <v>0</v>
      </c>
      <c r="AL160" s="115" t="str">
        <f t="shared" si="1"/>
        <v>16 dari 31 (52%)</v>
      </c>
    </row>
    <row r="161" ht="22.5" customHeight="1">
      <c r="A161" s="10">
        <v>160.0</v>
      </c>
      <c r="B161" s="11"/>
      <c r="C161" s="20">
        <v>60323.0</v>
      </c>
      <c r="D161" s="20" t="s">
        <v>51</v>
      </c>
      <c r="E161" s="20" t="s">
        <v>65</v>
      </c>
      <c r="F161" s="15" t="s">
        <v>50</v>
      </c>
      <c r="G161" s="114" t="b">
        <v>1</v>
      </c>
      <c r="H161" s="114" t="b">
        <v>0</v>
      </c>
      <c r="I161" s="114" t="b">
        <v>0</v>
      </c>
      <c r="J161" s="114" t="b">
        <v>0</v>
      </c>
      <c r="K161" s="114" t="b">
        <v>0</v>
      </c>
      <c r="L161" s="114" t="b">
        <v>0</v>
      </c>
      <c r="M161" s="114" t="b">
        <v>0</v>
      </c>
      <c r="N161" s="114" t="b">
        <v>0</v>
      </c>
      <c r="O161" s="114" t="b">
        <v>0</v>
      </c>
      <c r="P161" s="114" t="b">
        <v>0</v>
      </c>
      <c r="Q161" s="114" t="b">
        <v>0</v>
      </c>
      <c r="R161" s="114" t="b">
        <v>0</v>
      </c>
      <c r="S161" s="114" t="b">
        <v>0</v>
      </c>
      <c r="T161" s="114" t="b">
        <v>0</v>
      </c>
      <c r="U161" s="114" t="b">
        <v>0</v>
      </c>
      <c r="V161" s="114" t="b">
        <v>0</v>
      </c>
      <c r="W161" s="114" t="b">
        <v>0</v>
      </c>
      <c r="X161" s="114" t="b">
        <v>0</v>
      </c>
      <c r="Y161" s="114" t="b">
        <v>0</v>
      </c>
      <c r="Z161" s="114" t="b">
        <v>0</v>
      </c>
      <c r="AA161" s="114" t="b">
        <v>0</v>
      </c>
      <c r="AB161" s="114" t="b">
        <v>0</v>
      </c>
      <c r="AC161" s="114" t="b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 t="b">
        <v>0</v>
      </c>
      <c r="AI161" s="114" t="b">
        <v>0</v>
      </c>
      <c r="AJ161" s="114" t="b">
        <v>0</v>
      </c>
      <c r="AK161" s="114" t="b">
        <v>0</v>
      </c>
      <c r="AL161" s="115" t="str">
        <f t="shared" si="1"/>
        <v>1 dari 31 (3%)</v>
      </c>
    </row>
    <row r="162" ht="22.5" customHeight="1">
      <c r="A162" s="10">
        <v>161.0</v>
      </c>
      <c r="B162" s="11"/>
      <c r="C162" s="20">
        <v>60701.0</v>
      </c>
      <c r="D162" s="12" t="s">
        <v>63</v>
      </c>
      <c r="E162" s="12" t="s">
        <v>64</v>
      </c>
      <c r="F162" s="13"/>
      <c r="G162" s="114" t="b">
        <v>1</v>
      </c>
      <c r="H162" s="114" t="b">
        <v>1</v>
      </c>
      <c r="I162" s="114" t="b">
        <v>1</v>
      </c>
      <c r="J162" s="114" t="b">
        <v>1</v>
      </c>
      <c r="K162" s="114" t="b">
        <v>1</v>
      </c>
      <c r="L162" s="114" t="b">
        <v>1</v>
      </c>
      <c r="M162" s="114" t="b">
        <v>1</v>
      </c>
      <c r="N162" s="114" t="b">
        <v>1</v>
      </c>
      <c r="O162" s="114" t="b">
        <v>1</v>
      </c>
      <c r="P162" s="114" t="b">
        <v>1</v>
      </c>
      <c r="Q162" s="114" t="b">
        <v>1</v>
      </c>
      <c r="R162" s="114" t="b">
        <v>1</v>
      </c>
      <c r="S162" s="114" t="b">
        <v>1</v>
      </c>
      <c r="T162" s="114" t="b">
        <v>0</v>
      </c>
      <c r="U162" s="114" t="b">
        <v>0</v>
      </c>
      <c r="V162" s="114" t="b">
        <v>0</v>
      </c>
      <c r="W162" s="114" t="b">
        <v>0</v>
      </c>
      <c r="X162" s="114" t="b">
        <v>0</v>
      </c>
      <c r="Y162" s="114" t="b">
        <v>0</v>
      </c>
      <c r="Z162" s="114" t="b">
        <v>0</v>
      </c>
      <c r="AA162" s="114" t="b">
        <v>0</v>
      </c>
      <c r="AB162" s="114" t="b">
        <v>0</v>
      </c>
      <c r="AC162" s="114" t="b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 t="b">
        <v>0</v>
      </c>
      <c r="AI162" s="114" t="b">
        <v>0</v>
      </c>
      <c r="AJ162" s="114" t="b">
        <v>0</v>
      </c>
      <c r="AK162" s="114" t="b">
        <v>0</v>
      </c>
      <c r="AL162" s="115" t="str">
        <f t="shared" si="1"/>
        <v>13 dari 31 (42%)</v>
      </c>
    </row>
    <row r="163" ht="22.5" customHeight="1">
      <c r="A163" s="2">
        <v>162.0</v>
      </c>
      <c r="B163" s="11"/>
      <c r="C163" s="20">
        <v>61032.0</v>
      </c>
      <c r="D163" s="12" t="s">
        <v>51</v>
      </c>
      <c r="E163" s="12" t="s">
        <v>65</v>
      </c>
      <c r="F163" s="13"/>
      <c r="G163" s="114" t="b">
        <v>1</v>
      </c>
      <c r="H163" s="114" t="b">
        <v>1</v>
      </c>
      <c r="I163" s="114" t="b">
        <v>1</v>
      </c>
      <c r="J163" s="114" t="b">
        <v>1</v>
      </c>
      <c r="K163" s="114" t="b">
        <v>1</v>
      </c>
      <c r="L163" s="114" t="b">
        <v>1</v>
      </c>
      <c r="M163" s="114" t="b">
        <v>1</v>
      </c>
      <c r="N163" s="114" t="b">
        <v>1</v>
      </c>
      <c r="O163" s="114" t="b">
        <v>1</v>
      </c>
      <c r="P163" s="114" t="b">
        <v>1</v>
      </c>
      <c r="Q163" s="114" t="b">
        <v>1</v>
      </c>
      <c r="R163" s="114" t="b">
        <v>1</v>
      </c>
      <c r="S163" s="114" t="b">
        <v>1</v>
      </c>
      <c r="T163" s="114" t="b">
        <v>0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1</v>
      </c>
      <c r="AJ163" s="114" t="b">
        <v>0</v>
      </c>
      <c r="AK163" s="114" t="b">
        <v>0</v>
      </c>
      <c r="AL163" s="115" t="str">
        <f t="shared" si="1"/>
        <v>14 dari 31 (45%)</v>
      </c>
    </row>
    <row r="164" ht="22.5" customHeight="1">
      <c r="A164" s="10">
        <v>163.0</v>
      </c>
      <c r="B164" s="11"/>
      <c r="C164" s="20">
        <v>60439.0</v>
      </c>
      <c r="D164" s="12" t="s">
        <v>51</v>
      </c>
      <c r="E164" s="12" t="s">
        <v>140</v>
      </c>
      <c r="F164" s="15" t="s">
        <v>50</v>
      </c>
      <c r="G164" s="114" t="b">
        <v>1</v>
      </c>
      <c r="H164" s="114" t="b">
        <v>0</v>
      </c>
      <c r="I164" s="114" t="b">
        <v>0</v>
      </c>
      <c r="J164" s="114" t="b">
        <v>0</v>
      </c>
      <c r="K164" s="114" t="b">
        <v>0</v>
      </c>
      <c r="L164" s="114" t="b">
        <v>0</v>
      </c>
      <c r="M164" s="114" t="b">
        <v>0</v>
      </c>
      <c r="N164" s="114" t="b">
        <v>0</v>
      </c>
      <c r="O164" s="114" t="b">
        <v>0</v>
      </c>
      <c r="P164" s="114" t="b">
        <v>0</v>
      </c>
      <c r="Q164" s="114" t="b">
        <v>0</v>
      </c>
      <c r="R164" s="114" t="b">
        <v>0</v>
      </c>
      <c r="S164" s="114" t="b">
        <v>0</v>
      </c>
      <c r="T164" s="114" t="b">
        <v>0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0</v>
      </c>
      <c r="AJ164" s="114" t="b">
        <v>0</v>
      </c>
      <c r="AK164" s="114" t="b">
        <v>0</v>
      </c>
      <c r="AL164" s="115" t="str">
        <f t="shared" si="1"/>
        <v>1 dari 31 (3%)</v>
      </c>
    </row>
    <row r="165" ht="22.5" customHeight="1">
      <c r="A165" s="10">
        <v>164.0</v>
      </c>
      <c r="B165" s="11"/>
      <c r="C165" s="20">
        <v>59881.0</v>
      </c>
      <c r="D165" s="12" t="s">
        <v>63</v>
      </c>
      <c r="E165" s="12" t="s">
        <v>64</v>
      </c>
      <c r="F165" s="15" t="s">
        <v>50</v>
      </c>
      <c r="G165" s="114" t="b">
        <v>1</v>
      </c>
      <c r="H165" s="114" t="b">
        <v>0</v>
      </c>
      <c r="I165" s="114" t="b">
        <v>0</v>
      </c>
      <c r="J165" s="114" t="b">
        <v>0</v>
      </c>
      <c r="K165" s="114" t="b">
        <v>0</v>
      </c>
      <c r="L165" s="114" t="b">
        <v>0</v>
      </c>
      <c r="M165" s="114" t="b">
        <v>0</v>
      </c>
      <c r="N165" s="114" t="b">
        <v>0</v>
      </c>
      <c r="O165" s="114" t="b">
        <v>0</v>
      </c>
      <c r="P165" s="114" t="b">
        <v>0</v>
      </c>
      <c r="Q165" s="114" t="b">
        <v>0</v>
      </c>
      <c r="R165" s="114" t="b">
        <v>0</v>
      </c>
      <c r="S165" s="114" t="b">
        <v>0</v>
      </c>
      <c r="T165" s="114" t="b">
        <v>0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0</v>
      </c>
      <c r="AA165" s="114" t="b">
        <v>0</v>
      </c>
      <c r="AB165" s="114" t="b">
        <v>0</v>
      </c>
      <c r="AC165" s="114" t="b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0</v>
      </c>
      <c r="AJ165" s="114" t="b">
        <v>0</v>
      </c>
      <c r="AK165" s="114" t="b">
        <v>0</v>
      </c>
      <c r="AL165" s="115" t="str">
        <f t="shared" si="1"/>
        <v>1 dari 31 (3%)</v>
      </c>
    </row>
    <row r="166" ht="22.5" customHeight="1">
      <c r="A166" s="2">
        <v>165.0</v>
      </c>
      <c r="B166" s="11"/>
      <c r="C166" s="20">
        <v>59567.0</v>
      </c>
      <c r="D166" s="12" t="s">
        <v>63</v>
      </c>
      <c r="E166" s="12" t="s">
        <v>73</v>
      </c>
      <c r="F166" s="13"/>
      <c r="G166" s="114" t="b">
        <v>1</v>
      </c>
      <c r="H166" s="114" t="b">
        <v>1</v>
      </c>
      <c r="I166" s="114" t="b">
        <v>1</v>
      </c>
      <c r="J166" s="114" t="b">
        <v>1</v>
      </c>
      <c r="K166" s="114" t="b">
        <v>1</v>
      </c>
      <c r="L166" s="114" t="b">
        <v>1</v>
      </c>
      <c r="M166" s="114" t="b">
        <v>1</v>
      </c>
      <c r="N166" s="114" t="b">
        <v>1</v>
      </c>
      <c r="O166" s="114" t="b">
        <v>1</v>
      </c>
      <c r="P166" s="114" t="b">
        <v>1</v>
      </c>
      <c r="Q166" s="114" t="b">
        <v>1</v>
      </c>
      <c r="R166" s="114" t="b">
        <v>1</v>
      </c>
      <c r="S166" s="114" t="b">
        <v>1</v>
      </c>
      <c r="T166" s="114" t="b">
        <v>1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1</v>
      </c>
      <c r="AJ166" s="114" t="b">
        <v>0</v>
      </c>
      <c r="AK166" s="114" t="b">
        <v>0</v>
      </c>
      <c r="AL166" s="115" t="str">
        <f t="shared" si="1"/>
        <v>15 dari 31 (48%)</v>
      </c>
    </row>
    <row r="167" ht="22.5" customHeight="1">
      <c r="A167" s="10">
        <v>166.0</v>
      </c>
      <c r="B167" s="11"/>
      <c r="C167" s="22">
        <v>29574.0</v>
      </c>
      <c r="D167" s="12" t="s">
        <v>39</v>
      </c>
      <c r="E167" s="12" t="s">
        <v>45</v>
      </c>
      <c r="F167" s="13"/>
      <c r="G167" s="114" t="b">
        <v>1</v>
      </c>
      <c r="H167" s="114" t="b">
        <v>1</v>
      </c>
      <c r="I167" s="114" t="b">
        <v>0</v>
      </c>
      <c r="J167" s="114" t="b">
        <v>1</v>
      </c>
      <c r="K167" s="114" t="b">
        <v>1</v>
      </c>
      <c r="L167" s="114" t="b">
        <v>1</v>
      </c>
      <c r="M167" s="114" t="b">
        <v>1</v>
      </c>
      <c r="N167" s="114" t="b">
        <v>1</v>
      </c>
      <c r="O167" s="114" t="b">
        <v>1</v>
      </c>
      <c r="P167" s="114" t="b">
        <v>1</v>
      </c>
      <c r="Q167" s="114" t="b">
        <v>1</v>
      </c>
      <c r="R167" s="114" t="b">
        <v>1</v>
      </c>
      <c r="S167" s="114" t="b">
        <v>1</v>
      </c>
      <c r="T167" s="114" t="b">
        <v>1</v>
      </c>
      <c r="U167" s="114" t="b">
        <v>0</v>
      </c>
      <c r="V167" s="114" t="b">
        <v>0</v>
      </c>
      <c r="W167" s="114" t="b">
        <v>0</v>
      </c>
      <c r="X167" s="114" t="b">
        <v>0</v>
      </c>
      <c r="Y167" s="114" t="b">
        <v>0</v>
      </c>
      <c r="Z167" s="114" t="b">
        <v>0</v>
      </c>
      <c r="AA167" s="114" t="b">
        <v>0</v>
      </c>
      <c r="AB167" s="114" t="b">
        <v>0</v>
      </c>
      <c r="AC167" s="114" t="b">
        <v>0</v>
      </c>
      <c r="AD167" s="114" t="b">
        <v>0</v>
      </c>
      <c r="AE167" s="114" t="b">
        <v>0</v>
      </c>
      <c r="AF167" s="114" t="b">
        <v>0</v>
      </c>
      <c r="AG167" s="114" t="b">
        <v>0</v>
      </c>
      <c r="AH167" s="114" t="b">
        <v>0</v>
      </c>
      <c r="AI167" s="114" t="b">
        <v>1</v>
      </c>
      <c r="AJ167" s="114" t="b">
        <v>0</v>
      </c>
      <c r="AK167" s="114" t="b">
        <v>0</v>
      </c>
      <c r="AL167" s="115" t="str">
        <f t="shared" si="1"/>
        <v>14 dari 31 (45%)</v>
      </c>
    </row>
    <row r="168" ht="22.5" customHeight="1">
      <c r="A168" s="10">
        <v>167.0</v>
      </c>
      <c r="B168" s="11"/>
      <c r="C168" s="22">
        <v>57369.0</v>
      </c>
      <c r="D168" s="12" t="s">
        <v>80</v>
      </c>
      <c r="E168" s="12" t="s">
        <v>100</v>
      </c>
      <c r="F168" s="13"/>
      <c r="G168" s="114" t="b">
        <v>1</v>
      </c>
      <c r="H168" s="114" t="b">
        <v>1</v>
      </c>
      <c r="I168" s="114" t="b">
        <v>0</v>
      </c>
      <c r="J168" s="114" t="b">
        <v>1</v>
      </c>
      <c r="K168" s="114" t="b">
        <v>1</v>
      </c>
      <c r="L168" s="114" t="b">
        <v>1</v>
      </c>
      <c r="M168" s="114" t="b">
        <v>1</v>
      </c>
      <c r="N168" s="114" t="b">
        <v>1</v>
      </c>
      <c r="O168" s="114" t="b">
        <v>1</v>
      </c>
      <c r="P168" s="114" t="b">
        <v>1</v>
      </c>
      <c r="Q168" s="114" t="b">
        <v>1</v>
      </c>
      <c r="R168" s="114" t="b">
        <v>1</v>
      </c>
      <c r="S168" s="114" t="b">
        <v>1</v>
      </c>
      <c r="T168" s="114" t="b">
        <v>1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1</v>
      </c>
      <c r="AJ168" s="114" t="b">
        <v>0</v>
      </c>
      <c r="AK168" s="114" t="b">
        <v>0</v>
      </c>
      <c r="AL168" s="115" t="str">
        <f t="shared" si="1"/>
        <v>14 dari 31 (45%)</v>
      </c>
    </row>
    <row r="169" ht="22.5" customHeight="1">
      <c r="A169" s="2">
        <v>168.0</v>
      </c>
      <c r="B169" s="11"/>
      <c r="C169" s="22">
        <v>59263.0</v>
      </c>
      <c r="D169" s="12" t="s">
        <v>51</v>
      </c>
      <c r="E169" s="12" t="s">
        <v>65</v>
      </c>
      <c r="F169" s="13"/>
      <c r="G169" s="114" t="b">
        <v>1</v>
      </c>
      <c r="H169" s="114" t="b">
        <v>1</v>
      </c>
      <c r="I169" s="114" t="b">
        <v>0</v>
      </c>
      <c r="J169" s="114" t="b">
        <v>0</v>
      </c>
      <c r="K169" s="114" t="b">
        <v>1</v>
      </c>
      <c r="L169" s="114" t="b">
        <v>1</v>
      </c>
      <c r="M169" s="114" t="b">
        <v>1</v>
      </c>
      <c r="N169" s="114" t="b">
        <v>1</v>
      </c>
      <c r="O169" s="114" t="b">
        <v>1</v>
      </c>
      <c r="P169" s="114" t="b">
        <v>1</v>
      </c>
      <c r="Q169" s="114" t="b">
        <v>0</v>
      </c>
      <c r="R169" s="114" t="b">
        <v>1</v>
      </c>
      <c r="S169" s="114" t="b">
        <v>1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0</v>
      </c>
      <c r="AJ169" s="114" t="b">
        <v>0</v>
      </c>
      <c r="AK169" s="114" t="b">
        <v>0</v>
      </c>
      <c r="AL169" s="115" t="str">
        <f t="shared" si="1"/>
        <v>10 dari 31 (32%)</v>
      </c>
    </row>
    <row r="170" ht="22.5" customHeight="1">
      <c r="A170" s="10">
        <v>169.0</v>
      </c>
      <c r="B170" s="11"/>
      <c r="C170" s="22">
        <v>56661.0</v>
      </c>
      <c r="D170" s="12" t="s">
        <v>63</v>
      </c>
      <c r="E170" s="12" t="s">
        <v>64</v>
      </c>
      <c r="F170" s="13"/>
      <c r="G170" s="114" t="b">
        <v>1</v>
      </c>
      <c r="H170" s="114" t="b">
        <v>1</v>
      </c>
      <c r="I170" s="114" t="b">
        <v>1</v>
      </c>
      <c r="J170" s="114" t="b">
        <v>1</v>
      </c>
      <c r="K170" s="114" t="b">
        <v>1</v>
      </c>
      <c r="L170" s="114" t="b">
        <v>1</v>
      </c>
      <c r="M170" s="114" t="b">
        <v>1</v>
      </c>
      <c r="N170" s="114" t="b">
        <v>1</v>
      </c>
      <c r="O170" s="114" t="b">
        <v>1</v>
      </c>
      <c r="P170" s="114" t="b">
        <v>1</v>
      </c>
      <c r="Q170" s="114" t="b">
        <v>1</v>
      </c>
      <c r="R170" s="114" t="b">
        <v>1</v>
      </c>
      <c r="S170" s="114" t="b">
        <v>1</v>
      </c>
      <c r="T170" s="114" t="b">
        <v>1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0</v>
      </c>
      <c r="AA170" s="114" t="b">
        <v>0</v>
      </c>
      <c r="AB170" s="114" t="b">
        <v>0</v>
      </c>
      <c r="AC170" s="114" t="b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1</v>
      </c>
      <c r="AJ170" s="114" t="b">
        <v>0</v>
      </c>
      <c r="AK170" s="114" t="b">
        <v>0</v>
      </c>
      <c r="AL170" s="115" t="str">
        <f t="shared" si="1"/>
        <v>15 dari 31 (48%)</v>
      </c>
    </row>
    <row r="171" ht="22.5" customHeight="1">
      <c r="A171" s="82">
        <v>170.0</v>
      </c>
      <c r="B171" s="83"/>
      <c r="C171" s="84">
        <v>61035.0</v>
      </c>
      <c r="D171" s="85" t="s">
        <v>144</v>
      </c>
      <c r="E171" s="85" t="s">
        <v>145</v>
      </c>
      <c r="F171" s="86" t="s">
        <v>105</v>
      </c>
      <c r="G171" s="116" t="b">
        <v>0</v>
      </c>
      <c r="H171" s="116" t="b">
        <v>0</v>
      </c>
      <c r="I171" s="116" t="b">
        <v>0</v>
      </c>
      <c r="J171" s="116" t="b">
        <v>0</v>
      </c>
      <c r="K171" s="116" t="b">
        <v>0</v>
      </c>
      <c r="L171" s="116" t="b">
        <v>0</v>
      </c>
      <c r="M171" s="116" t="b">
        <v>0</v>
      </c>
      <c r="N171" s="116" t="b">
        <v>0</v>
      </c>
      <c r="O171" s="116" t="b">
        <v>0</v>
      </c>
      <c r="P171" s="116" t="b">
        <v>0</v>
      </c>
      <c r="Q171" s="116" t="b">
        <v>0</v>
      </c>
      <c r="R171" s="116" t="b">
        <v>0</v>
      </c>
      <c r="S171" s="116" t="b">
        <v>0</v>
      </c>
      <c r="T171" s="116" t="b">
        <v>0</v>
      </c>
      <c r="U171" s="116" t="b">
        <v>0</v>
      </c>
      <c r="V171" s="116" t="b">
        <v>0</v>
      </c>
      <c r="W171" s="116" t="b">
        <v>0</v>
      </c>
      <c r="X171" s="116" t="b">
        <v>0</v>
      </c>
      <c r="Y171" s="116" t="b">
        <v>0</v>
      </c>
      <c r="Z171" s="116" t="b">
        <v>0</v>
      </c>
      <c r="AA171" s="116" t="b">
        <v>0</v>
      </c>
      <c r="AB171" s="116" t="b">
        <v>0</v>
      </c>
      <c r="AC171" s="116" t="b">
        <v>0</v>
      </c>
      <c r="AD171" s="116" t="b">
        <v>0</v>
      </c>
      <c r="AE171" s="116" t="b">
        <v>0</v>
      </c>
      <c r="AF171" s="116" t="b">
        <v>0</v>
      </c>
      <c r="AG171" s="116" t="b">
        <v>0</v>
      </c>
      <c r="AH171" s="116" t="b">
        <v>0</v>
      </c>
      <c r="AI171" s="116" t="b">
        <v>0</v>
      </c>
      <c r="AJ171" s="116" t="b">
        <v>0</v>
      </c>
      <c r="AK171" s="116" t="b">
        <v>0</v>
      </c>
      <c r="AL171" s="117" t="str">
        <f t="shared" si="1"/>
        <v>0 dari 31 (0%)</v>
      </c>
    </row>
    <row r="172" ht="22.5" customHeight="1">
      <c r="A172" s="2">
        <v>171.0</v>
      </c>
      <c r="B172" s="11"/>
      <c r="C172" s="20">
        <v>57124.0</v>
      </c>
      <c r="D172" s="12" t="s">
        <v>63</v>
      </c>
      <c r="E172" s="12" t="s">
        <v>64</v>
      </c>
      <c r="F172" s="13"/>
      <c r="G172" s="114" t="b">
        <v>1</v>
      </c>
      <c r="H172" s="114" t="b">
        <v>1</v>
      </c>
      <c r="I172" s="114" t="b">
        <v>1</v>
      </c>
      <c r="J172" s="114" t="b">
        <v>1</v>
      </c>
      <c r="K172" s="114" t="b">
        <v>1</v>
      </c>
      <c r="L172" s="114" t="b">
        <v>1</v>
      </c>
      <c r="M172" s="114" t="b">
        <v>1</v>
      </c>
      <c r="N172" s="114" t="b">
        <v>1</v>
      </c>
      <c r="O172" s="114" t="b">
        <v>1</v>
      </c>
      <c r="P172" s="114" t="b">
        <v>1</v>
      </c>
      <c r="Q172" s="114" t="b">
        <v>1</v>
      </c>
      <c r="R172" s="114" t="b">
        <v>1</v>
      </c>
      <c r="S172" s="114" t="b">
        <v>1</v>
      </c>
      <c r="T172" s="114" t="b">
        <v>1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0</v>
      </c>
      <c r="AJ172" s="114" t="b">
        <v>0</v>
      </c>
      <c r="AK172" s="114" t="b">
        <v>0</v>
      </c>
      <c r="AL172" s="115" t="str">
        <f t="shared" si="1"/>
        <v>14 dari 31 (45%)</v>
      </c>
    </row>
    <row r="173" ht="22.5" customHeight="1">
      <c r="A173" s="10">
        <v>172.0</v>
      </c>
      <c r="B173" s="11"/>
      <c r="C173" s="20">
        <v>61034.0</v>
      </c>
      <c r="D173" s="12" t="s">
        <v>39</v>
      </c>
      <c r="E173" s="12" t="s">
        <v>57</v>
      </c>
      <c r="F173" s="13"/>
      <c r="G173" s="114" t="b">
        <v>1</v>
      </c>
      <c r="H173" s="114" t="b">
        <v>1</v>
      </c>
      <c r="I173" s="114" t="b">
        <v>1</v>
      </c>
      <c r="J173" s="114" t="b">
        <v>1</v>
      </c>
      <c r="K173" s="114" t="b">
        <v>1</v>
      </c>
      <c r="L173" s="114" t="b">
        <v>1</v>
      </c>
      <c r="M173" s="114" t="b">
        <v>1</v>
      </c>
      <c r="N173" s="114" t="b">
        <v>1</v>
      </c>
      <c r="O173" s="114" t="b">
        <v>1</v>
      </c>
      <c r="P173" s="114" t="b">
        <v>1</v>
      </c>
      <c r="Q173" s="114" t="b">
        <v>1</v>
      </c>
      <c r="R173" s="114" t="b">
        <v>1</v>
      </c>
      <c r="S173" s="114" t="b">
        <v>1</v>
      </c>
      <c r="T173" s="114" t="b">
        <v>1</v>
      </c>
      <c r="U173" s="114" t="b">
        <v>0</v>
      </c>
      <c r="V173" s="114" t="b">
        <v>0</v>
      </c>
      <c r="W173" s="114" t="b">
        <v>0</v>
      </c>
      <c r="X173" s="114" t="b">
        <v>0</v>
      </c>
      <c r="Y173" s="114" t="b">
        <v>0</v>
      </c>
      <c r="Z173" s="114" t="b">
        <v>1</v>
      </c>
      <c r="AA173" s="114" t="b">
        <v>1</v>
      </c>
      <c r="AB173" s="114" t="b">
        <v>1</v>
      </c>
      <c r="AC173" s="114" t="b">
        <v>1</v>
      </c>
      <c r="AD173" s="114" t="b">
        <v>1</v>
      </c>
      <c r="AE173" s="114" t="b">
        <v>0</v>
      </c>
      <c r="AF173" s="114" t="b">
        <v>0</v>
      </c>
      <c r="AG173" s="114" t="b">
        <v>0</v>
      </c>
      <c r="AH173" s="114" t="b">
        <v>0</v>
      </c>
      <c r="AI173" s="114" t="b">
        <v>1</v>
      </c>
      <c r="AJ173" s="114" t="b">
        <v>0</v>
      </c>
      <c r="AK173" s="114" t="b">
        <v>0</v>
      </c>
      <c r="AL173" s="115" t="str">
        <f t="shared" si="1"/>
        <v>20 dari 31 (65%)</v>
      </c>
    </row>
    <row r="174" ht="22.5" customHeight="1">
      <c r="A174" s="10">
        <v>173.0</v>
      </c>
      <c r="B174" s="11"/>
      <c r="C174" s="20">
        <v>44665.0</v>
      </c>
      <c r="D174" s="12" t="s">
        <v>39</v>
      </c>
      <c r="E174" s="12" t="s">
        <v>57</v>
      </c>
      <c r="F174" s="13"/>
      <c r="G174" s="114" t="b">
        <v>1</v>
      </c>
      <c r="H174" s="114" t="b">
        <v>1</v>
      </c>
      <c r="I174" s="114" t="b">
        <v>1</v>
      </c>
      <c r="J174" s="114" t="b">
        <v>1</v>
      </c>
      <c r="K174" s="114" t="b">
        <v>1</v>
      </c>
      <c r="L174" s="114" t="b">
        <v>1</v>
      </c>
      <c r="M174" s="114" t="b">
        <v>1</v>
      </c>
      <c r="N174" s="114" t="b">
        <v>1</v>
      </c>
      <c r="O174" s="114" t="b">
        <v>1</v>
      </c>
      <c r="P174" s="114" t="b">
        <v>1</v>
      </c>
      <c r="Q174" s="114" t="b">
        <v>1</v>
      </c>
      <c r="R174" s="114" t="b">
        <v>1</v>
      </c>
      <c r="S174" s="114" t="b">
        <v>1</v>
      </c>
      <c r="T174" s="114" t="b">
        <v>1</v>
      </c>
      <c r="U174" s="114" t="b">
        <v>0</v>
      </c>
      <c r="V174" s="114" t="b">
        <v>0</v>
      </c>
      <c r="W174" s="114" t="b">
        <v>0</v>
      </c>
      <c r="X174" s="114" t="b">
        <v>0</v>
      </c>
      <c r="Y174" s="114" t="b">
        <v>0</v>
      </c>
      <c r="Z174" s="114" t="b">
        <v>0</v>
      </c>
      <c r="AA174" s="114" t="b">
        <v>0</v>
      </c>
      <c r="AB174" s="114" t="b">
        <v>0</v>
      </c>
      <c r="AC174" s="114" t="b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 t="b">
        <v>0</v>
      </c>
      <c r="AI174" s="114" t="b">
        <v>1</v>
      </c>
      <c r="AJ174" s="114" t="b">
        <v>0</v>
      </c>
      <c r="AK174" s="114" t="b">
        <v>0</v>
      </c>
      <c r="AL174" s="115" t="str">
        <f t="shared" si="1"/>
        <v>15 dari 31 (48%)</v>
      </c>
    </row>
    <row r="175" ht="22.5" customHeight="1">
      <c r="A175" s="2">
        <v>174.0</v>
      </c>
      <c r="B175" s="11"/>
      <c r="C175" s="20">
        <v>59701.0</v>
      </c>
      <c r="D175" s="12" t="s">
        <v>63</v>
      </c>
      <c r="E175" s="12" t="s">
        <v>64</v>
      </c>
      <c r="F175" s="13"/>
      <c r="G175" s="114" t="b">
        <v>1</v>
      </c>
      <c r="H175" s="114" t="b">
        <v>1</v>
      </c>
      <c r="I175" s="114" t="b">
        <v>1</v>
      </c>
      <c r="J175" s="114" t="b">
        <v>1</v>
      </c>
      <c r="K175" s="114" t="b">
        <v>1</v>
      </c>
      <c r="L175" s="114" t="b">
        <v>1</v>
      </c>
      <c r="M175" s="114" t="b">
        <v>1</v>
      </c>
      <c r="N175" s="114" t="b">
        <v>1</v>
      </c>
      <c r="O175" s="114" t="b">
        <v>1</v>
      </c>
      <c r="P175" s="114" t="b">
        <v>1</v>
      </c>
      <c r="Q175" s="114" t="b">
        <v>1</v>
      </c>
      <c r="R175" s="114" t="b">
        <v>0</v>
      </c>
      <c r="S175" s="114" t="b">
        <v>1</v>
      </c>
      <c r="T175" s="114" t="b">
        <v>1</v>
      </c>
      <c r="U175" s="114" t="b">
        <v>0</v>
      </c>
      <c r="V175" s="114" t="b">
        <v>0</v>
      </c>
      <c r="W175" s="114" t="b">
        <v>0</v>
      </c>
      <c r="X175" s="114" t="b">
        <v>0</v>
      </c>
      <c r="Y175" s="114" t="b">
        <v>0</v>
      </c>
      <c r="Z175" s="114" t="b">
        <v>0</v>
      </c>
      <c r="AA175" s="114" t="b">
        <v>0</v>
      </c>
      <c r="AB175" s="114" t="b">
        <v>0</v>
      </c>
      <c r="AC175" s="114" t="b">
        <v>0</v>
      </c>
      <c r="AD175" s="114" t="b">
        <v>0</v>
      </c>
      <c r="AE175" s="114" t="b">
        <v>0</v>
      </c>
      <c r="AF175" s="114" t="b">
        <v>0</v>
      </c>
      <c r="AG175" s="114" t="b">
        <v>0</v>
      </c>
      <c r="AH175" s="114" t="b">
        <v>0</v>
      </c>
      <c r="AI175" s="114" t="b">
        <v>0</v>
      </c>
      <c r="AJ175" s="114" t="b">
        <v>0</v>
      </c>
      <c r="AK175" s="114" t="b">
        <v>0</v>
      </c>
      <c r="AL175" s="115" t="str">
        <f t="shared" si="1"/>
        <v>13 dari 31 (42%)</v>
      </c>
    </row>
    <row r="176" ht="22.5" customHeight="1">
      <c r="A176" s="10">
        <v>175.0</v>
      </c>
      <c r="B176" s="11"/>
      <c r="C176" s="20">
        <v>61036.0</v>
      </c>
      <c r="D176" s="12" t="s">
        <v>101</v>
      </c>
      <c r="E176" s="12" t="s">
        <v>122</v>
      </c>
      <c r="F176" s="13"/>
      <c r="G176" s="114" t="b">
        <v>1</v>
      </c>
      <c r="H176" s="114" t="b">
        <v>1</v>
      </c>
      <c r="I176" s="114" t="b">
        <v>1</v>
      </c>
      <c r="J176" s="114" t="b">
        <v>1</v>
      </c>
      <c r="K176" s="114" t="b">
        <v>1</v>
      </c>
      <c r="L176" s="114" t="b">
        <v>1</v>
      </c>
      <c r="M176" s="114" t="b">
        <v>1</v>
      </c>
      <c r="N176" s="114" t="b">
        <v>1</v>
      </c>
      <c r="O176" s="114" t="b">
        <v>1</v>
      </c>
      <c r="P176" s="114" t="b">
        <v>1</v>
      </c>
      <c r="Q176" s="114" t="b">
        <v>1</v>
      </c>
      <c r="R176" s="114" t="b">
        <v>1</v>
      </c>
      <c r="S176" s="114" t="b">
        <v>1</v>
      </c>
      <c r="T176" s="114" t="b">
        <v>1</v>
      </c>
      <c r="U176" s="114" t="b">
        <v>0</v>
      </c>
      <c r="V176" s="114" t="b">
        <v>0</v>
      </c>
      <c r="W176" s="114" t="b">
        <v>0</v>
      </c>
      <c r="X176" s="114" t="b">
        <v>0</v>
      </c>
      <c r="Y176" s="114" t="b">
        <v>0</v>
      </c>
      <c r="Z176" s="114" t="b">
        <v>0</v>
      </c>
      <c r="AA176" s="114" t="b">
        <v>0</v>
      </c>
      <c r="AB176" s="114" t="b">
        <v>0</v>
      </c>
      <c r="AC176" s="114" t="b">
        <v>0</v>
      </c>
      <c r="AD176" s="114" t="b">
        <v>0</v>
      </c>
      <c r="AE176" s="114" t="b">
        <v>0</v>
      </c>
      <c r="AF176" s="114" t="b">
        <v>0</v>
      </c>
      <c r="AG176" s="114" t="b">
        <v>0</v>
      </c>
      <c r="AH176" s="114" t="b">
        <v>0</v>
      </c>
      <c r="AI176" s="114" t="b">
        <v>0</v>
      </c>
      <c r="AJ176" s="114" t="b">
        <v>0</v>
      </c>
      <c r="AK176" s="114" t="b">
        <v>0</v>
      </c>
      <c r="AL176" s="115" t="str">
        <f t="shared" si="1"/>
        <v>14 dari 31 (45%)</v>
      </c>
    </row>
    <row r="177" ht="22.5" customHeight="1">
      <c r="A177" s="61">
        <v>176.0</v>
      </c>
      <c r="B177" s="62"/>
      <c r="C177" s="32">
        <v>60888.0</v>
      </c>
      <c r="D177" s="51" t="s">
        <v>63</v>
      </c>
      <c r="E177" s="51" t="s">
        <v>64</v>
      </c>
      <c r="F177" s="53"/>
      <c r="G177" s="118" t="b">
        <v>0</v>
      </c>
      <c r="H177" s="118" t="b">
        <v>0</v>
      </c>
      <c r="I177" s="118" t="b">
        <v>0</v>
      </c>
      <c r="J177" s="118" t="b">
        <v>0</v>
      </c>
      <c r="K177" s="118" t="b">
        <v>0</v>
      </c>
      <c r="L177" s="118" t="b">
        <v>0</v>
      </c>
      <c r="M177" s="118" t="b">
        <v>0</v>
      </c>
      <c r="N177" s="118" t="b">
        <v>0</v>
      </c>
      <c r="O177" s="118" t="b">
        <v>0</v>
      </c>
      <c r="P177" s="118" t="b">
        <v>0</v>
      </c>
      <c r="Q177" s="118" t="b">
        <v>0</v>
      </c>
      <c r="R177" s="118" t="b">
        <v>0</v>
      </c>
      <c r="S177" s="118" t="b">
        <v>0</v>
      </c>
      <c r="T177" s="118" t="b">
        <v>0</v>
      </c>
      <c r="U177" s="118" t="b">
        <v>0</v>
      </c>
      <c r="V177" s="118" t="b">
        <v>0</v>
      </c>
      <c r="W177" s="118" t="b">
        <v>0</v>
      </c>
      <c r="X177" s="118" t="b">
        <v>0</v>
      </c>
      <c r="Y177" s="118" t="b">
        <v>0</v>
      </c>
      <c r="Z177" s="118" t="b">
        <v>0</v>
      </c>
      <c r="AA177" s="118" t="b">
        <v>0</v>
      </c>
      <c r="AB177" s="118" t="b">
        <v>0</v>
      </c>
      <c r="AC177" s="118" t="b">
        <v>0</v>
      </c>
      <c r="AD177" s="118" t="b">
        <v>0</v>
      </c>
      <c r="AE177" s="118" t="b">
        <v>0</v>
      </c>
      <c r="AF177" s="118" t="b">
        <v>0</v>
      </c>
      <c r="AG177" s="118" t="b">
        <v>0</v>
      </c>
      <c r="AH177" s="118" t="b">
        <v>0</v>
      </c>
      <c r="AI177" s="118" t="b">
        <v>0</v>
      </c>
      <c r="AJ177" s="118" t="b">
        <v>0</v>
      </c>
      <c r="AK177" s="118" t="b">
        <v>0</v>
      </c>
      <c r="AL177" s="119" t="str">
        <f t="shared" si="1"/>
        <v>0 dari 31 (0%)</v>
      </c>
    </row>
    <row r="178" ht="22.5" customHeight="1">
      <c r="A178" s="2">
        <v>177.0</v>
      </c>
      <c r="B178" s="11"/>
      <c r="C178" s="22">
        <v>60037.0</v>
      </c>
      <c r="D178" s="12" t="s">
        <v>63</v>
      </c>
      <c r="E178" s="12" t="s">
        <v>72</v>
      </c>
      <c r="F178" s="13"/>
      <c r="G178" s="114" t="b">
        <v>1</v>
      </c>
      <c r="H178" s="114" t="b">
        <v>1</v>
      </c>
      <c r="I178" s="114" t="b">
        <v>1</v>
      </c>
      <c r="J178" s="114" t="b">
        <v>1</v>
      </c>
      <c r="K178" s="114" t="b">
        <v>1</v>
      </c>
      <c r="L178" s="114" t="b">
        <v>1</v>
      </c>
      <c r="M178" s="114" t="b">
        <v>1</v>
      </c>
      <c r="N178" s="114" t="b">
        <v>1</v>
      </c>
      <c r="O178" s="114" t="b">
        <v>1</v>
      </c>
      <c r="P178" s="114" t="b">
        <v>1</v>
      </c>
      <c r="Q178" s="114" t="b">
        <v>1</v>
      </c>
      <c r="R178" s="114" t="b">
        <v>1</v>
      </c>
      <c r="S178" s="114" t="b">
        <v>1</v>
      </c>
      <c r="T178" s="114" t="b">
        <v>1</v>
      </c>
      <c r="U178" s="114" t="b">
        <v>0</v>
      </c>
      <c r="V178" s="114" t="b">
        <v>0</v>
      </c>
      <c r="W178" s="114" t="b">
        <v>0</v>
      </c>
      <c r="X178" s="114" t="b">
        <v>0</v>
      </c>
      <c r="Y178" s="114" t="b">
        <v>0</v>
      </c>
      <c r="Z178" s="114" t="b">
        <v>0</v>
      </c>
      <c r="AA178" s="114" t="b">
        <v>0</v>
      </c>
      <c r="AB178" s="114" t="b">
        <v>0</v>
      </c>
      <c r="AC178" s="114" t="b">
        <v>0</v>
      </c>
      <c r="AD178" s="114" t="b">
        <v>0</v>
      </c>
      <c r="AE178" s="114" t="b">
        <v>0</v>
      </c>
      <c r="AF178" s="114" t="b">
        <v>0</v>
      </c>
      <c r="AG178" s="114" t="b">
        <v>0</v>
      </c>
      <c r="AH178" s="114" t="b">
        <v>0</v>
      </c>
      <c r="AI178" s="114" t="b">
        <v>1</v>
      </c>
      <c r="AJ178" s="114" t="b">
        <v>0</v>
      </c>
      <c r="AK178" s="114" t="b">
        <v>0</v>
      </c>
      <c r="AL178" s="115" t="str">
        <f t="shared" si="1"/>
        <v>15 dari 31 (48%)</v>
      </c>
    </row>
    <row r="179" ht="22.5" customHeight="1">
      <c r="A179" s="10">
        <v>178.0</v>
      </c>
      <c r="B179" s="11"/>
      <c r="C179" s="22">
        <v>60325.0</v>
      </c>
      <c r="D179" s="12" t="s">
        <v>63</v>
      </c>
      <c r="E179" s="12" t="s">
        <v>72</v>
      </c>
      <c r="F179" s="13"/>
      <c r="G179" s="114" t="b">
        <v>1</v>
      </c>
      <c r="H179" s="114" t="b">
        <v>1</v>
      </c>
      <c r="I179" s="114" t="b">
        <v>1</v>
      </c>
      <c r="J179" s="114" t="b">
        <v>1</v>
      </c>
      <c r="K179" s="114" t="b">
        <v>1</v>
      </c>
      <c r="L179" s="114" t="b">
        <v>1</v>
      </c>
      <c r="M179" s="114" t="b">
        <v>1</v>
      </c>
      <c r="N179" s="114" t="b">
        <v>1</v>
      </c>
      <c r="O179" s="114" t="b">
        <v>1</v>
      </c>
      <c r="P179" s="114" t="b">
        <v>1</v>
      </c>
      <c r="Q179" s="114" t="b">
        <v>1</v>
      </c>
      <c r="R179" s="114" t="b">
        <v>1</v>
      </c>
      <c r="S179" s="114" t="b">
        <v>1</v>
      </c>
      <c r="T179" s="114" t="b">
        <v>1</v>
      </c>
      <c r="U179" s="114" t="b">
        <v>0</v>
      </c>
      <c r="V179" s="114" t="b">
        <v>0</v>
      </c>
      <c r="W179" s="114" t="b">
        <v>0</v>
      </c>
      <c r="X179" s="114" t="b">
        <v>0</v>
      </c>
      <c r="Y179" s="114" t="b">
        <v>0</v>
      </c>
      <c r="Z179" s="114" t="b">
        <v>0</v>
      </c>
      <c r="AA179" s="114" t="b">
        <v>0</v>
      </c>
      <c r="AB179" s="114" t="b">
        <v>0</v>
      </c>
      <c r="AC179" s="114" t="b">
        <v>0</v>
      </c>
      <c r="AD179" s="114" t="b">
        <v>0</v>
      </c>
      <c r="AE179" s="114" t="b">
        <v>0</v>
      </c>
      <c r="AF179" s="114" t="b">
        <v>0</v>
      </c>
      <c r="AG179" s="114" t="b">
        <v>0</v>
      </c>
      <c r="AH179" s="114" t="b">
        <v>0</v>
      </c>
      <c r="AI179" s="114" t="b">
        <v>1</v>
      </c>
      <c r="AJ179" s="114" t="b">
        <v>0</v>
      </c>
      <c r="AK179" s="114" t="b">
        <v>0</v>
      </c>
      <c r="AL179" s="115" t="str">
        <f t="shared" si="1"/>
        <v>15 dari 31 (48%)</v>
      </c>
    </row>
    <row r="180" ht="22.5" customHeight="1">
      <c r="A180" s="10">
        <v>179.0</v>
      </c>
      <c r="B180" s="11"/>
      <c r="C180" s="22">
        <v>28884.0</v>
      </c>
      <c r="D180" s="12" t="s">
        <v>40</v>
      </c>
      <c r="E180" s="12" t="s">
        <v>43</v>
      </c>
      <c r="F180" s="13"/>
      <c r="G180" s="114" t="b">
        <v>1</v>
      </c>
      <c r="H180" s="114" t="b">
        <v>1</v>
      </c>
      <c r="I180" s="114" t="b">
        <v>1</v>
      </c>
      <c r="J180" s="114" t="b">
        <v>1</v>
      </c>
      <c r="K180" s="114" t="b">
        <v>1</v>
      </c>
      <c r="L180" s="114" t="b">
        <v>1</v>
      </c>
      <c r="M180" s="114" t="b">
        <v>1</v>
      </c>
      <c r="N180" s="114" t="b">
        <v>1</v>
      </c>
      <c r="O180" s="114" t="b">
        <v>1</v>
      </c>
      <c r="P180" s="114" t="b">
        <v>1</v>
      </c>
      <c r="Q180" s="114" t="b">
        <v>1</v>
      </c>
      <c r="R180" s="114" t="b">
        <v>1</v>
      </c>
      <c r="S180" s="114" t="b">
        <v>1</v>
      </c>
      <c r="T180" s="114" t="b">
        <v>0</v>
      </c>
      <c r="U180" s="114" t="b">
        <v>0</v>
      </c>
      <c r="V180" s="114" t="b">
        <v>0</v>
      </c>
      <c r="W180" s="114" t="b">
        <v>0</v>
      </c>
      <c r="X180" s="114" t="b">
        <v>0</v>
      </c>
      <c r="Y180" s="114" t="b">
        <v>0</v>
      </c>
      <c r="Z180" s="114" t="b">
        <v>0</v>
      </c>
      <c r="AA180" s="114" t="b">
        <v>0</v>
      </c>
      <c r="AB180" s="114" t="b">
        <v>0</v>
      </c>
      <c r="AC180" s="114" t="b">
        <v>0</v>
      </c>
      <c r="AD180" s="114" t="b">
        <v>0</v>
      </c>
      <c r="AE180" s="114" t="b">
        <v>0</v>
      </c>
      <c r="AF180" s="114" t="b">
        <v>0</v>
      </c>
      <c r="AG180" s="114" t="b">
        <v>0</v>
      </c>
      <c r="AH180" s="114" t="b">
        <v>0</v>
      </c>
      <c r="AI180" s="114" t="b">
        <v>1</v>
      </c>
      <c r="AJ180" s="114" t="b">
        <v>0</v>
      </c>
      <c r="AK180" s="114" t="b">
        <v>0</v>
      </c>
      <c r="AL180" s="115" t="str">
        <f t="shared" si="1"/>
        <v>14 dari 31 (45%)</v>
      </c>
    </row>
    <row r="181" ht="22.5" customHeight="1">
      <c r="A181" s="2">
        <v>180.0</v>
      </c>
      <c r="B181" s="11"/>
      <c r="C181" s="22">
        <v>59933.0</v>
      </c>
      <c r="D181" s="12" t="s">
        <v>68</v>
      </c>
      <c r="E181" s="12" t="s">
        <v>109</v>
      </c>
      <c r="F181" s="13"/>
      <c r="G181" s="114" t="b">
        <v>1</v>
      </c>
      <c r="H181" s="114" t="b">
        <v>1</v>
      </c>
      <c r="I181" s="114" t="b">
        <v>0</v>
      </c>
      <c r="J181" s="114" t="b">
        <v>1</v>
      </c>
      <c r="K181" s="114" t="b">
        <v>1</v>
      </c>
      <c r="L181" s="114" t="b">
        <v>1</v>
      </c>
      <c r="M181" s="114" t="b">
        <v>1</v>
      </c>
      <c r="N181" s="114" t="b">
        <v>1</v>
      </c>
      <c r="O181" s="114" t="b">
        <v>1</v>
      </c>
      <c r="P181" s="114" t="b">
        <v>1</v>
      </c>
      <c r="Q181" s="114" t="b">
        <v>1</v>
      </c>
      <c r="R181" s="114" t="b">
        <v>1</v>
      </c>
      <c r="S181" s="114" t="b">
        <v>1</v>
      </c>
      <c r="T181" s="114" t="b">
        <v>1</v>
      </c>
      <c r="U181" s="114" t="b">
        <v>0</v>
      </c>
      <c r="V181" s="114" t="b">
        <v>0</v>
      </c>
      <c r="W181" s="114" t="b">
        <v>0</v>
      </c>
      <c r="X181" s="114" t="b">
        <v>0</v>
      </c>
      <c r="Y181" s="114" t="b">
        <v>0</v>
      </c>
      <c r="Z181" s="114" t="b">
        <v>0</v>
      </c>
      <c r="AA181" s="114" t="b">
        <v>0</v>
      </c>
      <c r="AB181" s="114" t="b">
        <v>0</v>
      </c>
      <c r="AC181" s="114" t="b">
        <v>0</v>
      </c>
      <c r="AD181" s="114" t="b">
        <v>0</v>
      </c>
      <c r="AE181" s="114" t="b">
        <v>0</v>
      </c>
      <c r="AF181" s="114" t="b">
        <v>0</v>
      </c>
      <c r="AG181" s="114" t="b">
        <v>0</v>
      </c>
      <c r="AH181" s="114" t="b">
        <v>0</v>
      </c>
      <c r="AI181" s="114" t="b">
        <v>1</v>
      </c>
      <c r="AJ181" s="114" t="b">
        <v>0</v>
      </c>
      <c r="AK181" s="114" t="b">
        <v>0</v>
      </c>
      <c r="AL181" s="115" t="str">
        <f t="shared" si="1"/>
        <v>14 dari 31 (45%)</v>
      </c>
    </row>
    <row r="182" ht="22.5" customHeight="1">
      <c r="A182" s="10">
        <v>181.0</v>
      </c>
      <c r="B182" s="11"/>
      <c r="C182" s="20">
        <v>61038.0</v>
      </c>
      <c r="D182" s="12" t="s">
        <v>54</v>
      </c>
      <c r="E182" s="12" t="s">
        <v>55</v>
      </c>
      <c r="F182" s="13"/>
      <c r="G182" s="114" t="b">
        <v>1</v>
      </c>
      <c r="H182" s="114" t="b">
        <v>1</v>
      </c>
      <c r="I182" s="114" t="b">
        <v>1</v>
      </c>
      <c r="J182" s="114" t="b">
        <v>1</v>
      </c>
      <c r="K182" s="114" t="b">
        <v>1</v>
      </c>
      <c r="L182" s="114" t="b">
        <v>1</v>
      </c>
      <c r="M182" s="114" t="b">
        <v>1</v>
      </c>
      <c r="N182" s="114" t="b">
        <v>1</v>
      </c>
      <c r="O182" s="114" t="b">
        <v>1</v>
      </c>
      <c r="P182" s="114" t="b">
        <v>1</v>
      </c>
      <c r="Q182" s="114" t="b">
        <v>1</v>
      </c>
      <c r="R182" s="114" t="b">
        <v>1</v>
      </c>
      <c r="S182" s="114" t="b">
        <v>1</v>
      </c>
      <c r="T182" s="114" t="b">
        <v>1</v>
      </c>
      <c r="U182" s="114" t="b">
        <v>0</v>
      </c>
      <c r="V182" s="114" t="b">
        <v>0</v>
      </c>
      <c r="W182" s="114" t="b">
        <v>0</v>
      </c>
      <c r="X182" s="114" t="b">
        <v>0</v>
      </c>
      <c r="Y182" s="114" t="b">
        <v>0</v>
      </c>
      <c r="Z182" s="114" t="b">
        <v>0</v>
      </c>
      <c r="AA182" s="114" t="b">
        <v>0</v>
      </c>
      <c r="AB182" s="114" t="b">
        <v>0</v>
      </c>
      <c r="AC182" s="114" t="b">
        <v>0</v>
      </c>
      <c r="AD182" s="114" t="b">
        <v>0</v>
      </c>
      <c r="AE182" s="114" t="b">
        <v>0</v>
      </c>
      <c r="AF182" s="114" t="b">
        <v>0</v>
      </c>
      <c r="AG182" s="114" t="b">
        <v>0</v>
      </c>
      <c r="AH182" s="114" t="b">
        <v>0</v>
      </c>
      <c r="AI182" s="114" t="b">
        <v>1</v>
      </c>
      <c r="AJ182" s="114" t="b">
        <v>0</v>
      </c>
      <c r="AK182" s="114" t="b">
        <v>0</v>
      </c>
      <c r="AL182" s="115" t="str">
        <f t="shared" si="1"/>
        <v>15 dari 31 (48%)</v>
      </c>
    </row>
    <row r="183" ht="22.5" customHeight="1">
      <c r="A183" s="10">
        <v>182.0</v>
      </c>
      <c r="B183" s="11"/>
      <c r="C183" s="20">
        <v>61039.0</v>
      </c>
      <c r="D183" s="12" t="s">
        <v>63</v>
      </c>
      <c r="E183" s="12" t="s">
        <v>72</v>
      </c>
      <c r="F183" s="13"/>
      <c r="G183" s="114" t="b">
        <v>1</v>
      </c>
      <c r="H183" s="114" t="b">
        <v>1</v>
      </c>
      <c r="I183" s="114" t="b">
        <v>1</v>
      </c>
      <c r="J183" s="114" t="b">
        <v>1</v>
      </c>
      <c r="K183" s="114" t="b">
        <v>1</v>
      </c>
      <c r="L183" s="114" t="b">
        <v>1</v>
      </c>
      <c r="M183" s="114" t="b">
        <v>1</v>
      </c>
      <c r="N183" s="114" t="b">
        <v>1</v>
      </c>
      <c r="O183" s="114" t="b">
        <v>1</v>
      </c>
      <c r="P183" s="114" t="b">
        <v>1</v>
      </c>
      <c r="Q183" s="114" t="b">
        <v>1</v>
      </c>
      <c r="R183" s="114" t="b">
        <v>1</v>
      </c>
      <c r="S183" s="114" t="b">
        <v>1</v>
      </c>
      <c r="T183" s="114" t="b">
        <v>1</v>
      </c>
      <c r="U183" s="114" t="b">
        <v>0</v>
      </c>
      <c r="V183" s="114" t="b">
        <v>0</v>
      </c>
      <c r="W183" s="114" t="b">
        <v>1</v>
      </c>
      <c r="X183" s="114" t="b">
        <v>1</v>
      </c>
      <c r="Y183" s="114" t="b">
        <v>0</v>
      </c>
      <c r="Z183" s="114" t="b">
        <v>0</v>
      </c>
      <c r="AA183" s="114" t="b">
        <v>0</v>
      </c>
      <c r="AB183" s="114" t="b">
        <v>0</v>
      </c>
      <c r="AC183" s="114" t="b">
        <v>0</v>
      </c>
      <c r="AD183" s="114" t="b">
        <v>0</v>
      </c>
      <c r="AE183" s="114" t="b">
        <v>0</v>
      </c>
      <c r="AF183" s="114" t="b">
        <v>0</v>
      </c>
      <c r="AG183" s="114" t="b">
        <v>0</v>
      </c>
      <c r="AH183" s="114" t="b">
        <v>0</v>
      </c>
      <c r="AI183" s="114" t="b">
        <v>1</v>
      </c>
      <c r="AJ183" s="114" t="b">
        <v>0</v>
      </c>
      <c r="AK183" s="114" t="b">
        <v>0</v>
      </c>
      <c r="AL183" s="115" t="str">
        <f t="shared" si="1"/>
        <v>17 dari 31 (55%)</v>
      </c>
    </row>
    <row r="184" ht="22.5" customHeight="1">
      <c r="A184" s="2">
        <v>183.0</v>
      </c>
      <c r="B184" s="11"/>
      <c r="C184" s="20">
        <v>19226.0</v>
      </c>
      <c r="D184" s="12" t="s">
        <v>63</v>
      </c>
      <c r="E184" s="12" t="s">
        <v>73</v>
      </c>
      <c r="F184" s="13"/>
      <c r="G184" s="114" t="b">
        <v>1</v>
      </c>
      <c r="H184" s="114" t="b">
        <v>1</v>
      </c>
      <c r="I184" s="114" t="b">
        <v>1</v>
      </c>
      <c r="J184" s="114" t="b">
        <v>1</v>
      </c>
      <c r="K184" s="114" t="b">
        <v>1</v>
      </c>
      <c r="L184" s="114" t="b">
        <v>1</v>
      </c>
      <c r="M184" s="114" t="b">
        <v>1</v>
      </c>
      <c r="N184" s="114" t="b">
        <v>1</v>
      </c>
      <c r="O184" s="114" t="b">
        <v>1</v>
      </c>
      <c r="P184" s="114" t="b">
        <v>1</v>
      </c>
      <c r="Q184" s="114" t="b">
        <v>1</v>
      </c>
      <c r="R184" s="114" t="b">
        <v>1</v>
      </c>
      <c r="S184" s="114" t="b">
        <v>1</v>
      </c>
      <c r="T184" s="114" t="b">
        <v>1</v>
      </c>
      <c r="U184" s="114" t="b">
        <v>0</v>
      </c>
      <c r="V184" s="114" t="b">
        <v>0</v>
      </c>
      <c r="W184" s="114" t="b">
        <v>0</v>
      </c>
      <c r="X184" s="114" t="b">
        <v>0</v>
      </c>
      <c r="Y184" s="114" t="b">
        <v>0</v>
      </c>
      <c r="Z184" s="114" t="b">
        <v>0</v>
      </c>
      <c r="AA184" s="114" t="b">
        <v>0</v>
      </c>
      <c r="AB184" s="114" t="b">
        <v>0</v>
      </c>
      <c r="AC184" s="114" t="b">
        <v>0</v>
      </c>
      <c r="AD184" s="114" t="b">
        <v>0</v>
      </c>
      <c r="AE184" s="114" t="b">
        <v>0</v>
      </c>
      <c r="AF184" s="114" t="b">
        <v>0</v>
      </c>
      <c r="AG184" s="114" t="b">
        <v>0</v>
      </c>
      <c r="AH184" s="114" t="b">
        <v>0</v>
      </c>
      <c r="AI184" s="114" t="b">
        <v>1</v>
      </c>
      <c r="AJ184" s="114" t="b">
        <v>0</v>
      </c>
      <c r="AK184" s="114" t="b">
        <v>0</v>
      </c>
      <c r="AL184" s="115" t="str">
        <f t="shared" si="1"/>
        <v>15 dari 31 (48%)</v>
      </c>
    </row>
    <row r="185" ht="22.5" customHeight="1">
      <c r="A185" s="10">
        <v>184.0</v>
      </c>
      <c r="B185" s="11"/>
      <c r="C185" s="20">
        <v>60455.0</v>
      </c>
      <c r="D185" s="12" t="s">
        <v>39</v>
      </c>
      <c r="E185" s="12" t="s">
        <v>45</v>
      </c>
      <c r="F185" s="13"/>
      <c r="G185" s="114" t="b">
        <v>1</v>
      </c>
      <c r="H185" s="114" t="b">
        <v>1</v>
      </c>
      <c r="I185" s="114" t="b">
        <v>0</v>
      </c>
      <c r="J185" s="114" t="b">
        <v>1</v>
      </c>
      <c r="K185" s="114" t="b">
        <v>1</v>
      </c>
      <c r="L185" s="114" t="b">
        <v>1</v>
      </c>
      <c r="M185" s="114" t="b">
        <v>1</v>
      </c>
      <c r="N185" s="114" t="b">
        <v>1</v>
      </c>
      <c r="O185" s="114" t="b">
        <v>1</v>
      </c>
      <c r="P185" s="114" t="b">
        <v>1</v>
      </c>
      <c r="Q185" s="114" t="b">
        <v>1</v>
      </c>
      <c r="R185" s="114" t="b">
        <v>1</v>
      </c>
      <c r="S185" s="114" t="b">
        <v>1</v>
      </c>
      <c r="T185" s="114" t="b">
        <v>1</v>
      </c>
      <c r="U185" s="114" t="b">
        <v>0</v>
      </c>
      <c r="V185" s="114" t="b">
        <v>0</v>
      </c>
      <c r="W185" s="114" t="b">
        <v>0</v>
      </c>
      <c r="X185" s="114" t="b">
        <v>0</v>
      </c>
      <c r="Y185" s="114" t="b">
        <v>0</v>
      </c>
      <c r="Z185" s="114" t="b">
        <v>0</v>
      </c>
      <c r="AA185" s="114" t="b">
        <v>0</v>
      </c>
      <c r="AB185" s="114" t="b">
        <v>0</v>
      </c>
      <c r="AC185" s="114" t="b">
        <v>0</v>
      </c>
      <c r="AD185" s="114" t="b">
        <v>0</v>
      </c>
      <c r="AE185" s="114" t="b">
        <v>0</v>
      </c>
      <c r="AF185" s="114" t="b">
        <v>0</v>
      </c>
      <c r="AG185" s="114" t="b">
        <v>0</v>
      </c>
      <c r="AH185" s="114" t="b">
        <v>0</v>
      </c>
      <c r="AI185" s="114" t="b">
        <v>0</v>
      </c>
      <c r="AJ185" s="114" t="b">
        <v>0</v>
      </c>
      <c r="AK185" s="114" t="b">
        <v>0</v>
      </c>
      <c r="AL185" s="115" t="str">
        <f t="shared" si="1"/>
        <v>13 dari 31 (42%)</v>
      </c>
    </row>
    <row r="186" ht="22.5" customHeight="1">
      <c r="A186" s="10">
        <v>185.0</v>
      </c>
      <c r="B186" s="11"/>
      <c r="C186" s="20">
        <v>61037.0</v>
      </c>
      <c r="D186" s="12" t="s">
        <v>54</v>
      </c>
      <c r="E186" s="12" t="s">
        <v>55</v>
      </c>
      <c r="F186" s="13"/>
      <c r="G186" s="114" t="b">
        <v>1</v>
      </c>
      <c r="H186" s="114" t="b">
        <v>1</v>
      </c>
      <c r="I186" s="114" t="b">
        <v>1</v>
      </c>
      <c r="J186" s="114" t="b">
        <v>0</v>
      </c>
      <c r="K186" s="114" t="b">
        <v>1</v>
      </c>
      <c r="L186" s="114" t="b">
        <v>1</v>
      </c>
      <c r="M186" s="114" t="b">
        <v>1</v>
      </c>
      <c r="N186" s="114" t="b">
        <v>1</v>
      </c>
      <c r="O186" s="114" t="b">
        <v>1</v>
      </c>
      <c r="P186" s="114" t="b">
        <v>1</v>
      </c>
      <c r="Q186" s="114" t="b">
        <v>1</v>
      </c>
      <c r="R186" s="114" t="b">
        <v>1</v>
      </c>
      <c r="S186" s="114" t="b">
        <v>1</v>
      </c>
      <c r="T186" s="114" t="b">
        <v>1</v>
      </c>
      <c r="U186" s="114" t="b">
        <v>0</v>
      </c>
      <c r="V186" s="114" t="b">
        <v>0</v>
      </c>
      <c r="W186" s="114" t="b">
        <v>0</v>
      </c>
      <c r="X186" s="114" t="b">
        <v>0</v>
      </c>
      <c r="Y186" s="114" t="b">
        <v>0</v>
      </c>
      <c r="Z186" s="114" t="b">
        <v>0</v>
      </c>
      <c r="AA186" s="114" t="b">
        <v>0</v>
      </c>
      <c r="AB186" s="114" t="b">
        <v>0</v>
      </c>
      <c r="AC186" s="114" t="b">
        <v>0</v>
      </c>
      <c r="AD186" s="114" t="b">
        <v>0</v>
      </c>
      <c r="AE186" s="114" t="b">
        <v>0</v>
      </c>
      <c r="AF186" s="114" t="b">
        <v>0</v>
      </c>
      <c r="AG186" s="114" t="b">
        <v>0</v>
      </c>
      <c r="AH186" s="114" t="b">
        <v>0</v>
      </c>
      <c r="AI186" s="114" t="b">
        <v>1</v>
      </c>
      <c r="AJ186" s="114" t="b">
        <v>0</v>
      </c>
      <c r="AK186" s="114" t="b">
        <v>0</v>
      </c>
      <c r="AL186" s="115" t="str">
        <f t="shared" si="1"/>
        <v>14 dari 31 (45%)</v>
      </c>
    </row>
    <row r="187" ht="22.5" customHeight="1">
      <c r="A187" s="2">
        <v>186.0</v>
      </c>
      <c r="B187" s="11"/>
      <c r="C187" s="22">
        <v>60252.0</v>
      </c>
      <c r="D187" s="12" t="s">
        <v>39</v>
      </c>
      <c r="E187" s="12" t="s">
        <v>45</v>
      </c>
      <c r="F187" s="13"/>
      <c r="G187" s="114" t="b">
        <v>1</v>
      </c>
      <c r="H187" s="114" t="b">
        <v>1</v>
      </c>
      <c r="I187" s="114" t="b">
        <v>0</v>
      </c>
      <c r="J187" s="114" t="b">
        <v>1</v>
      </c>
      <c r="K187" s="114" t="b">
        <v>1</v>
      </c>
      <c r="L187" s="114" t="b">
        <v>1</v>
      </c>
      <c r="M187" s="114" t="b">
        <v>1</v>
      </c>
      <c r="N187" s="114" t="b">
        <v>1</v>
      </c>
      <c r="O187" s="114" t="b">
        <v>1</v>
      </c>
      <c r="P187" s="114" t="b">
        <v>1</v>
      </c>
      <c r="Q187" s="114" t="b">
        <v>1</v>
      </c>
      <c r="R187" s="114" t="b">
        <v>1</v>
      </c>
      <c r="S187" s="114" t="b">
        <v>1</v>
      </c>
      <c r="T187" s="114" t="b">
        <v>1</v>
      </c>
      <c r="U187" s="114" t="b">
        <v>0</v>
      </c>
      <c r="V187" s="114" t="b">
        <v>0</v>
      </c>
      <c r="W187" s="114" t="b">
        <v>0</v>
      </c>
      <c r="X187" s="114" t="b">
        <v>0</v>
      </c>
      <c r="Y187" s="114" t="b">
        <v>0</v>
      </c>
      <c r="Z187" s="114" t="b">
        <v>0</v>
      </c>
      <c r="AA187" s="114" t="b">
        <v>0</v>
      </c>
      <c r="AB187" s="114" t="b">
        <v>0</v>
      </c>
      <c r="AC187" s="114" t="b">
        <v>0</v>
      </c>
      <c r="AD187" s="114" t="b">
        <v>0</v>
      </c>
      <c r="AE187" s="114" t="b">
        <v>0</v>
      </c>
      <c r="AF187" s="114" t="b">
        <v>0</v>
      </c>
      <c r="AG187" s="114" t="b">
        <v>0</v>
      </c>
      <c r="AH187" s="114" t="b">
        <v>0</v>
      </c>
      <c r="AI187" s="114" t="b">
        <v>1</v>
      </c>
      <c r="AJ187" s="114" t="b">
        <v>0</v>
      </c>
      <c r="AK187" s="114" t="b">
        <v>0</v>
      </c>
      <c r="AL187" s="115" t="str">
        <f t="shared" si="1"/>
        <v>14 dari 31 (45%)</v>
      </c>
    </row>
    <row r="188" ht="22.5" customHeight="1">
      <c r="A188" s="10">
        <v>187.0</v>
      </c>
      <c r="B188" s="11"/>
      <c r="C188" s="22">
        <v>60601.0</v>
      </c>
      <c r="D188" s="12" t="s">
        <v>63</v>
      </c>
      <c r="E188" s="12" t="s">
        <v>64</v>
      </c>
      <c r="F188" s="13"/>
      <c r="G188" s="114" t="b">
        <v>1</v>
      </c>
      <c r="H188" s="114" t="b">
        <v>1</v>
      </c>
      <c r="I188" s="114" t="b">
        <v>1</v>
      </c>
      <c r="J188" s="114" t="b">
        <v>1</v>
      </c>
      <c r="K188" s="114" t="b">
        <v>1</v>
      </c>
      <c r="L188" s="114" t="b">
        <v>1</v>
      </c>
      <c r="M188" s="114" t="b">
        <v>1</v>
      </c>
      <c r="N188" s="114" t="b">
        <v>1</v>
      </c>
      <c r="O188" s="114" t="b">
        <v>1</v>
      </c>
      <c r="P188" s="114" t="b">
        <v>1</v>
      </c>
      <c r="Q188" s="114" t="b">
        <v>1</v>
      </c>
      <c r="R188" s="114" t="b">
        <v>1</v>
      </c>
      <c r="S188" s="114" t="b">
        <v>1</v>
      </c>
      <c r="T188" s="114" t="b">
        <v>0</v>
      </c>
      <c r="U188" s="114" t="b">
        <v>0</v>
      </c>
      <c r="V188" s="114" t="b">
        <v>0</v>
      </c>
      <c r="W188" s="114" t="b">
        <v>0</v>
      </c>
      <c r="X188" s="114" t="b">
        <v>0</v>
      </c>
      <c r="Y188" s="114" t="b">
        <v>0</v>
      </c>
      <c r="Z188" s="114" t="b">
        <v>0</v>
      </c>
      <c r="AA188" s="114" t="b">
        <v>0</v>
      </c>
      <c r="AB188" s="114" t="b">
        <v>0</v>
      </c>
      <c r="AC188" s="114" t="b">
        <v>0</v>
      </c>
      <c r="AD188" s="114" t="b">
        <v>0</v>
      </c>
      <c r="AE188" s="114" t="b">
        <v>0</v>
      </c>
      <c r="AF188" s="114" t="b">
        <v>0</v>
      </c>
      <c r="AG188" s="114" t="b">
        <v>0</v>
      </c>
      <c r="AH188" s="114" t="b">
        <v>0</v>
      </c>
      <c r="AI188" s="114" t="b">
        <v>1</v>
      </c>
      <c r="AJ188" s="114" t="b">
        <v>0</v>
      </c>
      <c r="AK188" s="114" t="b">
        <v>0</v>
      </c>
      <c r="AL188" s="115" t="str">
        <f t="shared" si="1"/>
        <v>14 dari 31 (45%)</v>
      </c>
    </row>
    <row r="189" ht="22.5" customHeight="1">
      <c r="A189" s="10">
        <v>188.0</v>
      </c>
      <c r="B189" s="11"/>
      <c r="C189" s="22">
        <v>60432.0</v>
      </c>
      <c r="D189" s="12" t="s">
        <v>51</v>
      </c>
      <c r="E189" s="12" t="s">
        <v>140</v>
      </c>
      <c r="F189" s="13"/>
      <c r="G189" s="114" t="b">
        <v>1</v>
      </c>
      <c r="H189" s="114" t="b">
        <v>1</v>
      </c>
      <c r="I189" s="114" t="b">
        <v>0</v>
      </c>
      <c r="J189" s="114" t="b">
        <v>1</v>
      </c>
      <c r="K189" s="114" t="b">
        <v>1</v>
      </c>
      <c r="L189" s="114" t="b">
        <v>1</v>
      </c>
      <c r="M189" s="114" t="b">
        <v>1</v>
      </c>
      <c r="N189" s="114" t="b">
        <v>1</v>
      </c>
      <c r="O189" s="114" t="b">
        <v>1</v>
      </c>
      <c r="P189" s="114" t="b">
        <v>1</v>
      </c>
      <c r="Q189" s="114" t="b">
        <v>1</v>
      </c>
      <c r="R189" s="114" t="b">
        <v>1</v>
      </c>
      <c r="S189" s="114" t="b">
        <v>1</v>
      </c>
      <c r="T189" s="114" t="b">
        <v>0</v>
      </c>
      <c r="U189" s="114" t="b">
        <v>0</v>
      </c>
      <c r="V189" s="114" t="b">
        <v>0</v>
      </c>
      <c r="W189" s="114" t="b">
        <v>0</v>
      </c>
      <c r="X189" s="114" t="b">
        <v>0</v>
      </c>
      <c r="Y189" s="114" t="b">
        <v>0</v>
      </c>
      <c r="Z189" s="114" t="b">
        <v>0</v>
      </c>
      <c r="AA189" s="114" t="b">
        <v>0</v>
      </c>
      <c r="AB189" s="114" t="b">
        <v>0</v>
      </c>
      <c r="AC189" s="114" t="b">
        <v>0</v>
      </c>
      <c r="AD189" s="114" t="b">
        <v>0</v>
      </c>
      <c r="AE189" s="114" t="b">
        <v>0</v>
      </c>
      <c r="AF189" s="114" t="b">
        <v>0</v>
      </c>
      <c r="AG189" s="114" t="b">
        <v>0</v>
      </c>
      <c r="AH189" s="114" t="b">
        <v>0</v>
      </c>
      <c r="AI189" s="114" t="b">
        <v>0</v>
      </c>
      <c r="AJ189" s="114" t="b">
        <v>0</v>
      </c>
      <c r="AK189" s="114" t="b">
        <v>0</v>
      </c>
      <c r="AL189" s="115" t="str">
        <f t="shared" si="1"/>
        <v>12 dari 31 (39%)</v>
      </c>
    </row>
    <row r="190" ht="22.5" customHeight="1">
      <c r="A190" s="2">
        <v>189.0</v>
      </c>
      <c r="B190" s="11"/>
      <c r="C190" s="22">
        <v>61030.0</v>
      </c>
      <c r="D190" s="12" t="s">
        <v>63</v>
      </c>
      <c r="E190" s="12" t="s">
        <v>64</v>
      </c>
      <c r="F190" s="13"/>
      <c r="G190" s="114" t="b">
        <v>1</v>
      </c>
      <c r="H190" s="114" t="b">
        <v>1</v>
      </c>
      <c r="I190" s="114" t="b">
        <v>1</v>
      </c>
      <c r="J190" s="114" t="b">
        <v>1</v>
      </c>
      <c r="K190" s="114" t="b">
        <v>1</v>
      </c>
      <c r="L190" s="114" t="b">
        <v>1</v>
      </c>
      <c r="M190" s="114" t="b">
        <v>1</v>
      </c>
      <c r="N190" s="114" t="b">
        <v>1</v>
      </c>
      <c r="O190" s="114" t="b">
        <v>1</v>
      </c>
      <c r="P190" s="114" t="b">
        <v>1</v>
      </c>
      <c r="Q190" s="114" t="b">
        <v>1</v>
      </c>
      <c r="R190" s="114" t="b">
        <v>1</v>
      </c>
      <c r="S190" s="114" t="b">
        <v>1</v>
      </c>
      <c r="T190" s="114" t="b">
        <v>0</v>
      </c>
      <c r="U190" s="114" t="b">
        <v>0</v>
      </c>
      <c r="V190" s="114" t="b">
        <v>0</v>
      </c>
      <c r="W190" s="114" t="b">
        <v>0</v>
      </c>
      <c r="X190" s="114" t="b">
        <v>0</v>
      </c>
      <c r="Y190" s="114" t="b">
        <v>0</v>
      </c>
      <c r="Z190" s="114" t="b">
        <v>0</v>
      </c>
      <c r="AA190" s="114" t="b">
        <v>0</v>
      </c>
      <c r="AB190" s="114" t="b">
        <v>0</v>
      </c>
      <c r="AC190" s="114" t="b">
        <v>0</v>
      </c>
      <c r="AD190" s="114" t="b">
        <v>0</v>
      </c>
      <c r="AE190" s="114" t="b">
        <v>0</v>
      </c>
      <c r="AF190" s="114" t="b">
        <v>0</v>
      </c>
      <c r="AG190" s="114" t="b">
        <v>0</v>
      </c>
      <c r="AH190" s="114" t="b">
        <v>0</v>
      </c>
      <c r="AI190" s="114" t="b">
        <v>1</v>
      </c>
      <c r="AJ190" s="114" t="b">
        <v>0</v>
      </c>
      <c r="AK190" s="114" t="b">
        <v>0</v>
      </c>
      <c r="AL190" s="115" t="str">
        <f t="shared" si="1"/>
        <v>14 dari 31 (45%)</v>
      </c>
    </row>
    <row r="191" ht="22.5" customHeight="1">
      <c r="A191" s="10">
        <v>190.0</v>
      </c>
      <c r="B191" s="11"/>
      <c r="C191" s="22">
        <v>43994.0</v>
      </c>
      <c r="D191" s="12" t="s">
        <v>63</v>
      </c>
      <c r="E191" s="12" t="s">
        <v>72</v>
      </c>
      <c r="F191" s="13"/>
      <c r="G191" s="114" t="b">
        <v>1</v>
      </c>
      <c r="H191" s="114" t="b">
        <v>1</v>
      </c>
      <c r="I191" s="114" t="b">
        <v>1</v>
      </c>
      <c r="J191" s="114" t="b">
        <v>1</v>
      </c>
      <c r="K191" s="114" t="b">
        <v>1</v>
      </c>
      <c r="L191" s="114" t="b">
        <v>1</v>
      </c>
      <c r="M191" s="114" t="b">
        <v>1</v>
      </c>
      <c r="N191" s="114" t="b">
        <v>1</v>
      </c>
      <c r="O191" s="114" t="b">
        <v>1</v>
      </c>
      <c r="P191" s="114" t="b">
        <v>1</v>
      </c>
      <c r="Q191" s="114" t="b">
        <v>1</v>
      </c>
      <c r="R191" s="114" t="b">
        <v>1</v>
      </c>
      <c r="S191" s="114" t="b">
        <v>1</v>
      </c>
      <c r="T191" s="114" t="b">
        <v>1</v>
      </c>
      <c r="U191" s="114" t="b">
        <v>0</v>
      </c>
      <c r="V191" s="114" t="b">
        <v>0</v>
      </c>
      <c r="W191" s="114" t="b">
        <v>0</v>
      </c>
      <c r="X191" s="114" t="b">
        <v>0</v>
      </c>
      <c r="Y191" s="114" t="b">
        <v>0</v>
      </c>
      <c r="Z191" s="114" t="b">
        <v>0</v>
      </c>
      <c r="AA191" s="114" t="b">
        <v>0</v>
      </c>
      <c r="AB191" s="114" t="b">
        <v>0</v>
      </c>
      <c r="AC191" s="114" t="b">
        <v>0</v>
      </c>
      <c r="AD191" s="114" t="b">
        <v>0</v>
      </c>
      <c r="AE191" s="114" t="b">
        <v>0</v>
      </c>
      <c r="AF191" s="114" t="b">
        <v>0</v>
      </c>
      <c r="AG191" s="114" t="b">
        <v>0</v>
      </c>
      <c r="AH191" s="114" t="b">
        <v>0</v>
      </c>
      <c r="AI191" s="114" t="b">
        <v>1</v>
      </c>
      <c r="AJ191" s="114" t="b">
        <v>0</v>
      </c>
      <c r="AK191" s="114" t="b">
        <v>0</v>
      </c>
      <c r="AL191" s="115" t="str">
        <f t="shared" si="1"/>
        <v>15 dari 31 (48%)</v>
      </c>
    </row>
    <row r="192" ht="22.5" customHeight="1">
      <c r="A192" s="10">
        <v>191.0</v>
      </c>
      <c r="B192" s="11"/>
      <c r="C192" s="20">
        <v>60682.0</v>
      </c>
      <c r="D192" s="12" t="s">
        <v>39</v>
      </c>
      <c r="E192" s="12" t="s">
        <v>45</v>
      </c>
      <c r="F192" s="13"/>
      <c r="G192" s="114" t="b">
        <v>1</v>
      </c>
      <c r="H192" s="114" t="b">
        <v>1</v>
      </c>
      <c r="I192" s="114" t="b">
        <v>0</v>
      </c>
      <c r="J192" s="114" t="b">
        <v>1</v>
      </c>
      <c r="K192" s="114" t="b">
        <v>1</v>
      </c>
      <c r="L192" s="114" t="b">
        <v>1</v>
      </c>
      <c r="M192" s="114" t="b">
        <v>1</v>
      </c>
      <c r="N192" s="114" t="b">
        <v>1</v>
      </c>
      <c r="O192" s="114" t="b">
        <v>1</v>
      </c>
      <c r="P192" s="114" t="b">
        <v>1</v>
      </c>
      <c r="Q192" s="114" t="b">
        <v>1</v>
      </c>
      <c r="R192" s="114" t="b">
        <v>1</v>
      </c>
      <c r="S192" s="114" t="b">
        <v>1</v>
      </c>
      <c r="T192" s="114" t="b">
        <v>1</v>
      </c>
      <c r="U192" s="114" t="b">
        <v>0</v>
      </c>
      <c r="V192" s="114" t="b">
        <v>0</v>
      </c>
      <c r="W192" s="114" t="b">
        <v>0</v>
      </c>
      <c r="X192" s="114" t="b">
        <v>0</v>
      </c>
      <c r="Y192" s="114" t="b">
        <v>0</v>
      </c>
      <c r="Z192" s="114" t="b">
        <v>0</v>
      </c>
      <c r="AA192" s="114" t="b">
        <v>0</v>
      </c>
      <c r="AB192" s="114" t="b">
        <v>0</v>
      </c>
      <c r="AC192" s="114" t="b">
        <v>0</v>
      </c>
      <c r="AD192" s="114" t="b">
        <v>0</v>
      </c>
      <c r="AE192" s="114" t="b">
        <v>0</v>
      </c>
      <c r="AF192" s="114" t="b">
        <v>0</v>
      </c>
      <c r="AG192" s="114" t="b">
        <v>0</v>
      </c>
      <c r="AH192" s="114" t="b">
        <v>0</v>
      </c>
      <c r="AI192" s="114" t="b">
        <v>1</v>
      </c>
      <c r="AJ192" s="114" t="b">
        <v>0</v>
      </c>
      <c r="AK192" s="114" t="b">
        <v>0</v>
      </c>
      <c r="AL192" s="115" t="str">
        <f t="shared" si="1"/>
        <v>14 dari 31 (45%)</v>
      </c>
    </row>
    <row r="193" ht="22.5" customHeight="1">
      <c r="A193" s="2">
        <v>192.0</v>
      </c>
      <c r="B193" s="11"/>
      <c r="C193" s="20">
        <v>31442.0</v>
      </c>
      <c r="D193" s="12" t="s">
        <v>80</v>
      </c>
      <c r="E193" s="12" t="s">
        <v>116</v>
      </c>
      <c r="F193" s="13"/>
      <c r="G193" s="114" t="b">
        <v>1</v>
      </c>
      <c r="H193" s="114" t="b">
        <v>1</v>
      </c>
      <c r="I193" s="114" t="b">
        <v>0</v>
      </c>
      <c r="J193" s="114" t="b">
        <v>1</v>
      </c>
      <c r="K193" s="114" t="b">
        <v>1</v>
      </c>
      <c r="L193" s="114" t="b">
        <v>1</v>
      </c>
      <c r="M193" s="114" t="b">
        <v>1</v>
      </c>
      <c r="N193" s="114" t="b">
        <v>1</v>
      </c>
      <c r="O193" s="114" t="b">
        <v>1</v>
      </c>
      <c r="P193" s="114" t="b">
        <v>1</v>
      </c>
      <c r="Q193" s="114" t="b">
        <v>1</v>
      </c>
      <c r="R193" s="114" t="b">
        <v>1</v>
      </c>
      <c r="S193" s="114" t="b">
        <v>1</v>
      </c>
      <c r="T193" s="114" t="b">
        <v>1</v>
      </c>
      <c r="U193" s="114" t="b">
        <v>0</v>
      </c>
      <c r="V193" s="114" t="b">
        <v>0</v>
      </c>
      <c r="W193" s="114" t="b">
        <v>0</v>
      </c>
      <c r="X193" s="114" t="b">
        <v>0</v>
      </c>
      <c r="Y193" s="114" t="b">
        <v>0</v>
      </c>
      <c r="Z193" s="114" t="b">
        <v>0</v>
      </c>
      <c r="AA193" s="114" t="b">
        <v>0</v>
      </c>
      <c r="AB193" s="114" t="b">
        <v>0</v>
      </c>
      <c r="AC193" s="114" t="b">
        <v>0</v>
      </c>
      <c r="AD193" s="114" t="b">
        <v>0</v>
      </c>
      <c r="AE193" s="114" t="b">
        <v>0</v>
      </c>
      <c r="AF193" s="114" t="b">
        <v>0</v>
      </c>
      <c r="AG193" s="114" t="b">
        <v>0</v>
      </c>
      <c r="AH193" s="114" t="b">
        <v>0</v>
      </c>
      <c r="AI193" s="114" t="b">
        <v>1</v>
      </c>
      <c r="AJ193" s="114" t="b">
        <v>0</v>
      </c>
      <c r="AK193" s="114" t="b">
        <v>0</v>
      </c>
      <c r="AL193" s="115" t="str">
        <f t="shared" si="1"/>
        <v>14 dari 31 (45%)</v>
      </c>
    </row>
    <row r="194" ht="22.5" customHeight="1">
      <c r="A194" s="10">
        <v>193.0</v>
      </c>
      <c r="B194" s="11"/>
      <c r="C194" s="20">
        <v>57894.0</v>
      </c>
      <c r="D194" s="12" t="s">
        <v>80</v>
      </c>
      <c r="E194" s="12" t="s">
        <v>100</v>
      </c>
      <c r="F194" s="13"/>
      <c r="G194" s="114" t="b">
        <v>1</v>
      </c>
      <c r="H194" s="114" t="b">
        <v>1</v>
      </c>
      <c r="I194" s="114" t="b">
        <v>0</v>
      </c>
      <c r="J194" s="114" t="b">
        <v>1</v>
      </c>
      <c r="K194" s="114" t="b">
        <v>1</v>
      </c>
      <c r="L194" s="114" t="b">
        <v>1</v>
      </c>
      <c r="M194" s="114" t="b">
        <v>1</v>
      </c>
      <c r="N194" s="114" t="b">
        <v>1</v>
      </c>
      <c r="O194" s="114" t="b">
        <v>1</v>
      </c>
      <c r="P194" s="114" t="b">
        <v>1</v>
      </c>
      <c r="Q194" s="114" t="b">
        <v>1</v>
      </c>
      <c r="R194" s="114" t="b">
        <v>1</v>
      </c>
      <c r="S194" s="114" t="b">
        <v>1</v>
      </c>
      <c r="T194" s="114" t="b">
        <v>1</v>
      </c>
      <c r="U194" s="114" t="b">
        <v>0</v>
      </c>
      <c r="V194" s="114" t="b">
        <v>0</v>
      </c>
      <c r="W194" s="114" t="b">
        <v>0</v>
      </c>
      <c r="X194" s="114" t="b">
        <v>0</v>
      </c>
      <c r="Y194" s="114" t="b">
        <v>0</v>
      </c>
      <c r="Z194" s="114" t="b">
        <v>0</v>
      </c>
      <c r="AA194" s="114" t="b">
        <v>0</v>
      </c>
      <c r="AB194" s="114" t="b">
        <v>0</v>
      </c>
      <c r="AC194" s="114" t="b">
        <v>0</v>
      </c>
      <c r="AD194" s="114" t="b">
        <v>0</v>
      </c>
      <c r="AE194" s="114" t="b">
        <v>0</v>
      </c>
      <c r="AF194" s="114" t="b">
        <v>0</v>
      </c>
      <c r="AG194" s="114" t="b">
        <v>0</v>
      </c>
      <c r="AH194" s="114" t="b">
        <v>0</v>
      </c>
      <c r="AI194" s="114" t="b">
        <v>1</v>
      </c>
      <c r="AJ194" s="114" t="b">
        <v>0</v>
      </c>
      <c r="AK194" s="114" t="b">
        <v>0</v>
      </c>
      <c r="AL194" s="115" t="str">
        <f t="shared" si="1"/>
        <v>14 dari 31 (45%)</v>
      </c>
    </row>
    <row r="195" ht="22.5" customHeight="1">
      <c r="A195" s="10">
        <v>194.0</v>
      </c>
      <c r="B195" s="11"/>
      <c r="C195" s="20">
        <v>49266.0</v>
      </c>
      <c r="D195" s="12" t="s">
        <v>80</v>
      </c>
      <c r="E195" s="12" t="s">
        <v>121</v>
      </c>
      <c r="F195" s="15" t="s">
        <v>50</v>
      </c>
      <c r="G195" s="114" t="b">
        <v>1</v>
      </c>
      <c r="H195" s="114" t="b">
        <v>0</v>
      </c>
      <c r="I195" s="114" t="b">
        <v>0</v>
      </c>
      <c r="J195" s="114" t="b">
        <v>1</v>
      </c>
      <c r="K195" s="114" t="b">
        <v>1</v>
      </c>
      <c r="L195" s="114" t="b">
        <v>1</v>
      </c>
      <c r="M195" s="114" t="b">
        <v>1</v>
      </c>
      <c r="N195" s="114" t="b">
        <v>1</v>
      </c>
      <c r="O195" s="114" t="b">
        <v>1</v>
      </c>
      <c r="P195" s="114" t="b">
        <v>1</v>
      </c>
      <c r="Q195" s="114" t="b">
        <v>1</v>
      </c>
      <c r="R195" s="114" t="b">
        <v>1</v>
      </c>
      <c r="S195" s="114" t="b">
        <v>1</v>
      </c>
      <c r="T195" s="114" t="b">
        <v>0</v>
      </c>
      <c r="U195" s="114" t="b">
        <v>0</v>
      </c>
      <c r="V195" s="114" t="b">
        <v>0</v>
      </c>
      <c r="W195" s="114" t="b">
        <v>0</v>
      </c>
      <c r="X195" s="114" t="b">
        <v>0</v>
      </c>
      <c r="Y195" s="114" t="b">
        <v>0</v>
      </c>
      <c r="Z195" s="114" t="b">
        <v>0</v>
      </c>
      <c r="AA195" s="114" t="b">
        <v>0</v>
      </c>
      <c r="AB195" s="114" t="b">
        <v>0</v>
      </c>
      <c r="AC195" s="114" t="b">
        <v>0</v>
      </c>
      <c r="AD195" s="114" t="b">
        <v>0</v>
      </c>
      <c r="AE195" s="114" t="b">
        <v>0</v>
      </c>
      <c r="AF195" s="114" t="b">
        <v>0</v>
      </c>
      <c r="AG195" s="114" t="b">
        <v>0</v>
      </c>
      <c r="AH195" s="114" t="b">
        <v>0</v>
      </c>
      <c r="AI195" s="114" t="b">
        <v>1</v>
      </c>
      <c r="AJ195" s="114" t="b">
        <v>0</v>
      </c>
      <c r="AK195" s="114" t="b">
        <v>0</v>
      </c>
      <c r="AL195" s="115" t="str">
        <f t="shared" si="1"/>
        <v>12 dari 31 (39%)</v>
      </c>
    </row>
    <row r="196" ht="22.5" customHeight="1">
      <c r="A196" s="2">
        <v>195.0</v>
      </c>
      <c r="B196" s="11"/>
      <c r="C196" s="20">
        <v>57372.0</v>
      </c>
      <c r="D196" s="12" t="s">
        <v>80</v>
      </c>
      <c r="E196" s="12" t="s">
        <v>100</v>
      </c>
      <c r="G196" s="114" t="b">
        <v>1</v>
      </c>
      <c r="H196" s="114" t="b">
        <v>1</v>
      </c>
      <c r="I196" s="114" t="b">
        <v>0</v>
      </c>
      <c r="J196" s="114" t="b">
        <v>1</v>
      </c>
      <c r="K196" s="114" t="b">
        <v>1</v>
      </c>
      <c r="L196" s="114" t="b">
        <v>1</v>
      </c>
      <c r="M196" s="114" t="b">
        <v>1</v>
      </c>
      <c r="N196" s="114" t="b">
        <v>1</v>
      </c>
      <c r="O196" s="114" t="b">
        <v>1</v>
      </c>
      <c r="P196" s="114" t="b">
        <v>1</v>
      </c>
      <c r="Q196" s="114" t="b">
        <v>1</v>
      </c>
      <c r="R196" s="114" t="b">
        <v>1</v>
      </c>
      <c r="S196" s="114" t="b">
        <v>1</v>
      </c>
      <c r="T196" s="114" t="b">
        <v>0</v>
      </c>
      <c r="U196" s="114" t="b">
        <v>0</v>
      </c>
      <c r="V196" s="114" t="b">
        <v>0</v>
      </c>
      <c r="W196" s="114" t="b">
        <v>0</v>
      </c>
      <c r="X196" s="114" t="b">
        <v>0</v>
      </c>
      <c r="Y196" s="114" t="b">
        <v>0</v>
      </c>
      <c r="Z196" s="114" t="b">
        <v>0</v>
      </c>
      <c r="AA196" s="114" t="b">
        <v>0</v>
      </c>
      <c r="AB196" s="114" t="b">
        <v>0</v>
      </c>
      <c r="AC196" s="114" t="b">
        <v>0</v>
      </c>
      <c r="AD196" s="114" t="b">
        <v>0</v>
      </c>
      <c r="AE196" s="114" t="b">
        <v>0</v>
      </c>
      <c r="AF196" s="114" t="b">
        <v>0</v>
      </c>
      <c r="AG196" s="114" t="b">
        <v>0</v>
      </c>
      <c r="AH196" s="114" t="b">
        <v>0</v>
      </c>
      <c r="AI196" s="114" t="b">
        <v>1</v>
      </c>
      <c r="AJ196" s="114" t="b">
        <v>0</v>
      </c>
      <c r="AK196" s="114" t="b">
        <v>0</v>
      </c>
      <c r="AL196" s="115" t="str">
        <f t="shared" si="1"/>
        <v>13 dari 31 (42%)</v>
      </c>
    </row>
    <row r="197" ht="22.5" customHeight="1">
      <c r="A197" s="10">
        <v>196.0</v>
      </c>
      <c r="B197" s="11"/>
      <c r="C197" s="22">
        <v>59350.0</v>
      </c>
      <c r="D197" s="12" t="s">
        <v>63</v>
      </c>
      <c r="E197" s="12" t="s">
        <v>72</v>
      </c>
      <c r="F197" s="13"/>
      <c r="G197" s="114" t="b">
        <v>1</v>
      </c>
      <c r="H197" s="114" t="b">
        <v>1</v>
      </c>
      <c r="I197" s="114" t="b">
        <v>1</v>
      </c>
      <c r="J197" s="114" t="b">
        <v>1</v>
      </c>
      <c r="K197" s="114" t="b">
        <v>1</v>
      </c>
      <c r="L197" s="114" t="b">
        <v>1</v>
      </c>
      <c r="M197" s="114" t="b">
        <v>1</v>
      </c>
      <c r="N197" s="114" t="b">
        <v>1</v>
      </c>
      <c r="O197" s="114" t="b">
        <v>1</v>
      </c>
      <c r="P197" s="114" t="b">
        <v>1</v>
      </c>
      <c r="Q197" s="114" t="b">
        <v>1</v>
      </c>
      <c r="R197" s="114" t="b">
        <v>1</v>
      </c>
      <c r="S197" s="114" t="b">
        <v>1</v>
      </c>
      <c r="T197" s="114" t="b">
        <v>1</v>
      </c>
      <c r="U197" s="114" t="b">
        <v>0</v>
      </c>
      <c r="V197" s="114" t="b">
        <v>0</v>
      </c>
      <c r="W197" s="114" t="b">
        <v>0</v>
      </c>
      <c r="X197" s="114" t="b">
        <v>0</v>
      </c>
      <c r="Y197" s="114" t="b">
        <v>0</v>
      </c>
      <c r="Z197" s="114" t="b">
        <v>0</v>
      </c>
      <c r="AA197" s="114" t="b">
        <v>0</v>
      </c>
      <c r="AB197" s="114" t="b">
        <v>0</v>
      </c>
      <c r="AC197" s="114" t="b">
        <v>0</v>
      </c>
      <c r="AD197" s="114" t="b">
        <v>0</v>
      </c>
      <c r="AE197" s="114" t="b">
        <v>0</v>
      </c>
      <c r="AF197" s="114" t="b">
        <v>0</v>
      </c>
      <c r="AG197" s="114" t="b">
        <v>0</v>
      </c>
      <c r="AH197" s="114" t="b">
        <v>0</v>
      </c>
      <c r="AI197" s="114" t="b">
        <v>1</v>
      </c>
      <c r="AJ197" s="114" t="b">
        <v>0</v>
      </c>
      <c r="AK197" s="114" t="b">
        <v>0</v>
      </c>
      <c r="AL197" s="115" t="str">
        <f t="shared" si="1"/>
        <v>15 dari 31 (48%)</v>
      </c>
    </row>
    <row r="198" ht="22.5" customHeight="1">
      <c r="A198" s="2">
        <v>197.0</v>
      </c>
      <c r="B198" s="11"/>
      <c r="C198" s="22">
        <v>46082.0</v>
      </c>
      <c r="D198" s="12" t="s">
        <v>63</v>
      </c>
      <c r="E198" s="12" t="s">
        <v>72</v>
      </c>
      <c r="F198" s="13"/>
      <c r="G198" s="114" t="b">
        <v>1</v>
      </c>
      <c r="H198" s="114" t="b">
        <v>1</v>
      </c>
      <c r="I198" s="114" t="b">
        <v>1</v>
      </c>
      <c r="J198" s="114" t="b">
        <v>1</v>
      </c>
      <c r="K198" s="114" t="b">
        <v>1</v>
      </c>
      <c r="L198" s="114" t="b">
        <v>1</v>
      </c>
      <c r="M198" s="114" t="b">
        <v>1</v>
      </c>
      <c r="N198" s="114" t="b">
        <v>1</v>
      </c>
      <c r="O198" s="114" t="b">
        <v>1</v>
      </c>
      <c r="P198" s="114" t="b">
        <v>1</v>
      </c>
      <c r="Q198" s="114" t="b">
        <v>1</v>
      </c>
      <c r="R198" s="114" t="b">
        <v>1</v>
      </c>
      <c r="S198" s="114" t="b">
        <v>1</v>
      </c>
      <c r="T198" s="114" t="b">
        <v>1</v>
      </c>
      <c r="U198" s="114" t="b">
        <v>0</v>
      </c>
      <c r="V198" s="114" t="b">
        <v>0</v>
      </c>
      <c r="W198" s="114" t="b">
        <v>0</v>
      </c>
      <c r="X198" s="114" t="b">
        <v>0</v>
      </c>
      <c r="Y198" s="114" t="b">
        <v>0</v>
      </c>
      <c r="Z198" s="114" t="b">
        <v>0</v>
      </c>
      <c r="AA198" s="114" t="b">
        <v>0</v>
      </c>
      <c r="AB198" s="114" t="b">
        <v>0</v>
      </c>
      <c r="AC198" s="114" t="b">
        <v>0</v>
      </c>
      <c r="AD198" s="114" t="b">
        <v>0</v>
      </c>
      <c r="AE198" s="114" t="b">
        <v>0</v>
      </c>
      <c r="AF198" s="114" t="b">
        <v>0</v>
      </c>
      <c r="AG198" s="114" t="b">
        <v>0</v>
      </c>
      <c r="AH198" s="114" t="b">
        <v>0</v>
      </c>
      <c r="AI198" s="114" t="b">
        <v>1</v>
      </c>
      <c r="AJ198" s="114" t="b">
        <v>0</v>
      </c>
      <c r="AK198" s="114" t="b">
        <v>0</v>
      </c>
      <c r="AL198" s="115" t="str">
        <f t="shared" si="1"/>
        <v>15 dari 31 (48%)</v>
      </c>
    </row>
    <row r="199" ht="22.5" customHeight="1">
      <c r="A199" s="10">
        <v>198.0</v>
      </c>
      <c r="B199" s="11"/>
      <c r="C199" s="22">
        <v>60890.0</v>
      </c>
      <c r="D199" s="12" t="s">
        <v>63</v>
      </c>
      <c r="E199" s="12" t="s">
        <v>72</v>
      </c>
      <c r="F199" s="13"/>
      <c r="G199" s="114" t="b">
        <v>1</v>
      </c>
      <c r="H199" s="114" t="b">
        <v>1</v>
      </c>
      <c r="I199" s="114" t="b">
        <v>1</v>
      </c>
      <c r="J199" s="114" t="b">
        <v>1</v>
      </c>
      <c r="K199" s="114" t="b">
        <v>1</v>
      </c>
      <c r="L199" s="114" t="b">
        <v>1</v>
      </c>
      <c r="M199" s="114" t="b">
        <v>1</v>
      </c>
      <c r="N199" s="114" t="b">
        <v>1</v>
      </c>
      <c r="O199" s="114" t="b">
        <v>1</v>
      </c>
      <c r="P199" s="114" t="b">
        <v>1</v>
      </c>
      <c r="Q199" s="114" t="b">
        <v>1</v>
      </c>
      <c r="R199" s="114" t="b">
        <v>1</v>
      </c>
      <c r="S199" s="114" t="b">
        <v>1</v>
      </c>
      <c r="T199" s="114" t="b">
        <v>1</v>
      </c>
      <c r="U199" s="114" t="b">
        <v>0</v>
      </c>
      <c r="V199" s="114" t="b">
        <v>0</v>
      </c>
      <c r="W199" s="114" t="b">
        <v>0</v>
      </c>
      <c r="X199" s="114" t="b">
        <v>0</v>
      </c>
      <c r="Y199" s="114" t="b">
        <v>0</v>
      </c>
      <c r="Z199" s="114" t="b">
        <v>0</v>
      </c>
      <c r="AA199" s="114" t="b">
        <v>0</v>
      </c>
      <c r="AB199" s="114" t="b">
        <v>0</v>
      </c>
      <c r="AC199" s="114" t="b">
        <v>0</v>
      </c>
      <c r="AD199" s="114" t="b">
        <v>0</v>
      </c>
      <c r="AE199" s="114" t="b">
        <v>0</v>
      </c>
      <c r="AF199" s="114" t="b">
        <v>0</v>
      </c>
      <c r="AG199" s="114" t="b">
        <v>0</v>
      </c>
      <c r="AH199" s="114" t="b">
        <v>0</v>
      </c>
      <c r="AI199" s="114" t="b">
        <v>1</v>
      </c>
      <c r="AJ199" s="114" t="b">
        <v>0</v>
      </c>
      <c r="AK199" s="114" t="b">
        <v>0</v>
      </c>
      <c r="AL199" s="115" t="str">
        <f t="shared" si="1"/>
        <v>15 dari 31 (48%)</v>
      </c>
    </row>
    <row r="200" ht="22.5" customHeight="1">
      <c r="A200" s="61">
        <v>199.0</v>
      </c>
      <c r="B200" s="62"/>
      <c r="C200" s="32">
        <v>61040.0</v>
      </c>
      <c r="D200" s="51" t="s">
        <v>54</v>
      </c>
      <c r="E200" s="51" t="s">
        <v>55</v>
      </c>
      <c r="F200" s="53"/>
      <c r="G200" s="118" t="b">
        <v>0</v>
      </c>
      <c r="H200" s="118" t="b">
        <v>0</v>
      </c>
      <c r="I200" s="118" t="b">
        <v>0</v>
      </c>
      <c r="J200" s="118" t="b">
        <v>0</v>
      </c>
      <c r="K200" s="118" t="b">
        <v>0</v>
      </c>
      <c r="L200" s="118" t="b">
        <v>0</v>
      </c>
      <c r="M200" s="118" t="b">
        <v>0</v>
      </c>
      <c r="N200" s="118" t="b">
        <v>0</v>
      </c>
      <c r="O200" s="118" t="b">
        <v>0</v>
      </c>
      <c r="P200" s="118" t="b">
        <v>0</v>
      </c>
      <c r="Q200" s="118" t="b">
        <v>0</v>
      </c>
      <c r="R200" s="118" t="b">
        <v>0</v>
      </c>
      <c r="S200" s="118" t="b">
        <v>0</v>
      </c>
      <c r="T200" s="118" t="b">
        <v>0</v>
      </c>
      <c r="U200" s="118" t="b">
        <v>0</v>
      </c>
      <c r="V200" s="118" t="b">
        <v>0</v>
      </c>
      <c r="W200" s="118" t="b">
        <v>0</v>
      </c>
      <c r="X200" s="118" t="b">
        <v>0</v>
      </c>
      <c r="Y200" s="118" t="b">
        <v>0</v>
      </c>
      <c r="Z200" s="118" t="b">
        <v>0</v>
      </c>
      <c r="AA200" s="118" t="b">
        <v>0</v>
      </c>
      <c r="AB200" s="118" t="b">
        <v>0</v>
      </c>
      <c r="AC200" s="118" t="b">
        <v>0</v>
      </c>
      <c r="AD200" s="118" t="b">
        <v>0</v>
      </c>
      <c r="AE200" s="118" t="b">
        <v>0</v>
      </c>
      <c r="AF200" s="118" t="b">
        <v>0</v>
      </c>
      <c r="AG200" s="118" t="b">
        <v>0</v>
      </c>
      <c r="AH200" s="118" t="b">
        <v>0</v>
      </c>
      <c r="AI200" s="118" t="b">
        <v>0</v>
      </c>
      <c r="AJ200" s="118" t="b">
        <v>0</v>
      </c>
      <c r="AK200" s="118" t="b">
        <v>0</v>
      </c>
      <c r="AL200" s="119" t="str">
        <f t="shared" si="1"/>
        <v>0 dari 31 (0%)</v>
      </c>
    </row>
    <row r="201" ht="22.5" customHeight="1">
      <c r="A201" s="2">
        <v>200.0</v>
      </c>
      <c r="B201" s="11"/>
      <c r="C201" s="22">
        <v>52796.0</v>
      </c>
      <c r="D201" s="12" t="s">
        <v>63</v>
      </c>
      <c r="E201" s="12" t="s">
        <v>72</v>
      </c>
      <c r="F201" s="13"/>
      <c r="G201" s="114" t="b">
        <v>1</v>
      </c>
      <c r="H201" s="114" t="b">
        <v>1</v>
      </c>
      <c r="I201" s="114" t="b">
        <v>1</v>
      </c>
      <c r="J201" s="114" t="b">
        <v>1</v>
      </c>
      <c r="K201" s="114" t="b">
        <v>1</v>
      </c>
      <c r="L201" s="114" t="b">
        <v>1</v>
      </c>
      <c r="M201" s="114" t="b">
        <v>1</v>
      </c>
      <c r="N201" s="114" t="b">
        <v>1</v>
      </c>
      <c r="O201" s="114" t="b">
        <v>1</v>
      </c>
      <c r="P201" s="114" t="b">
        <v>1</v>
      </c>
      <c r="Q201" s="114" t="b">
        <v>1</v>
      </c>
      <c r="R201" s="114" t="b">
        <v>1</v>
      </c>
      <c r="S201" s="114" t="b">
        <v>1</v>
      </c>
      <c r="T201" s="114" t="b">
        <v>0</v>
      </c>
      <c r="U201" s="114" t="b">
        <v>0</v>
      </c>
      <c r="V201" s="114" t="b">
        <v>0</v>
      </c>
      <c r="W201" s="114" t="b">
        <v>0</v>
      </c>
      <c r="X201" s="114" t="b">
        <v>0</v>
      </c>
      <c r="Y201" s="114" t="b">
        <v>0</v>
      </c>
      <c r="Z201" s="114" t="b">
        <v>0</v>
      </c>
      <c r="AA201" s="114" t="b">
        <v>0</v>
      </c>
      <c r="AB201" s="114" t="b">
        <v>0</v>
      </c>
      <c r="AC201" s="114" t="b">
        <v>0</v>
      </c>
      <c r="AD201" s="114" t="b">
        <v>0</v>
      </c>
      <c r="AE201" s="114" t="b">
        <v>0</v>
      </c>
      <c r="AF201" s="114" t="b">
        <v>0</v>
      </c>
      <c r="AG201" s="114" t="b">
        <v>0</v>
      </c>
      <c r="AH201" s="114" t="b">
        <v>0</v>
      </c>
      <c r="AI201" s="114" t="b">
        <v>1</v>
      </c>
      <c r="AJ201" s="114" t="b">
        <v>0</v>
      </c>
      <c r="AK201" s="114" t="b">
        <v>0</v>
      </c>
      <c r="AL201" s="115" t="str">
        <f t="shared" si="1"/>
        <v>14 dari 31 (45%)</v>
      </c>
    </row>
    <row r="202" ht="22.5" customHeight="1">
      <c r="A202" s="10">
        <v>201.0</v>
      </c>
      <c r="B202" s="11"/>
      <c r="C202" s="20">
        <v>61041.0</v>
      </c>
      <c r="D202" s="12" t="s">
        <v>63</v>
      </c>
      <c r="E202" s="12" t="s">
        <v>87</v>
      </c>
      <c r="F202" s="13"/>
      <c r="G202" s="114" t="b">
        <v>1</v>
      </c>
      <c r="H202" s="114" t="b">
        <v>1</v>
      </c>
      <c r="I202" s="114" t="b">
        <v>1</v>
      </c>
      <c r="J202" s="114" t="b">
        <v>1</v>
      </c>
      <c r="K202" s="114" t="b">
        <v>1</v>
      </c>
      <c r="L202" s="114" t="b">
        <v>1</v>
      </c>
      <c r="M202" s="114" t="b">
        <v>1</v>
      </c>
      <c r="N202" s="114" t="b">
        <v>1</v>
      </c>
      <c r="O202" s="114" t="b">
        <v>1</v>
      </c>
      <c r="P202" s="114" t="b">
        <v>1</v>
      </c>
      <c r="Q202" s="114" t="b">
        <v>1</v>
      </c>
      <c r="R202" s="114" t="b">
        <v>1</v>
      </c>
      <c r="S202" s="114" t="b">
        <v>1</v>
      </c>
      <c r="T202" s="114" t="b">
        <v>0</v>
      </c>
      <c r="U202" s="114" t="b">
        <v>0</v>
      </c>
      <c r="V202" s="114" t="b">
        <v>0</v>
      </c>
      <c r="W202" s="114" t="b">
        <v>0</v>
      </c>
      <c r="X202" s="114" t="b">
        <v>0</v>
      </c>
      <c r="Y202" s="114" t="b">
        <v>0</v>
      </c>
      <c r="Z202" s="114" t="b">
        <v>0</v>
      </c>
      <c r="AA202" s="114" t="b">
        <v>0</v>
      </c>
      <c r="AB202" s="114" t="b">
        <v>0</v>
      </c>
      <c r="AC202" s="114" t="b">
        <v>0</v>
      </c>
      <c r="AD202" s="114" t="b">
        <v>0</v>
      </c>
      <c r="AE202" s="114" t="b">
        <v>0</v>
      </c>
      <c r="AF202" s="114" t="b">
        <v>0</v>
      </c>
      <c r="AG202" s="114" t="b">
        <v>0</v>
      </c>
      <c r="AH202" s="114" t="b">
        <v>0</v>
      </c>
      <c r="AI202" s="114" t="b">
        <v>1</v>
      </c>
      <c r="AJ202" s="114" t="b">
        <v>0</v>
      </c>
      <c r="AK202" s="114" t="b">
        <v>0</v>
      </c>
      <c r="AL202" s="115" t="str">
        <f t="shared" si="1"/>
        <v>14 dari 31 (45%)</v>
      </c>
    </row>
    <row r="203" ht="22.5" customHeight="1">
      <c r="A203" s="2">
        <v>202.0</v>
      </c>
      <c r="B203" s="11"/>
      <c r="C203" s="20">
        <v>60618.0</v>
      </c>
      <c r="D203" s="12" t="s">
        <v>39</v>
      </c>
      <c r="E203" s="12" t="s">
        <v>45</v>
      </c>
      <c r="F203" s="13"/>
      <c r="G203" s="114" t="b">
        <v>1</v>
      </c>
      <c r="H203" s="114" t="b">
        <v>1</v>
      </c>
      <c r="I203" s="114" t="b">
        <v>0</v>
      </c>
      <c r="J203" s="114" t="b">
        <v>1</v>
      </c>
      <c r="K203" s="114" t="b">
        <v>1</v>
      </c>
      <c r="L203" s="114" t="b">
        <v>1</v>
      </c>
      <c r="M203" s="114" t="b">
        <v>1</v>
      </c>
      <c r="N203" s="114" t="b">
        <v>1</v>
      </c>
      <c r="O203" s="114" t="b">
        <v>1</v>
      </c>
      <c r="P203" s="114" t="b">
        <v>1</v>
      </c>
      <c r="Q203" s="114" t="b">
        <v>1</v>
      </c>
      <c r="R203" s="114" t="b">
        <v>1</v>
      </c>
      <c r="S203" s="114" t="b">
        <v>1</v>
      </c>
      <c r="T203" s="114" t="b">
        <v>1</v>
      </c>
      <c r="U203" s="114" t="b">
        <v>0</v>
      </c>
      <c r="V203" s="114" t="b">
        <v>0</v>
      </c>
      <c r="W203" s="114" t="b">
        <v>0</v>
      </c>
      <c r="X203" s="114" t="b">
        <v>0</v>
      </c>
      <c r="Y203" s="114" t="b">
        <v>0</v>
      </c>
      <c r="Z203" s="114" t="b">
        <v>0</v>
      </c>
      <c r="AA203" s="114" t="b">
        <v>0</v>
      </c>
      <c r="AB203" s="114" t="b">
        <v>0</v>
      </c>
      <c r="AC203" s="114" t="b">
        <v>0</v>
      </c>
      <c r="AD203" s="114" t="b">
        <v>0</v>
      </c>
      <c r="AE203" s="114" t="b">
        <v>0</v>
      </c>
      <c r="AF203" s="114" t="b">
        <v>0</v>
      </c>
      <c r="AG203" s="114" t="b">
        <v>0</v>
      </c>
      <c r="AH203" s="114" t="b">
        <v>0</v>
      </c>
      <c r="AI203" s="114" t="b">
        <v>1</v>
      </c>
      <c r="AJ203" s="114" t="b">
        <v>0</v>
      </c>
      <c r="AK203" s="114" t="b">
        <v>0</v>
      </c>
      <c r="AL203" s="115" t="str">
        <f t="shared" si="1"/>
        <v>14 dari 31 (45%)</v>
      </c>
    </row>
    <row r="204" ht="22.5" customHeight="1">
      <c r="A204" s="10">
        <v>203.0</v>
      </c>
      <c r="B204" s="11"/>
      <c r="C204" s="20">
        <v>61042.0</v>
      </c>
      <c r="D204" s="12" t="s">
        <v>63</v>
      </c>
      <c r="E204" s="12" t="s">
        <v>64</v>
      </c>
      <c r="F204" s="15" t="s">
        <v>50</v>
      </c>
      <c r="G204" s="114" t="b">
        <v>1</v>
      </c>
      <c r="H204" s="114" t="b">
        <v>0</v>
      </c>
      <c r="I204" s="114" t="b">
        <v>0</v>
      </c>
      <c r="J204" s="114" t="b">
        <v>1</v>
      </c>
      <c r="K204" s="114" t="b">
        <v>1</v>
      </c>
      <c r="L204" s="114" t="b">
        <v>1</v>
      </c>
      <c r="M204" s="114" t="b">
        <v>1</v>
      </c>
      <c r="N204" s="114" t="b">
        <v>1</v>
      </c>
      <c r="O204" s="114" t="b">
        <v>1</v>
      </c>
      <c r="P204" s="114" t="b">
        <v>1</v>
      </c>
      <c r="Q204" s="114" t="b">
        <v>1</v>
      </c>
      <c r="R204" s="114" t="b">
        <v>1</v>
      </c>
      <c r="S204" s="114" t="b">
        <v>1</v>
      </c>
      <c r="T204" s="114" t="b">
        <v>0</v>
      </c>
      <c r="U204" s="114" t="b">
        <v>0</v>
      </c>
      <c r="V204" s="114" t="b">
        <v>0</v>
      </c>
      <c r="W204" s="114" t="b">
        <v>0</v>
      </c>
      <c r="X204" s="114" t="b">
        <v>0</v>
      </c>
      <c r="Y204" s="114" t="b">
        <v>0</v>
      </c>
      <c r="Z204" s="114" t="b">
        <v>0</v>
      </c>
      <c r="AA204" s="114" t="b">
        <v>0</v>
      </c>
      <c r="AB204" s="114" t="b">
        <v>0</v>
      </c>
      <c r="AC204" s="114" t="b">
        <v>0</v>
      </c>
      <c r="AD204" s="114" t="b">
        <v>0</v>
      </c>
      <c r="AE204" s="114" t="b">
        <v>0</v>
      </c>
      <c r="AF204" s="114" t="b">
        <v>0</v>
      </c>
      <c r="AG204" s="114" t="b">
        <v>0</v>
      </c>
      <c r="AH204" s="114" t="b">
        <v>0</v>
      </c>
      <c r="AI204" s="114" t="b">
        <v>1</v>
      </c>
      <c r="AJ204" s="114" t="b">
        <v>0</v>
      </c>
      <c r="AK204" s="114" t="b">
        <v>0</v>
      </c>
      <c r="AL204" s="115" t="str">
        <f t="shared" si="1"/>
        <v>12 dari 31 (39%)</v>
      </c>
    </row>
    <row r="205" ht="22.5" customHeight="1">
      <c r="A205" s="10">
        <v>204.0</v>
      </c>
      <c r="B205" s="11"/>
      <c r="C205" s="20">
        <v>37268.0</v>
      </c>
      <c r="D205" s="12" t="s">
        <v>54</v>
      </c>
      <c r="E205" s="12" t="s">
        <v>62</v>
      </c>
      <c r="F205" s="13"/>
      <c r="G205" s="114" t="b">
        <v>1</v>
      </c>
      <c r="H205" s="114" t="b">
        <v>1</v>
      </c>
      <c r="I205" s="114" t="b">
        <v>1</v>
      </c>
      <c r="J205" s="114" t="b">
        <v>0</v>
      </c>
      <c r="K205" s="114" t="b">
        <v>1</v>
      </c>
      <c r="L205" s="114" t="b">
        <v>1</v>
      </c>
      <c r="M205" s="114" t="b">
        <v>1</v>
      </c>
      <c r="N205" s="114" t="b">
        <v>1</v>
      </c>
      <c r="O205" s="114" t="b">
        <v>1</v>
      </c>
      <c r="P205" s="114" t="b">
        <v>1</v>
      </c>
      <c r="Q205" s="114" t="b">
        <v>1</v>
      </c>
      <c r="R205" s="114" t="b">
        <v>1</v>
      </c>
      <c r="S205" s="114" t="b">
        <v>1</v>
      </c>
      <c r="T205" s="114" t="b">
        <v>1</v>
      </c>
      <c r="U205" s="114" t="b">
        <v>0</v>
      </c>
      <c r="V205" s="114" t="b">
        <v>0</v>
      </c>
      <c r="W205" s="114" t="b">
        <v>0</v>
      </c>
      <c r="X205" s="114" t="b">
        <v>0</v>
      </c>
      <c r="Y205" s="114" t="b">
        <v>0</v>
      </c>
      <c r="Z205" s="114" t="b">
        <v>0</v>
      </c>
      <c r="AA205" s="114" t="b">
        <v>0</v>
      </c>
      <c r="AB205" s="114" t="b">
        <v>0</v>
      </c>
      <c r="AC205" s="114" t="b">
        <v>0</v>
      </c>
      <c r="AD205" s="114" t="b">
        <v>0</v>
      </c>
      <c r="AE205" s="114" t="b">
        <v>0</v>
      </c>
      <c r="AF205" s="114" t="b">
        <v>0</v>
      </c>
      <c r="AG205" s="114" t="b">
        <v>0</v>
      </c>
      <c r="AH205" s="114" t="b">
        <v>0</v>
      </c>
      <c r="AI205" s="114" t="b">
        <v>1</v>
      </c>
      <c r="AJ205" s="114" t="b">
        <v>0</v>
      </c>
      <c r="AK205" s="114" t="b">
        <v>0</v>
      </c>
      <c r="AL205" s="115" t="str">
        <f t="shared" si="1"/>
        <v>14 dari 31 (45%)</v>
      </c>
    </row>
    <row r="206" ht="22.5" customHeight="1">
      <c r="A206" s="2">
        <v>205.0</v>
      </c>
      <c r="B206" s="11"/>
      <c r="C206" s="22">
        <v>59950.0</v>
      </c>
      <c r="D206" s="12" t="s">
        <v>63</v>
      </c>
      <c r="E206" s="12" t="s">
        <v>58</v>
      </c>
      <c r="F206" s="13"/>
      <c r="G206" s="114" t="b">
        <v>1</v>
      </c>
      <c r="H206" s="114" t="b">
        <v>1</v>
      </c>
      <c r="I206" s="114" t="b">
        <v>1</v>
      </c>
      <c r="J206" s="114" t="b">
        <v>1</v>
      </c>
      <c r="K206" s="114" t="b">
        <v>1</v>
      </c>
      <c r="L206" s="114" t="b">
        <v>1</v>
      </c>
      <c r="M206" s="114" t="b">
        <v>1</v>
      </c>
      <c r="N206" s="114" t="b">
        <v>1</v>
      </c>
      <c r="O206" s="114" t="b">
        <v>1</v>
      </c>
      <c r="P206" s="114" t="b">
        <v>1</v>
      </c>
      <c r="Q206" s="114" t="b">
        <v>1</v>
      </c>
      <c r="R206" s="114" t="b">
        <v>1</v>
      </c>
      <c r="S206" s="114" t="b">
        <v>1</v>
      </c>
      <c r="T206" s="114" t="b">
        <v>0</v>
      </c>
      <c r="U206" s="114" t="b">
        <v>0</v>
      </c>
      <c r="V206" s="114" t="b">
        <v>0</v>
      </c>
      <c r="W206" s="114" t="b">
        <v>0</v>
      </c>
      <c r="X206" s="114" t="b">
        <v>0</v>
      </c>
      <c r="Y206" s="114" t="b">
        <v>0</v>
      </c>
      <c r="Z206" s="114" t="b">
        <v>0</v>
      </c>
      <c r="AA206" s="114" t="b">
        <v>0</v>
      </c>
      <c r="AB206" s="114" t="b">
        <v>0</v>
      </c>
      <c r="AC206" s="114" t="b">
        <v>0</v>
      </c>
      <c r="AD206" s="114" t="b">
        <v>0</v>
      </c>
      <c r="AE206" s="114" t="b">
        <v>0</v>
      </c>
      <c r="AF206" s="114" t="b">
        <v>0</v>
      </c>
      <c r="AG206" s="114" t="b">
        <v>0</v>
      </c>
      <c r="AH206" s="114" t="b">
        <v>0</v>
      </c>
      <c r="AI206" s="114" t="b">
        <v>1</v>
      </c>
      <c r="AJ206" s="114" t="b">
        <v>0</v>
      </c>
      <c r="AK206" s="114" t="b">
        <v>0</v>
      </c>
      <c r="AL206" s="115" t="str">
        <f t="shared" si="1"/>
        <v>14 dari 31 (45%)</v>
      </c>
    </row>
    <row r="207" ht="22.5" customHeight="1">
      <c r="A207" s="10">
        <v>206.0</v>
      </c>
      <c r="B207" s="11"/>
      <c r="C207" s="22">
        <v>59749.0</v>
      </c>
      <c r="D207" s="12" t="s">
        <v>63</v>
      </c>
      <c r="E207" s="12" t="s">
        <v>58</v>
      </c>
      <c r="F207" s="13"/>
      <c r="G207" s="114" t="b">
        <v>1</v>
      </c>
      <c r="H207" s="114" t="b">
        <v>1</v>
      </c>
      <c r="I207" s="114" t="b">
        <v>1</v>
      </c>
      <c r="J207" s="114" t="b">
        <v>1</v>
      </c>
      <c r="K207" s="114" t="b">
        <v>1</v>
      </c>
      <c r="L207" s="114" t="b">
        <v>1</v>
      </c>
      <c r="M207" s="114" t="b">
        <v>1</v>
      </c>
      <c r="N207" s="114" t="b">
        <v>1</v>
      </c>
      <c r="O207" s="114" t="b">
        <v>1</v>
      </c>
      <c r="P207" s="114" t="b">
        <v>1</v>
      </c>
      <c r="Q207" s="114" t="b">
        <v>1</v>
      </c>
      <c r="R207" s="114" t="b">
        <v>0</v>
      </c>
      <c r="S207" s="114" t="b">
        <v>1</v>
      </c>
      <c r="T207" s="114" t="b">
        <v>0</v>
      </c>
      <c r="U207" s="114" t="b">
        <v>0</v>
      </c>
      <c r="V207" s="114" t="b">
        <v>0</v>
      </c>
      <c r="W207" s="114" t="b">
        <v>0</v>
      </c>
      <c r="X207" s="114" t="b">
        <v>0</v>
      </c>
      <c r="Y207" s="114" t="b">
        <v>0</v>
      </c>
      <c r="Z207" s="114" t="b">
        <v>0</v>
      </c>
      <c r="AA207" s="114" t="b">
        <v>0</v>
      </c>
      <c r="AB207" s="114" t="b">
        <v>0</v>
      </c>
      <c r="AC207" s="114" t="b">
        <v>0</v>
      </c>
      <c r="AD207" s="114" t="b">
        <v>0</v>
      </c>
      <c r="AE207" s="114" t="b">
        <v>0</v>
      </c>
      <c r="AF207" s="114" t="b">
        <v>0</v>
      </c>
      <c r="AG207" s="114" t="b">
        <v>0</v>
      </c>
      <c r="AH207" s="114" t="b">
        <v>0</v>
      </c>
      <c r="AI207" s="114" t="b">
        <v>1</v>
      </c>
      <c r="AJ207" s="114" t="b">
        <v>0</v>
      </c>
      <c r="AK207" s="114" t="b">
        <v>0</v>
      </c>
      <c r="AL207" s="115" t="str">
        <f t="shared" si="1"/>
        <v>13 dari 31 (42%)</v>
      </c>
    </row>
    <row r="208" ht="22.5" customHeight="1">
      <c r="A208" s="2">
        <v>207.0</v>
      </c>
      <c r="B208" s="11"/>
      <c r="C208" s="22">
        <v>60875.0</v>
      </c>
      <c r="D208" s="12" t="s">
        <v>63</v>
      </c>
      <c r="E208" s="12" t="s">
        <v>58</v>
      </c>
      <c r="F208" s="13"/>
      <c r="G208" s="114" t="b">
        <v>1</v>
      </c>
      <c r="H208" s="114" t="b">
        <v>1</v>
      </c>
      <c r="I208" s="114" t="b">
        <v>1</v>
      </c>
      <c r="J208" s="114" t="b">
        <v>1</v>
      </c>
      <c r="K208" s="114" t="b">
        <v>1</v>
      </c>
      <c r="L208" s="114" t="b">
        <v>1</v>
      </c>
      <c r="M208" s="114" t="b">
        <v>1</v>
      </c>
      <c r="N208" s="114" t="b">
        <v>1</v>
      </c>
      <c r="O208" s="114" t="b">
        <v>1</v>
      </c>
      <c r="P208" s="114" t="b">
        <v>1</v>
      </c>
      <c r="Q208" s="114" t="b">
        <v>1</v>
      </c>
      <c r="R208" s="114" t="b">
        <v>0</v>
      </c>
      <c r="S208" s="114" t="b">
        <v>1</v>
      </c>
      <c r="T208" s="114" t="b">
        <v>0</v>
      </c>
      <c r="U208" s="114" t="b">
        <v>0</v>
      </c>
      <c r="V208" s="114" t="b">
        <v>0</v>
      </c>
      <c r="W208" s="114" t="b">
        <v>0</v>
      </c>
      <c r="X208" s="114" t="b">
        <v>0</v>
      </c>
      <c r="Y208" s="114" t="b">
        <v>0</v>
      </c>
      <c r="Z208" s="114" t="b">
        <v>0</v>
      </c>
      <c r="AA208" s="114" t="b">
        <v>0</v>
      </c>
      <c r="AB208" s="114" t="b">
        <v>0</v>
      </c>
      <c r="AC208" s="114" t="b">
        <v>0</v>
      </c>
      <c r="AD208" s="114" t="b">
        <v>0</v>
      </c>
      <c r="AE208" s="114" t="b">
        <v>0</v>
      </c>
      <c r="AF208" s="114" t="b">
        <v>0</v>
      </c>
      <c r="AG208" s="114" t="b">
        <v>0</v>
      </c>
      <c r="AH208" s="114" t="b">
        <v>0</v>
      </c>
      <c r="AI208" s="114" t="b">
        <v>1</v>
      </c>
      <c r="AJ208" s="114" t="b">
        <v>0</v>
      </c>
      <c r="AK208" s="114" t="b">
        <v>0</v>
      </c>
      <c r="AL208" s="115" t="str">
        <f t="shared" si="1"/>
        <v>13 dari 31 (42%)</v>
      </c>
    </row>
    <row r="209" ht="22.5" customHeight="1">
      <c r="A209" s="10">
        <v>208.0</v>
      </c>
      <c r="B209" s="11"/>
      <c r="C209" s="22">
        <v>60440.0</v>
      </c>
      <c r="D209" s="12" t="s">
        <v>63</v>
      </c>
      <c r="E209" s="12" t="s">
        <v>58</v>
      </c>
      <c r="F209" s="13"/>
      <c r="G209" s="114" t="b">
        <v>1</v>
      </c>
      <c r="H209" s="114" t="b">
        <v>1</v>
      </c>
      <c r="I209" s="114" t="b">
        <v>1</v>
      </c>
      <c r="J209" s="114" t="b">
        <v>1</v>
      </c>
      <c r="K209" s="114" t="b">
        <v>1</v>
      </c>
      <c r="L209" s="114" t="b">
        <v>1</v>
      </c>
      <c r="M209" s="114" t="b">
        <v>1</v>
      </c>
      <c r="N209" s="114" t="b">
        <v>1</v>
      </c>
      <c r="O209" s="114" t="b">
        <v>1</v>
      </c>
      <c r="P209" s="114" t="b">
        <v>1</v>
      </c>
      <c r="Q209" s="114" t="b">
        <v>1</v>
      </c>
      <c r="R209" s="114" t="b">
        <v>0</v>
      </c>
      <c r="S209" s="114" t="b">
        <v>1</v>
      </c>
      <c r="T209" s="114" t="b">
        <v>1</v>
      </c>
      <c r="U209" s="114" t="b">
        <v>0</v>
      </c>
      <c r="V209" s="114" t="b">
        <v>0</v>
      </c>
      <c r="W209" s="114" t="b">
        <v>0</v>
      </c>
      <c r="X209" s="114" t="b">
        <v>0</v>
      </c>
      <c r="Y209" s="114" t="b">
        <v>0</v>
      </c>
      <c r="Z209" s="114" t="b">
        <v>0</v>
      </c>
      <c r="AA209" s="114" t="b">
        <v>0</v>
      </c>
      <c r="AB209" s="114" t="b">
        <v>0</v>
      </c>
      <c r="AC209" s="114" t="b">
        <v>0</v>
      </c>
      <c r="AD209" s="114" t="b">
        <v>0</v>
      </c>
      <c r="AE209" s="114" t="b">
        <v>0</v>
      </c>
      <c r="AF209" s="114" t="b">
        <v>0</v>
      </c>
      <c r="AG209" s="114" t="b">
        <v>0</v>
      </c>
      <c r="AH209" s="114" t="b">
        <v>0</v>
      </c>
      <c r="AI209" s="114" t="b">
        <v>1</v>
      </c>
      <c r="AJ209" s="114" t="b">
        <v>0</v>
      </c>
      <c r="AK209" s="114" t="b">
        <v>0</v>
      </c>
      <c r="AL209" s="115" t="str">
        <f t="shared" si="1"/>
        <v>14 dari 31 (45%)</v>
      </c>
    </row>
    <row r="210" ht="22.5" customHeight="1">
      <c r="A210" s="10">
        <v>209.0</v>
      </c>
      <c r="B210" s="11"/>
      <c r="C210" s="22">
        <v>58886.0</v>
      </c>
      <c r="D210" s="12" t="s">
        <v>63</v>
      </c>
      <c r="E210" s="12" t="s">
        <v>58</v>
      </c>
      <c r="F210" s="13"/>
      <c r="G210" s="114" t="b">
        <v>1</v>
      </c>
      <c r="H210" s="114" t="b">
        <v>1</v>
      </c>
      <c r="I210" s="114" t="b">
        <v>1</v>
      </c>
      <c r="J210" s="114" t="b">
        <v>1</v>
      </c>
      <c r="K210" s="114" t="b">
        <v>1</v>
      </c>
      <c r="L210" s="114" t="b">
        <v>1</v>
      </c>
      <c r="M210" s="114" t="b">
        <v>1</v>
      </c>
      <c r="N210" s="114" t="b">
        <v>1</v>
      </c>
      <c r="O210" s="114" t="b">
        <v>1</v>
      </c>
      <c r="P210" s="114" t="b">
        <v>1</v>
      </c>
      <c r="Q210" s="114" t="b">
        <v>1</v>
      </c>
      <c r="R210" s="114" t="b">
        <v>0</v>
      </c>
      <c r="S210" s="114" t="b">
        <v>1</v>
      </c>
      <c r="T210" s="114" t="b">
        <v>0</v>
      </c>
      <c r="U210" s="114" t="b">
        <v>0</v>
      </c>
      <c r="V210" s="114" t="b">
        <v>0</v>
      </c>
      <c r="W210" s="114" t="b">
        <v>0</v>
      </c>
      <c r="X210" s="114" t="b">
        <v>0</v>
      </c>
      <c r="Y210" s="114" t="b">
        <v>0</v>
      </c>
      <c r="Z210" s="114" t="b">
        <v>0</v>
      </c>
      <c r="AA210" s="114" t="b">
        <v>0</v>
      </c>
      <c r="AB210" s="114" t="b">
        <v>0</v>
      </c>
      <c r="AC210" s="114" t="b">
        <v>0</v>
      </c>
      <c r="AD210" s="114" t="b">
        <v>0</v>
      </c>
      <c r="AE210" s="114" t="b">
        <v>0</v>
      </c>
      <c r="AF210" s="114" t="b">
        <v>0</v>
      </c>
      <c r="AG210" s="114" t="b">
        <v>0</v>
      </c>
      <c r="AH210" s="114" t="b">
        <v>0</v>
      </c>
      <c r="AI210" s="114" t="b">
        <v>1</v>
      </c>
      <c r="AJ210" s="114" t="b">
        <v>0</v>
      </c>
      <c r="AK210" s="114" t="b">
        <v>0</v>
      </c>
      <c r="AL210" s="115" t="str">
        <f t="shared" si="1"/>
        <v>13 dari 31 (42%)</v>
      </c>
    </row>
    <row r="211" ht="22.5" customHeight="1">
      <c r="A211" s="2">
        <v>210.0</v>
      </c>
      <c r="B211" s="11"/>
      <c r="C211" s="22">
        <v>58710.0</v>
      </c>
      <c r="D211" s="12" t="s">
        <v>63</v>
      </c>
      <c r="E211" s="12" t="s">
        <v>58</v>
      </c>
      <c r="F211" s="13"/>
      <c r="G211" s="114" t="b">
        <v>1</v>
      </c>
      <c r="H211" s="114" t="b">
        <v>1</v>
      </c>
      <c r="I211" s="114" t="b">
        <v>1</v>
      </c>
      <c r="J211" s="114" t="b">
        <v>1</v>
      </c>
      <c r="K211" s="114" t="b">
        <v>1</v>
      </c>
      <c r="L211" s="114" t="b">
        <v>1</v>
      </c>
      <c r="M211" s="114" t="b">
        <v>1</v>
      </c>
      <c r="N211" s="114" t="b">
        <v>1</v>
      </c>
      <c r="O211" s="114" t="b">
        <v>1</v>
      </c>
      <c r="P211" s="114" t="b">
        <v>0</v>
      </c>
      <c r="Q211" s="114" t="b">
        <v>0</v>
      </c>
      <c r="R211" s="114" t="b">
        <v>0</v>
      </c>
      <c r="S211" s="114" t="b">
        <v>1</v>
      </c>
      <c r="T211" s="114" t="b">
        <v>0</v>
      </c>
      <c r="U211" s="114" t="b">
        <v>0</v>
      </c>
      <c r="V211" s="114" t="b">
        <v>0</v>
      </c>
      <c r="W211" s="114" t="b">
        <v>0</v>
      </c>
      <c r="X211" s="114" t="b">
        <v>0</v>
      </c>
      <c r="Y211" s="114" t="b">
        <v>0</v>
      </c>
      <c r="Z211" s="114" t="b">
        <v>0</v>
      </c>
      <c r="AA211" s="114" t="b">
        <v>0</v>
      </c>
      <c r="AB211" s="114" t="b">
        <v>0</v>
      </c>
      <c r="AC211" s="114" t="b">
        <v>0</v>
      </c>
      <c r="AD211" s="114" t="b">
        <v>0</v>
      </c>
      <c r="AE211" s="114" t="b">
        <v>0</v>
      </c>
      <c r="AF211" s="114" t="b">
        <v>0</v>
      </c>
      <c r="AG211" s="114" t="b">
        <v>0</v>
      </c>
      <c r="AH211" s="114" t="b">
        <v>0</v>
      </c>
      <c r="AI211" s="114" t="b">
        <v>1</v>
      </c>
      <c r="AJ211" s="114" t="b">
        <v>0</v>
      </c>
      <c r="AK211" s="114" t="b">
        <v>0</v>
      </c>
      <c r="AL211" s="115" t="str">
        <f t="shared" si="1"/>
        <v>11 dari 31 (35%)</v>
      </c>
    </row>
    <row r="212" ht="22.5" customHeight="1">
      <c r="A212" s="10">
        <v>211.0</v>
      </c>
      <c r="B212" s="11"/>
      <c r="C212" s="20">
        <v>55546.0</v>
      </c>
      <c r="D212" s="12" t="s">
        <v>63</v>
      </c>
      <c r="E212" s="12" t="s">
        <v>58</v>
      </c>
      <c r="F212" s="13"/>
      <c r="G212" s="114" t="b">
        <v>1</v>
      </c>
      <c r="H212" s="114" t="b">
        <v>1</v>
      </c>
      <c r="I212" s="114" t="b">
        <v>1</v>
      </c>
      <c r="J212" s="114" t="b">
        <v>1</v>
      </c>
      <c r="K212" s="114" t="b">
        <v>1</v>
      </c>
      <c r="L212" s="114" t="b">
        <v>1</v>
      </c>
      <c r="M212" s="114" t="b">
        <v>1</v>
      </c>
      <c r="N212" s="114" t="b">
        <v>1</v>
      </c>
      <c r="O212" s="114" t="b">
        <v>1</v>
      </c>
      <c r="P212" s="114" t="b">
        <v>1</v>
      </c>
      <c r="Q212" s="114" t="b">
        <v>1</v>
      </c>
      <c r="R212" s="114" t="b">
        <v>0</v>
      </c>
      <c r="S212" s="114" t="b">
        <v>1</v>
      </c>
      <c r="T212" s="114" t="b">
        <v>0</v>
      </c>
      <c r="U212" s="114" t="b">
        <v>0</v>
      </c>
      <c r="V212" s="114" t="b">
        <v>0</v>
      </c>
      <c r="W212" s="114" t="b">
        <v>0</v>
      </c>
      <c r="X212" s="114" t="b">
        <v>0</v>
      </c>
      <c r="Y212" s="114" t="b">
        <v>0</v>
      </c>
      <c r="Z212" s="114" t="b">
        <v>0</v>
      </c>
      <c r="AA212" s="114" t="b">
        <v>0</v>
      </c>
      <c r="AB212" s="114" t="b">
        <v>0</v>
      </c>
      <c r="AC212" s="114" t="b">
        <v>0</v>
      </c>
      <c r="AD212" s="114" t="b">
        <v>0</v>
      </c>
      <c r="AE212" s="114" t="b">
        <v>0</v>
      </c>
      <c r="AF212" s="114" t="b">
        <v>0</v>
      </c>
      <c r="AG212" s="114" t="b">
        <v>0</v>
      </c>
      <c r="AH212" s="114" t="b">
        <v>0</v>
      </c>
      <c r="AI212" s="114" t="b">
        <v>1</v>
      </c>
      <c r="AJ212" s="114" t="b">
        <v>0</v>
      </c>
      <c r="AK212" s="114" t="b">
        <v>0</v>
      </c>
      <c r="AL212" s="115" t="str">
        <f t="shared" si="1"/>
        <v>13 dari 31 (42%)</v>
      </c>
    </row>
    <row r="213" ht="22.5" customHeight="1">
      <c r="A213" s="2">
        <v>212.0</v>
      </c>
      <c r="B213" s="11"/>
      <c r="C213" s="20">
        <v>60180.0</v>
      </c>
      <c r="D213" s="12" t="s">
        <v>63</v>
      </c>
      <c r="E213" s="12" t="s">
        <v>58</v>
      </c>
      <c r="F213" s="13"/>
      <c r="G213" s="114" t="b">
        <v>1</v>
      </c>
      <c r="H213" s="114" t="b">
        <v>1</v>
      </c>
      <c r="I213" s="114" t="b">
        <v>1</v>
      </c>
      <c r="J213" s="114" t="b">
        <v>1</v>
      </c>
      <c r="K213" s="114" t="b">
        <v>1</v>
      </c>
      <c r="L213" s="114" t="b">
        <v>1</v>
      </c>
      <c r="M213" s="114" t="b">
        <v>1</v>
      </c>
      <c r="N213" s="114" t="b">
        <v>1</v>
      </c>
      <c r="O213" s="114" t="b">
        <v>1</v>
      </c>
      <c r="P213" s="114" t="b">
        <v>1</v>
      </c>
      <c r="Q213" s="114" t="b">
        <v>1</v>
      </c>
      <c r="R213" s="114" t="b">
        <v>1</v>
      </c>
      <c r="S213" s="114" t="b">
        <v>1</v>
      </c>
      <c r="T213" s="114" t="b">
        <v>0</v>
      </c>
      <c r="U213" s="114" t="b">
        <v>0</v>
      </c>
      <c r="V213" s="114" t="b">
        <v>0</v>
      </c>
      <c r="W213" s="114" t="b">
        <v>0</v>
      </c>
      <c r="X213" s="114" t="b">
        <v>0</v>
      </c>
      <c r="Y213" s="114" t="b">
        <v>0</v>
      </c>
      <c r="Z213" s="114" t="b">
        <v>0</v>
      </c>
      <c r="AA213" s="114" t="b">
        <v>0</v>
      </c>
      <c r="AB213" s="114" t="b">
        <v>0</v>
      </c>
      <c r="AC213" s="114" t="b">
        <v>0</v>
      </c>
      <c r="AD213" s="114" t="b">
        <v>0</v>
      </c>
      <c r="AE213" s="114" t="b">
        <v>0</v>
      </c>
      <c r="AF213" s="114" t="b">
        <v>0</v>
      </c>
      <c r="AG213" s="114" t="b">
        <v>0</v>
      </c>
      <c r="AH213" s="114" t="b">
        <v>0</v>
      </c>
      <c r="AI213" s="114" t="b">
        <v>0</v>
      </c>
      <c r="AJ213" s="114" t="b">
        <v>0</v>
      </c>
      <c r="AK213" s="114" t="b">
        <v>0</v>
      </c>
      <c r="AL213" s="115" t="str">
        <f t="shared" si="1"/>
        <v>13 dari 31 (42%)</v>
      </c>
    </row>
    <row r="214" ht="22.5" customHeight="1">
      <c r="A214" s="10">
        <v>213.0</v>
      </c>
      <c r="B214" s="11"/>
      <c r="C214" s="20">
        <v>56344.0</v>
      </c>
      <c r="D214" s="12" t="s">
        <v>63</v>
      </c>
      <c r="E214" s="12" t="s">
        <v>58</v>
      </c>
      <c r="F214" s="13"/>
      <c r="G214" s="114" t="b">
        <v>1</v>
      </c>
      <c r="H214" s="114" t="b">
        <v>1</v>
      </c>
      <c r="I214" s="114" t="b">
        <v>1</v>
      </c>
      <c r="J214" s="114" t="b">
        <v>1</v>
      </c>
      <c r="K214" s="114" t="b">
        <v>1</v>
      </c>
      <c r="L214" s="114" t="b">
        <v>1</v>
      </c>
      <c r="M214" s="114" t="b">
        <v>1</v>
      </c>
      <c r="N214" s="114" t="b">
        <v>1</v>
      </c>
      <c r="O214" s="114" t="b">
        <v>1</v>
      </c>
      <c r="P214" s="114" t="b">
        <v>1</v>
      </c>
      <c r="Q214" s="114" t="b">
        <v>1</v>
      </c>
      <c r="R214" s="114" t="b">
        <v>0</v>
      </c>
      <c r="S214" s="114" t="b">
        <v>1</v>
      </c>
      <c r="T214" s="114" t="b">
        <v>0</v>
      </c>
      <c r="U214" s="114" t="b">
        <v>0</v>
      </c>
      <c r="V214" s="114" t="b">
        <v>0</v>
      </c>
      <c r="W214" s="114" t="b">
        <v>0</v>
      </c>
      <c r="X214" s="114" t="b">
        <v>0</v>
      </c>
      <c r="Y214" s="114" t="b">
        <v>0</v>
      </c>
      <c r="Z214" s="114" t="b">
        <v>0</v>
      </c>
      <c r="AA214" s="114" t="b">
        <v>0</v>
      </c>
      <c r="AB214" s="114" t="b">
        <v>0</v>
      </c>
      <c r="AC214" s="114" t="b">
        <v>0</v>
      </c>
      <c r="AD214" s="114" t="b">
        <v>0</v>
      </c>
      <c r="AE214" s="114" t="b">
        <v>0</v>
      </c>
      <c r="AF214" s="114" t="b">
        <v>0</v>
      </c>
      <c r="AG214" s="114" t="b">
        <v>0</v>
      </c>
      <c r="AH214" s="114" t="b">
        <v>0</v>
      </c>
      <c r="AI214" s="114" t="b">
        <v>1</v>
      </c>
      <c r="AJ214" s="114" t="b">
        <v>0</v>
      </c>
      <c r="AK214" s="114" t="b">
        <v>0</v>
      </c>
      <c r="AL214" s="115" t="str">
        <f t="shared" si="1"/>
        <v>13 dari 31 (42%)</v>
      </c>
    </row>
    <row r="215" ht="22.5" customHeight="1">
      <c r="A215" s="10">
        <v>214.0</v>
      </c>
      <c r="B215" s="11"/>
      <c r="C215" s="20">
        <v>60073.0</v>
      </c>
      <c r="D215" s="12" t="s">
        <v>63</v>
      </c>
      <c r="E215" s="12" t="s">
        <v>58</v>
      </c>
      <c r="F215" s="13"/>
      <c r="G215" s="114" t="b">
        <v>1</v>
      </c>
      <c r="H215" s="114" t="b">
        <v>1</v>
      </c>
      <c r="I215" s="114" t="b">
        <v>0</v>
      </c>
      <c r="J215" s="114" t="b">
        <v>1</v>
      </c>
      <c r="K215" s="114" t="b">
        <v>1</v>
      </c>
      <c r="L215" s="114" t="b">
        <v>1</v>
      </c>
      <c r="M215" s="114" t="b">
        <v>1</v>
      </c>
      <c r="N215" s="114" t="b">
        <v>1</v>
      </c>
      <c r="O215" s="114" t="b">
        <v>1</v>
      </c>
      <c r="P215" s="114" t="b">
        <v>1</v>
      </c>
      <c r="Q215" s="114" t="b">
        <v>1</v>
      </c>
      <c r="R215" s="114" t="b">
        <v>0</v>
      </c>
      <c r="S215" s="114" t="b">
        <v>1</v>
      </c>
      <c r="T215" s="114" t="b">
        <v>0</v>
      </c>
      <c r="U215" s="114" t="b">
        <v>0</v>
      </c>
      <c r="V215" s="114" t="b">
        <v>0</v>
      </c>
      <c r="W215" s="114" t="b">
        <v>0</v>
      </c>
      <c r="X215" s="114" t="b">
        <v>0</v>
      </c>
      <c r="Y215" s="114" t="b">
        <v>0</v>
      </c>
      <c r="Z215" s="114" t="b">
        <v>0</v>
      </c>
      <c r="AA215" s="114" t="b">
        <v>0</v>
      </c>
      <c r="AB215" s="114" t="b">
        <v>0</v>
      </c>
      <c r="AC215" s="114" t="b">
        <v>0</v>
      </c>
      <c r="AD215" s="114" t="b">
        <v>0</v>
      </c>
      <c r="AE215" s="114" t="b">
        <v>0</v>
      </c>
      <c r="AF215" s="114" t="b">
        <v>0</v>
      </c>
      <c r="AG215" s="114" t="b">
        <v>0</v>
      </c>
      <c r="AH215" s="114" t="b">
        <v>0</v>
      </c>
      <c r="AI215" s="114" t="b">
        <v>1</v>
      </c>
      <c r="AJ215" s="114" t="b">
        <v>0</v>
      </c>
      <c r="AK215" s="114" t="b">
        <v>0</v>
      </c>
      <c r="AL215" s="115" t="str">
        <f t="shared" si="1"/>
        <v>12 dari 31 (39%)</v>
      </c>
    </row>
    <row r="216" ht="22.5" customHeight="1">
      <c r="A216" s="2">
        <v>215.0</v>
      </c>
      <c r="B216" s="11"/>
      <c r="C216" s="20">
        <v>44964.0</v>
      </c>
      <c r="D216" s="12" t="s">
        <v>63</v>
      </c>
      <c r="E216" s="12" t="s">
        <v>58</v>
      </c>
      <c r="F216" s="13"/>
      <c r="G216" s="114" t="b">
        <v>1</v>
      </c>
      <c r="H216" s="114" t="b">
        <v>1</v>
      </c>
      <c r="I216" s="114" t="b">
        <v>1</v>
      </c>
      <c r="J216" s="114" t="b">
        <v>1</v>
      </c>
      <c r="K216" s="114" t="b">
        <v>1</v>
      </c>
      <c r="L216" s="114" t="b">
        <v>1</v>
      </c>
      <c r="M216" s="114" t="b">
        <v>1</v>
      </c>
      <c r="N216" s="114" t="b">
        <v>1</v>
      </c>
      <c r="O216" s="114" t="b">
        <v>1</v>
      </c>
      <c r="P216" s="114" t="b">
        <v>1</v>
      </c>
      <c r="Q216" s="114" t="b">
        <v>1</v>
      </c>
      <c r="R216" s="114" t="b">
        <v>0</v>
      </c>
      <c r="S216" s="114" t="b">
        <v>1</v>
      </c>
      <c r="T216" s="114" t="b">
        <v>0</v>
      </c>
      <c r="U216" s="114" t="b">
        <v>0</v>
      </c>
      <c r="V216" s="114" t="b">
        <v>0</v>
      </c>
      <c r="W216" s="114" t="b">
        <v>0</v>
      </c>
      <c r="X216" s="114" t="b">
        <v>0</v>
      </c>
      <c r="Y216" s="114" t="b">
        <v>0</v>
      </c>
      <c r="Z216" s="114" t="b">
        <v>0</v>
      </c>
      <c r="AA216" s="114" t="b">
        <v>0</v>
      </c>
      <c r="AB216" s="114" t="b">
        <v>0</v>
      </c>
      <c r="AC216" s="114" t="b">
        <v>0</v>
      </c>
      <c r="AD216" s="114" t="b">
        <v>0</v>
      </c>
      <c r="AE216" s="114" t="b">
        <v>0</v>
      </c>
      <c r="AF216" s="114" t="b">
        <v>0</v>
      </c>
      <c r="AG216" s="114" t="b">
        <v>0</v>
      </c>
      <c r="AH216" s="114" t="b">
        <v>0</v>
      </c>
      <c r="AI216" s="114" t="b">
        <v>1</v>
      </c>
      <c r="AJ216" s="114" t="b">
        <v>0</v>
      </c>
      <c r="AK216" s="114" t="b">
        <v>0</v>
      </c>
      <c r="AL216" s="115" t="str">
        <f t="shared" si="1"/>
        <v>13 dari 31 (42%)</v>
      </c>
    </row>
    <row r="217" ht="22.5" customHeight="1">
      <c r="A217" s="10">
        <v>216.0</v>
      </c>
      <c r="B217" s="11"/>
      <c r="C217" s="22">
        <v>60607.0</v>
      </c>
      <c r="D217" s="12" t="s">
        <v>63</v>
      </c>
      <c r="E217" s="12" t="s">
        <v>58</v>
      </c>
      <c r="F217" s="13"/>
      <c r="G217" s="114" t="b">
        <v>1</v>
      </c>
      <c r="H217" s="114" t="b">
        <v>1</v>
      </c>
      <c r="I217" s="114" t="b">
        <v>1</v>
      </c>
      <c r="J217" s="114" t="b">
        <v>1</v>
      </c>
      <c r="K217" s="114" t="b">
        <v>1</v>
      </c>
      <c r="L217" s="114" t="b">
        <v>1</v>
      </c>
      <c r="M217" s="114" t="b">
        <v>1</v>
      </c>
      <c r="N217" s="114" t="b">
        <v>1</v>
      </c>
      <c r="O217" s="114" t="b">
        <v>1</v>
      </c>
      <c r="P217" s="114" t="b">
        <v>1</v>
      </c>
      <c r="Q217" s="114" t="b">
        <v>1</v>
      </c>
      <c r="R217" s="114" t="b">
        <v>0</v>
      </c>
      <c r="S217" s="114" t="b">
        <v>1</v>
      </c>
      <c r="T217" s="114" t="b">
        <v>0</v>
      </c>
      <c r="U217" s="114" t="b">
        <v>0</v>
      </c>
      <c r="V217" s="114" t="b">
        <v>0</v>
      </c>
      <c r="W217" s="114" t="b">
        <v>0</v>
      </c>
      <c r="X217" s="114" t="b">
        <v>0</v>
      </c>
      <c r="Y217" s="114" t="b">
        <v>0</v>
      </c>
      <c r="Z217" s="114" t="b">
        <v>0</v>
      </c>
      <c r="AA217" s="114" t="b">
        <v>0</v>
      </c>
      <c r="AB217" s="114" t="b">
        <v>0</v>
      </c>
      <c r="AC217" s="114" t="b">
        <v>0</v>
      </c>
      <c r="AD217" s="114" t="b">
        <v>0</v>
      </c>
      <c r="AE217" s="114" t="b">
        <v>0</v>
      </c>
      <c r="AF217" s="114" t="b">
        <v>0</v>
      </c>
      <c r="AG217" s="114" t="b">
        <v>0</v>
      </c>
      <c r="AH217" s="114" t="b">
        <v>0</v>
      </c>
      <c r="AI217" s="114" t="b">
        <v>1</v>
      </c>
      <c r="AJ217" s="114" t="b">
        <v>0</v>
      </c>
      <c r="AK217" s="114" t="b">
        <v>0</v>
      </c>
      <c r="AL217" s="115" t="str">
        <f t="shared" si="1"/>
        <v>13 dari 31 (42%)</v>
      </c>
    </row>
    <row r="218" ht="22.5" customHeight="1">
      <c r="A218" s="2">
        <v>217.0</v>
      </c>
      <c r="B218" s="11"/>
      <c r="C218" s="22">
        <v>56926.0</v>
      </c>
      <c r="D218" s="12" t="s">
        <v>63</v>
      </c>
      <c r="E218" s="12" t="s">
        <v>58</v>
      </c>
      <c r="F218" s="13"/>
      <c r="G218" s="114" t="b">
        <v>1</v>
      </c>
      <c r="H218" s="114" t="b">
        <v>1</v>
      </c>
      <c r="I218" s="114" t="b">
        <v>1</v>
      </c>
      <c r="J218" s="114" t="b">
        <v>1</v>
      </c>
      <c r="K218" s="114" t="b">
        <v>1</v>
      </c>
      <c r="L218" s="114" t="b">
        <v>1</v>
      </c>
      <c r="M218" s="114" t="b">
        <v>1</v>
      </c>
      <c r="N218" s="114" t="b">
        <v>1</v>
      </c>
      <c r="O218" s="114" t="b">
        <v>1</v>
      </c>
      <c r="P218" s="114" t="b">
        <v>1</v>
      </c>
      <c r="Q218" s="114" t="b">
        <v>1</v>
      </c>
      <c r="R218" s="114" t="b">
        <v>0</v>
      </c>
      <c r="S218" s="114" t="b">
        <v>1</v>
      </c>
      <c r="T218" s="114" t="b">
        <v>0</v>
      </c>
      <c r="U218" s="114" t="b">
        <v>0</v>
      </c>
      <c r="V218" s="114" t="b">
        <v>0</v>
      </c>
      <c r="W218" s="114" t="b">
        <v>0</v>
      </c>
      <c r="X218" s="114" t="b">
        <v>0</v>
      </c>
      <c r="Y218" s="114" t="b">
        <v>0</v>
      </c>
      <c r="Z218" s="114" t="b">
        <v>0</v>
      </c>
      <c r="AA218" s="114" t="b">
        <v>0</v>
      </c>
      <c r="AB218" s="114" t="b">
        <v>0</v>
      </c>
      <c r="AC218" s="114" t="b">
        <v>0</v>
      </c>
      <c r="AD218" s="114" t="b">
        <v>0</v>
      </c>
      <c r="AE218" s="114" t="b">
        <v>0</v>
      </c>
      <c r="AF218" s="114" t="b">
        <v>0</v>
      </c>
      <c r="AG218" s="114" t="b">
        <v>0</v>
      </c>
      <c r="AH218" s="114" t="b">
        <v>0</v>
      </c>
      <c r="AI218" s="114" t="b">
        <v>1</v>
      </c>
      <c r="AJ218" s="114" t="b">
        <v>0</v>
      </c>
      <c r="AK218" s="114" t="b">
        <v>0</v>
      </c>
      <c r="AL218" s="115" t="str">
        <f t="shared" si="1"/>
        <v>13 dari 31 (42%)</v>
      </c>
    </row>
    <row r="219" ht="22.5" customHeight="1">
      <c r="A219" s="10">
        <v>218.0</v>
      </c>
      <c r="B219" s="11"/>
      <c r="C219" s="22">
        <v>60948.0</v>
      </c>
      <c r="D219" s="12" t="s">
        <v>63</v>
      </c>
      <c r="E219" s="12" t="s">
        <v>58</v>
      </c>
      <c r="F219" s="13"/>
      <c r="G219" s="114" t="b">
        <v>1</v>
      </c>
      <c r="H219" s="114" t="b">
        <v>1</v>
      </c>
      <c r="I219" s="114" t="b">
        <v>1</v>
      </c>
      <c r="J219" s="114" t="b">
        <v>1</v>
      </c>
      <c r="K219" s="114" t="b">
        <v>1</v>
      </c>
      <c r="L219" s="114" t="b">
        <v>1</v>
      </c>
      <c r="M219" s="114" t="b">
        <v>1</v>
      </c>
      <c r="N219" s="114" t="b">
        <v>1</v>
      </c>
      <c r="O219" s="114" t="b">
        <v>1</v>
      </c>
      <c r="P219" s="114" t="b">
        <v>1</v>
      </c>
      <c r="Q219" s="114" t="b">
        <v>1</v>
      </c>
      <c r="R219" s="114" t="b">
        <v>0</v>
      </c>
      <c r="S219" s="114" t="b">
        <v>1</v>
      </c>
      <c r="T219" s="114" t="b">
        <v>0</v>
      </c>
      <c r="U219" s="114" t="b">
        <v>0</v>
      </c>
      <c r="V219" s="114" t="b">
        <v>0</v>
      </c>
      <c r="W219" s="114" t="b">
        <v>0</v>
      </c>
      <c r="X219" s="114" t="b">
        <v>0</v>
      </c>
      <c r="Y219" s="114" t="b">
        <v>0</v>
      </c>
      <c r="Z219" s="114" t="b">
        <v>0</v>
      </c>
      <c r="AA219" s="114" t="b">
        <v>0</v>
      </c>
      <c r="AB219" s="114" t="b">
        <v>0</v>
      </c>
      <c r="AC219" s="114" t="b">
        <v>0</v>
      </c>
      <c r="AD219" s="114" t="b">
        <v>0</v>
      </c>
      <c r="AE219" s="114" t="b">
        <v>0</v>
      </c>
      <c r="AF219" s="114" t="b">
        <v>0</v>
      </c>
      <c r="AG219" s="114" t="b">
        <v>0</v>
      </c>
      <c r="AH219" s="114" t="b">
        <v>0</v>
      </c>
      <c r="AI219" s="114" t="b">
        <v>0</v>
      </c>
      <c r="AJ219" s="114" t="b">
        <v>0</v>
      </c>
      <c r="AK219" s="114" t="b">
        <v>0</v>
      </c>
      <c r="AL219" s="115" t="str">
        <f t="shared" si="1"/>
        <v>12 dari 31 (39%)</v>
      </c>
    </row>
    <row r="220" ht="22.5" customHeight="1">
      <c r="A220" s="10">
        <v>219.0</v>
      </c>
      <c r="B220" s="11"/>
      <c r="C220" s="22">
        <v>61043.0</v>
      </c>
      <c r="D220" s="12" t="s">
        <v>63</v>
      </c>
      <c r="E220" s="12" t="s">
        <v>58</v>
      </c>
      <c r="F220" s="13"/>
      <c r="G220" s="114" t="b">
        <v>1</v>
      </c>
      <c r="H220" s="114" t="b">
        <v>1</v>
      </c>
      <c r="I220" s="114" t="b">
        <v>1</v>
      </c>
      <c r="J220" s="114" t="b">
        <v>1</v>
      </c>
      <c r="K220" s="114" t="b">
        <v>1</v>
      </c>
      <c r="L220" s="114" t="b">
        <v>1</v>
      </c>
      <c r="M220" s="114" t="b">
        <v>1</v>
      </c>
      <c r="N220" s="114" t="b">
        <v>1</v>
      </c>
      <c r="O220" s="114" t="b">
        <v>1</v>
      </c>
      <c r="P220" s="114" t="b">
        <v>1</v>
      </c>
      <c r="Q220" s="114" t="b">
        <v>1</v>
      </c>
      <c r="R220" s="114" t="b">
        <v>1</v>
      </c>
      <c r="S220" s="114" t="b">
        <v>1</v>
      </c>
      <c r="T220" s="114" t="b">
        <v>0</v>
      </c>
      <c r="U220" s="114" t="b">
        <v>0</v>
      </c>
      <c r="V220" s="114" t="b">
        <v>0</v>
      </c>
      <c r="W220" s="114" t="b">
        <v>0</v>
      </c>
      <c r="X220" s="114" t="b">
        <v>0</v>
      </c>
      <c r="Y220" s="114" t="b">
        <v>0</v>
      </c>
      <c r="Z220" s="114" t="b">
        <v>0</v>
      </c>
      <c r="AA220" s="114" t="b">
        <v>0</v>
      </c>
      <c r="AB220" s="114" t="b">
        <v>0</v>
      </c>
      <c r="AC220" s="114" t="b">
        <v>0</v>
      </c>
      <c r="AD220" s="114" t="b">
        <v>0</v>
      </c>
      <c r="AE220" s="114" t="b">
        <v>0</v>
      </c>
      <c r="AF220" s="114" t="b">
        <v>0</v>
      </c>
      <c r="AG220" s="114" t="b">
        <v>0</v>
      </c>
      <c r="AH220" s="114" t="b">
        <v>0</v>
      </c>
      <c r="AI220" s="114" t="b">
        <v>1</v>
      </c>
      <c r="AJ220" s="114" t="b">
        <v>0</v>
      </c>
      <c r="AK220" s="114" t="b">
        <v>0</v>
      </c>
      <c r="AL220" s="115" t="str">
        <f t="shared" si="1"/>
        <v>14 dari 31 (45%)</v>
      </c>
    </row>
    <row r="221" ht="22.5" customHeight="1">
      <c r="A221" s="2">
        <v>220.0</v>
      </c>
      <c r="B221" s="11"/>
      <c r="C221" s="22">
        <v>59302.0</v>
      </c>
      <c r="D221" s="12" t="s">
        <v>63</v>
      </c>
      <c r="E221" s="12" t="s">
        <v>58</v>
      </c>
      <c r="F221" s="15" t="s">
        <v>50</v>
      </c>
      <c r="G221" s="114" t="b">
        <v>1</v>
      </c>
      <c r="H221" s="114" t="b">
        <v>0</v>
      </c>
      <c r="I221" s="114" t="b">
        <v>0</v>
      </c>
      <c r="J221" s="114" t="b">
        <v>0</v>
      </c>
      <c r="K221" s="114" t="b">
        <v>0</v>
      </c>
      <c r="L221" s="114" t="b">
        <v>0</v>
      </c>
      <c r="M221" s="114" t="b">
        <v>0</v>
      </c>
      <c r="N221" s="114" t="b">
        <v>0</v>
      </c>
      <c r="O221" s="114" t="b">
        <v>0</v>
      </c>
      <c r="P221" s="114" t="b">
        <v>0</v>
      </c>
      <c r="Q221" s="114" t="b">
        <v>0</v>
      </c>
      <c r="R221" s="114" t="b">
        <v>0</v>
      </c>
      <c r="S221" s="114" t="b">
        <v>0</v>
      </c>
      <c r="T221" s="114" t="b">
        <v>0</v>
      </c>
      <c r="U221" s="114" t="b">
        <v>0</v>
      </c>
      <c r="V221" s="114" t="b">
        <v>0</v>
      </c>
      <c r="W221" s="114" t="b">
        <v>0</v>
      </c>
      <c r="X221" s="114" t="b">
        <v>0</v>
      </c>
      <c r="Y221" s="114" t="b">
        <v>0</v>
      </c>
      <c r="Z221" s="114" t="b">
        <v>0</v>
      </c>
      <c r="AA221" s="114" t="b">
        <v>0</v>
      </c>
      <c r="AB221" s="114" t="b">
        <v>0</v>
      </c>
      <c r="AC221" s="114" t="b">
        <v>0</v>
      </c>
      <c r="AD221" s="114" t="b">
        <v>0</v>
      </c>
      <c r="AE221" s="114" t="b">
        <v>0</v>
      </c>
      <c r="AF221" s="114" t="b">
        <v>0</v>
      </c>
      <c r="AG221" s="114" t="b">
        <v>0</v>
      </c>
      <c r="AH221" s="114" t="b">
        <v>0</v>
      </c>
      <c r="AI221" s="114" t="b">
        <v>0</v>
      </c>
      <c r="AJ221" s="114" t="b">
        <v>0</v>
      </c>
      <c r="AK221" s="114" t="b">
        <v>0</v>
      </c>
      <c r="AL221" s="115" t="str">
        <f t="shared" si="1"/>
        <v>1 dari 31 (3%)</v>
      </c>
    </row>
    <row r="222" ht="22.5" customHeight="1">
      <c r="A222" s="10">
        <v>221.0</v>
      </c>
      <c r="B222" s="11"/>
      <c r="C222" s="20">
        <v>61045.0</v>
      </c>
      <c r="D222" s="7" t="s">
        <v>93</v>
      </c>
      <c r="E222" s="7" t="s">
        <v>94</v>
      </c>
      <c r="F222" s="13"/>
      <c r="G222" s="114" t="b">
        <v>1</v>
      </c>
      <c r="H222" s="114" t="b">
        <v>0</v>
      </c>
      <c r="I222" s="114" t="b">
        <v>1</v>
      </c>
      <c r="J222" s="114" t="b">
        <v>1</v>
      </c>
      <c r="K222" s="114" t="b">
        <v>1</v>
      </c>
      <c r="L222" s="114" t="b">
        <v>1</v>
      </c>
      <c r="M222" s="114" t="b">
        <v>1</v>
      </c>
      <c r="N222" s="114" t="b">
        <v>1</v>
      </c>
      <c r="O222" s="114" t="b">
        <v>1</v>
      </c>
      <c r="P222" s="114" t="b">
        <v>1</v>
      </c>
      <c r="Q222" s="114" t="b">
        <v>1</v>
      </c>
      <c r="R222" s="114" t="b">
        <v>1</v>
      </c>
      <c r="S222" s="114" t="b">
        <v>1</v>
      </c>
      <c r="T222" s="114" t="b">
        <v>1</v>
      </c>
      <c r="U222" s="114" t="b">
        <v>0</v>
      </c>
      <c r="V222" s="114" t="b">
        <v>0</v>
      </c>
      <c r="W222" s="114" t="b">
        <v>1</v>
      </c>
      <c r="X222" s="114" t="b">
        <v>1</v>
      </c>
      <c r="Y222" s="114" t="b">
        <v>1</v>
      </c>
      <c r="Z222" s="114" t="b">
        <v>0</v>
      </c>
      <c r="AA222" s="114" t="b">
        <v>0</v>
      </c>
      <c r="AB222" s="114" t="b">
        <v>0</v>
      </c>
      <c r="AC222" s="114" t="b">
        <v>0</v>
      </c>
      <c r="AD222" s="114" t="b">
        <v>0</v>
      </c>
      <c r="AE222" s="114" t="b">
        <v>0</v>
      </c>
      <c r="AF222" s="114" t="b">
        <v>0</v>
      </c>
      <c r="AG222" s="114" t="b">
        <v>0</v>
      </c>
      <c r="AH222" s="114" t="b">
        <v>0</v>
      </c>
      <c r="AI222" s="114" t="b">
        <v>1</v>
      </c>
      <c r="AJ222" s="114" t="b">
        <v>0</v>
      </c>
      <c r="AK222" s="114" t="b">
        <v>0</v>
      </c>
      <c r="AL222" s="115" t="str">
        <f t="shared" si="1"/>
        <v>17 dari 31 (55%)</v>
      </c>
    </row>
    <row r="223" ht="22.5" customHeight="1">
      <c r="A223" s="2">
        <v>222.0</v>
      </c>
      <c r="B223" s="11"/>
      <c r="C223" s="20">
        <v>33874.0</v>
      </c>
      <c r="D223" s="21" t="s">
        <v>89</v>
      </c>
      <c r="E223" s="21" t="s">
        <v>95</v>
      </c>
      <c r="F223" s="15" t="s">
        <v>50</v>
      </c>
      <c r="G223" s="114" t="b">
        <v>1</v>
      </c>
      <c r="H223" s="114" t="b">
        <v>0</v>
      </c>
      <c r="I223" s="114" t="b">
        <v>0</v>
      </c>
      <c r="J223" s="114" t="b">
        <v>0</v>
      </c>
      <c r="K223" s="114" t="b">
        <v>0</v>
      </c>
      <c r="L223" s="114" t="b">
        <v>0</v>
      </c>
      <c r="M223" s="114" t="b">
        <v>0</v>
      </c>
      <c r="N223" s="114" t="b">
        <v>0</v>
      </c>
      <c r="O223" s="114" t="b">
        <v>0</v>
      </c>
      <c r="P223" s="114" t="b">
        <v>0</v>
      </c>
      <c r="Q223" s="114" t="b">
        <v>0</v>
      </c>
      <c r="R223" s="114" t="b">
        <v>0</v>
      </c>
      <c r="S223" s="114" t="b">
        <v>0</v>
      </c>
      <c r="T223" s="114" t="b">
        <v>0</v>
      </c>
      <c r="U223" s="114" t="b">
        <v>0</v>
      </c>
      <c r="V223" s="114" t="b">
        <v>0</v>
      </c>
      <c r="W223" s="114" t="b">
        <v>0</v>
      </c>
      <c r="X223" s="114" t="b">
        <v>0</v>
      </c>
      <c r="Y223" s="114" t="b">
        <v>0</v>
      </c>
      <c r="Z223" s="114" t="b">
        <v>0</v>
      </c>
      <c r="AA223" s="114" t="b">
        <v>0</v>
      </c>
      <c r="AB223" s="114" t="b">
        <v>0</v>
      </c>
      <c r="AC223" s="114" t="b">
        <v>0</v>
      </c>
      <c r="AD223" s="114" t="b">
        <v>0</v>
      </c>
      <c r="AE223" s="114" t="b">
        <v>0</v>
      </c>
      <c r="AF223" s="114" t="b">
        <v>0</v>
      </c>
      <c r="AG223" s="114" t="b">
        <v>0</v>
      </c>
      <c r="AH223" s="114" t="b">
        <v>0</v>
      </c>
      <c r="AI223" s="114" t="b">
        <v>0</v>
      </c>
      <c r="AJ223" s="114" t="b">
        <v>0</v>
      </c>
      <c r="AK223" s="114" t="b">
        <v>0</v>
      </c>
      <c r="AL223" s="115" t="str">
        <f t="shared" si="1"/>
        <v>1 dari 31 (3%)</v>
      </c>
    </row>
    <row r="224" ht="22.5" customHeight="1">
      <c r="A224" s="10">
        <v>223.0</v>
      </c>
      <c r="B224" s="11"/>
      <c r="C224" s="20">
        <v>35202.0</v>
      </c>
      <c r="D224" s="21" t="s">
        <v>89</v>
      </c>
      <c r="E224" s="21" t="s">
        <v>95</v>
      </c>
      <c r="F224" s="15" t="s">
        <v>50</v>
      </c>
      <c r="G224" s="114" t="b">
        <v>1</v>
      </c>
      <c r="H224" s="114" t="b">
        <v>0</v>
      </c>
      <c r="I224" s="114" t="b">
        <v>0</v>
      </c>
      <c r="J224" s="114" t="b">
        <v>0</v>
      </c>
      <c r="K224" s="114" t="b">
        <v>0</v>
      </c>
      <c r="L224" s="114" t="b">
        <v>0</v>
      </c>
      <c r="M224" s="114" t="b">
        <v>0</v>
      </c>
      <c r="N224" s="114" t="b">
        <v>0</v>
      </c>
      <c r="O224" s="114" t="b">
        <v>0</v>
      </c>
      <c r="P224" s="114" t="b">
        <v>0</v>
      </c>
      <c r="Q224" s="114" t="b">
        <v>0</v>
      </c>
      <c r="R224" s="114" t="b">
        <v>0</v>
      </c>
      <c r="S224" s="114" t="b">
        <v>0</v>
      </c>
      <c r="T224" s="114" t="b">
        <v>0</v>
      </c>
      <c r="U224" s="114" t="b">
        <v>0</v>
      </c>
      <c r="V224" s="114" t="b">
        <v>0</v>
      </c>
      <c r="W224" s="114" t="b">
        <v>0</v>
      </c>
      <c r="X224" s="114" t="b">
        <v>0</v>
      </c>
      <c r="Y224" s="114" t="b">
        <v>0</v>
      </c>
      <c r="Z224" s="114" t="b">
        <v>0</v>
      </c>
      <c r="AA224" s="114" t="b">
        <v>0</v>
      </c>
      <c r="AB224" s="114" t="b">
        <v>0</v>
      </c>
      <c r="AC224" s="114" t="b">
        <v>0</v>
      </c>
      <c r="AD224" s="114" t="b">
        <v>0</v>
      </c>
      <c r="AE224" s="114" t="b">
        <v>0</v>
      </c>
      <c r="AF224" s="114" t="b">
        <v>0</v>
      </c>
      <c r="AG224" s="114" t="b">
        <v>0</v>
      </c>
      <c r="AH224" s="114" t="b">
        <v>0</v>
      </c>
      <c r="AI224" s="114" t="b">
        <v>0</v>
      </c>
      <c r="AJ224" s="114" t="b">
        <v>0</v>
      </c>
      <c r="AK224" s="114" t="b">
        <v>0</v>
      </c>
      <c r="AL224" s="115" t="str">
        <f t="shared" si="1"/>
        <v>1 dari 31 (3%)</v>
      </c>
    </row>
    <row r="225" ht="22.5" customHeight="1">
      <c r="A225" s="10">
        <v>224.0</v>
      </c>
      <c r="B225" s="11"/>
      <c r="C225" s="20">
        <v>61046.0</v>
      </c>
      <c r="D225" s="21" t="s">
        <v>89</v>
      </c>
      <c r="E225" s="21" t="s">
        <v>95</v>
      </c>
      <c r="F225" s="15" t="s">
        <v>50</v>
      </c>
      <c r="G225" s="114" t="b">
        <v>1</v>
      </c>
      <c r="H225" s="114" t="b">
        <v>0</v>
      </c>
      <c r="I225" s="114" t="b">
        <v>0</v>
      </c>
      <c r="J225" s="114" t="b">
        <v>0</v>
      </c>
      <c r="K225" s="114" t="b">
        <v>0</v>
      </c>
      <c r="L225" s="114" t="b">
        <v>0</v>
      </c>
      <c r="M225" s="114" t="b">
        <v>0</v>
      </c>
      <c r="N225" s="114" t="b">
        <v>0</v>
      </c>
      <c r="O225" s="114" t="b">
        <v>0</v>
      </c>
      <c r="P225" s="114" t="b">
        <v>0</v>
      </c>
      <c r="Q225" s="114" t="b">
        <v>0</v>
      </c>
      <c r="R225" s="114" t="b">
        <v>0</v>
      </c>
      <c r="S225" s="114" t="b">
        <v>0</v>
      </c>
      <c r="T225" s="114" t="b">
        <v>0</v>
      </c>
      <c r="U225" s="114" t="b">
        <v>0</v>
      </c>
      <c r="V225" s="114" t="b">
        <v>0</v>
      </c>
      <c r="W225" s="114" t="b">
        <v>0</v>
      </c>
      <c r="X225" s="114" t="b">
        <v>0</v>
      </c>
      <c r="Y225" s="114" t="b">
        <v>0</v>
      </c>
      <c r="Z225" s="114" t="b">
        <v>0</v>
      </c>
      <c r="AA225" s="114" t="b">
        <v>0</v>
      </c>
      <c r="AB225" s="114" t="b">
        <v>0</v>
      </c>
      <c r="AC225" s="114" t="b">
        <v>0</v>
      </c>
      <c r="AD225" s="114" t="b">
        <v>0</v>
      </c>
      <c r="AE225" s="114" t="b">
        <v>0</v>
      </c>
      <c r="AF225" s="114" t="b">
        <v>0</v>
      </c>
      <c r="AG225" s="114" t="b">
        <v>0</v>
      </c>
      <c r="AH225" s="114" t="b">
        <v>0</v>
      </c>
      <c r="AI225" s="114" t="b">
        <v>0</v>
      </c>
      <c r="AJ225" s="114" t="b">
        <v>0</v>
      </c>
      <c r="AK225" s="114" t="b">
        <v>0</v>
      </c>
      <c r="AL225" s="115" t="str">
        <f t="shared" si="1"/>
        <v>1 dari 31 (3%)</v>
      </c>
    </row>
    <row r="226" ht="22.5" customHeight="1">
      <c r="A226" s="2">
        <v>225.0</v>
      </c>
      <c r="B226" s="11"/>
      <c r="C226" s="20">
        <v>61047.0</v>
      </c>
      <c r="D226" s="21" t="s">
        <v>89</v>
      </c>
      <c r="E226" s="21" t="s">
        <v>95</v>
      </c>
      <c r="F226" s="15" t="s">
        <v>50</v>
      </c>
      <c r="G226" s="114" t="b">
        <v>1</v>
      </c>
      <c r="H226" s="114" t="b">
        <v>0</v>
      </c>
      <c r="I226" s="114" t="b">
        <v>0</v>
      </c>
      <c r="J226" s="114" t="b">
        <v>0</v>
      </c>
      <c r="K226" s="114" t="b">
        <v>0</v>
      </c>
      <c r="L226" s="114" t="b">
        <v>0</v>
      </c>
      <c r="M226" s="114" t="b">
        <v>0</v>
      </c>
      <c r="N226" s="114" t="b">
        <v>0</v>
      </c>
      <c r="O226" s="114" t="b">
        <v>0</v>
      </c>
      <c r="P226" s="114" t="b">
        <v>0</v>
      </c>
      <c r="Q226" s="114" t="b">
        <v>0</v>
      </c>
      <c r="R226" s="114" t="b">
        <v>0</v>
      </c>
      <c r="S226" s="114" t="b">
        <v>0</v>
      </c>
      <c r="T226" s="114" t="b">
        <v>0</v>
      </c>
      <c r="U226" s="114" t="b">
        <v>0</v>
      </c>
      <c r="V226" s="114" t="b">
        <v>0</v>
      </c>
      <c r="W226" s="114" t="b">
        <v>0</v>
      </c>
      <c r="X226" s="114" t="b">
        <v>0</v>
      </c>
      <c r="Y226" s="114" t="b">
        <v>0</v>
      </c>
      <c r="Z226" s="114" t="b">
        <v>0</v>
      </c>
      <c r="AA226" s="114" t="b">
        <v>0</v>
      </c>
      <c r="AB226" s="114" t="b">
        <v>0</v>
      </c>
      <c r="AC226" s="114" t="b">
        <v>0</v>
      </c>
      <c r="AD226" s="114" t="b">
        <v>0</v>
      </c>
      <c r="AE226" s="114" t="b">
        <v>0</v>
      </c>
      <c r="AF226" s="114" t="b">
        <v>0</v>
      </c>
      <c r="AG226" s="114" t="b">
        <v>0</v>
      </c>
      <c r="AH226" s="114" t="b">
        <v>0</v>
      </c>
      <c r="AI226" s="114" t="b">
        <v>0</v>
      </c>
      <c r="AJ226" s="114" t="b">
        <v>0</v>
      </c>
      <c r="AK226" s="114" t="b">
        <v>0</v>
      </c>
      <c r="AL226" s="115" t="str">
        <f t="shared" si="1"/>
        <v>1 dari 31 (3%)</v>
      </c>
    </row>
    <row r="227" ht="22.5" customHeight="1">
      <c r="A227" s="82">
        <v>226.0</v>
      </c>
      <c r="B227" s="83"/>
      <c r="C227" s="84">
        <v>61048.0</v>
      </c>
      <c r="D227" s="125" t="s">
        <v>89</v>
      </c>
      <c r="E227" s="125" t="s">
        <v>95</v>
      </c>
      <c r="F227" s="86" t="s">
        <v>67</v>
      </c>
      <c r="G227" s="116" t="b">
        <v>0</v>
      </c>
      <c r="H227" s="116" t="b">
        <v>0</v>
      </c>
      <c r="I227" s="116" t="b">
        <v>0</v>
      </c>
      <c r="J227" s="116" t="b">
        <v>0</v>
      </c>
      <c r="K227" s="116" t="b">
        <v>0</v>
      </c>
      <c r="L227" s="116" t="b">
        <v>0</v>
      </c>
      <c r="M227" s="116" t="b">
        <v>0</v>
      </c>
      <c r="N227" s="116" t="b">
        <v>0</v>
      </c>
      <c r="O227" s="116" t="b">
        <v>0</v>
      </c>
      <c r="P227" s="116" t="b">
        <v>0</v>
      </c>
      <c r="Q227" s="116" t="b">
        <v>0</v>
      </c>
      <c r="R227" s="116" t="b">
        <v>0</v>
      </c>
      <c r="S227" s="116" t="b">
        <v>0</v>
      </c>
      <c r="T227" s="116" t="b">
        <v>0</v>
      </c>
      <c r="U227" s="116" t="b">
        <v>0</v>
      </c>
      <c r="V227" s="116" t="b">
        <v>0</v>
      </c>
      <c r="W227" s="116" t="b">
        <v>0</v>
      </c>
      <c r="X227" s="116" t="b">
        <v>0</v>
      </c>
      <c r="Y227" s="116" t="b">
        <v>0</v>
      </c>
      <c r="Z227" s="116" t="b">
        <v>0</v>
      </c>
      <c r="AA227" s="116" t="b">
        <v>0</v>
      </c>
      <c r="AB227" s="116" t="b">
        <v>0</v>
      </c>
      <c r="AC227" s="116" t="b">
        <v>0</v>
      </c>
      <c r="AD227" s="116" t="b">
        <v>0</v>
      </c>
      <c r="AE227" s="116" t="b">
        <v>0</v>
      </c>
      <c r="AF227" s="116" t="b">
        <v>0</v>
      </c>
      <c r="AG227" s="116" t="b">
        <v>0</v>
      </c>
      <c r="AH227" s="116" t="b">
        <v>0</v>
      </c>
      <c r="AI227" s="116" t="b">
        <v>0</v>
      </c>
      <c r="AJ227" s="116" t="b">
        <v>0</v>
      </c>
      <c r="AK227" s="116" t="b">
        <v>0</v>
      </c>
      <c r="AL227" s="117" t="str">
        <f t="shared" si="1"/>
        <v>0 dari 31 (0%)</v>
      </c>
    </row>
    <row r="228" ht="22.5" customHeight="1">
      <c r="A228" s="92">
        <v>227.0</v>
      </c>
      <c r="B228" s="83"/>
      <c r="C228" s="84">
        <v>61044.0</v>
      </c>
      <c r="D228" s="125" t="s">
        <v>89</v>
      </c>
      <c r="E228" s="125" t="s">
        <v>95</v>
      </c>
      <c r="F228" s="86" t="s">
        <v>67</v>
      </c>
      <c r="G228" s="116" t="b">
        <v>0</v>
      </c>
      <c r="H228" s="116" t="b">
        <v>0</v>
      </c>
      <c r="I228" s="116" t="b">
        <v>0</v>
      </c>
      <c r="J228" s="116" t="b">
        <v>0</v>
      </c>
      <c r="K228" s="116" t="b">
        <v>0</v>
      </c>
      <c r="L228" s="116" t="b">
        <v>0</v>
      </c>
      <c r="M228" s="116" t="b">
        <v>0</v>
      </c>
      <c r="N228" s="116" t="b">
        <v>0</v>
      </c>
      <c r="O228" s="116" t="b">
        <v>0</v>
      </c>
      <c r="P228" s="116" t="b">
        <v>0</v>
      </c>
      <c r="Q228" s="116" t="b">
        <v>0</v>
      </c>
      <c r="R228" s="116" t="b">
        <v>0</v>
      </c>
      <c r="S228" s="116" t="b">
        <v>0</v>
      </c>
      <c r="T228" s="116" t="b">
        <v>0</v>
      </c>
      <c r="U228" s="116" t="b">
        <v>0</v>
      </c>
      <c r="V228" s="116" t="b">
        <v>0</v>
      </c>
      <c r="W228" s="116" t="b">
        <v>0</v>
      </c>
      <c r="X228" s="116" t="b">
        <v>0</v>
      </c>
      <c r="Y228" s="116" t="b">
        <v>0</v>
      </c>
      <c r="Z228" s="116" t="b">
        <v>0</v>
      </c>
      <c r="AA228" s="116" t="b">
        <v>0</v>
      </c>
      <c r="AB228" s="116" t="b">
        <v>0</v>
      </c>
      <c r="AC228" s="116" t="b">
        <v>0</v>
      </c>
      <c r="AD228" s="116" t="b">
        <v>0</v>
      </c>
      <c r="AE228" s="116" t="b">
        <v>0</v>
      </c>
      <c r="AF228" s="116" t="b">
        <v>0</v>
      </c>
      <c r="AG228" s="116" t="b">
        <v>0</v>
      </c>
      <c r="AH228" s="116" t="b">
        <v>0</v>
      </c>
      <c r="AI228" s="116" t="b">
        <v>0</v>
      </c>
      <c r="AJ228" s="116" t="b">
        <v>0</v>
      </c>
      <c r="AK228" s="116" t="b">
        <v>0</v>
      </c>
      <c r="AL228" s="117" t="str">
        <f t="shared" si="1"/>
        <v>0 dari 31 (0%)</v>
      </c>
    </row>
    <row r="230">
      <c r="B230" s="71" t="s">
        <v>38</v>
      </c>
      <c r="C230" s="72"/>
      <c r="D230" s="72"/>
      <c r="E230" s="72"/>
      <c r="F230" s="73"/>
      <c r="G230" s="74">
        <f>COUNTIF(JULI_2[ID Encounter], TRUE)</f>
        <v>217</v>
      </c>
      <c r="H230" s="74">
        <f>COUNTIF(JULI_2[ID Condition], TRUE)</f>
        <v>200</v>
      </c>
      <c r="I230" s="74">
        <f>COUNTIF(JULI_2[ID Clinical Impression], TRUE)</f>
        <v>133</v>
      </c>
      <c r="J230" s="74">
        <f>COUNTIF(JULI_2[ID Observation Tensi], TRUE)</f>
        <v>198</v>
      </c>
      <c r="K230" s="74">
        <f>COUNTIF(JULI_2[ID Observation Nadi], TRUE)</f>
        <v>206</v>
      </c>
      <c r="L230" s="74">
        <f>COUNTIF(JULI_2[ID Observation RR], TRUE)</f>
        <v>207</v>
      </c>
      <c r="M230" s="74">
        <f>COUNTIF(JULI_2[ID Observation Suhu], TRUE)</f>
        <v>207</v>
      </c>
      <c r="N230" s="74">
        <f>COUNTIF(JULI_2[ID Observation SPO2], TRUE)</f>
        <v>206</v>
      </c>
      <c r="O230" s="74">
        <f>COUNTIF(JULI_2[ID Observation GCS], TRUE)</f>
        <v>205</v>
      </c>
      <c r="P230" s="74">
        <f>COUNTIF(JULI_2[ID Observation Tinggi], TRUE)</f>
        <v>205</v>
      </c>
      <c r="Q230" s="74">
        <f>COUNTIF(JULI_2[ID Observation Berat], TRUE)</f>
        <v>204</v>
      </c>
      <c r="R230" s="74">
        <f>COUNTIF(JULI_2[ID Observation Perut], TRUE)</f>
        <v>183</v>
      </c>
      <c r="S230" s="74">
        <f>COUNTIF(JULI_2[ID Observation Kesadaran], TRUE)</f>
        <v>207</v>
      </c>
      <c r="T230" s="74">
        <f>COUNTIF(JULI_2[ID Procedure], TRUE)</f>
        <v>167</v>
      </c>
      <c r="U230" s="74">
        <f>COUNTIF(JULI_2[ID Composition], TRUE)</f>
        <v>0</v>
      </c>
      <c r="V230" s="74">
        <f>COUNTIF(JULI_2[ID Vaksin/Imunisasi], TRUE)</f>
        <v>0</v>
      </c>
      <c r="W230" s="74">
        <f>COUNTIF(JULI_2[ID Medication Request], TRUE)</f>
        <v>7</v>
      </c>
      <c r="X230" s="74">
        <f>COUNTIF(JULI_2[ID Medication Dispense], TRUE)</f>
        <v>6</v>
      </c>
      <c r="Y230" s="74">
        <f>COUNTIF(JULI_2[ID Medication Statement], TRUE)</f>
        <v>4</v>
      </c>
      <c r="Z230" s="74">
        <f>COUNTIF(JULI_2[ID Service Request Radiologi], TRUE)</f>
        <v>6</v>
      </c>
      <c r="AA230" s="74">
        <f>COUNTIF(JULI_2[ID Specimen Radiologi], TRUE)</f>
        <v>6</v>
      </c>
      <c r="AB230" s="74">
        <f>COUNTIF(JULI_2[ID Observation Radiologi], TRUE)</f>
        <v>6</v>
      </c>
      <c r="AC230" s="74">
        <f>COUNTIF(JULI_2[ID Diagnostic Report Radiologi], TRUE)</f>
        <v>6</v>
      </c>
      <c r="AD230" s="74">
        <f>COUNTIF(JULI_2[Image Study], TRUE)</f>
        <v>5</v>
      </c>
      <c r="AE230" s="74">
        <f>COUNTIF(JULI_2[ID Service Request Lab PK], TRUE)</f>
        <v>2</v>
      </c>
      <c r="AF230" s="74">
        <f>COUNTIF(JULI_2[ID Specimen Lab PK], TRUE)</f>
        <v>2</v>
      </c>
      <c r="AG230" s="74">
        <f>COUNTIF(JULI_2[ID Observation Lab PK], TRUE)</f>
        <v>2</v>
      </c>
      <c r="AH230" s="74">
        <f>COUNTIF(JULI_2[ID Diagnostic Report Lab PK], TRUE)</f>
        <v>2</v>
      </c>
      <c r="AI230" s="74">
        <f>COUNTIF(JULI_2[ID Care Plan], TRUE)</f>
        <v>167</v>
      </c>
      <c r="AJ230" s="74">
        <f>COUNTIF(JULI_2[ID Allergy], TRUE)</f>
        <v>0</v>
      </c>
      <c r="AK230" s="74">
        <f>COUNTIF(JULI_2[ID Questionnaire], TRUE)</f>
        <v>0</v>
      </c>
      <c r="AL230" s="75" t="str">
        <f>COUNTIF(JULI_2[[ID Encounter]:[ID Questionnaire]], TRUE()) &amp; " dari " &amp; (ROWS(JULI_2[[ID Encounter]:[ID Questionnaire]])*COLUMNS(JULI_2[[ID Encounter]:[ID Questionnaire]])) &amp; " (" &amp; TEXT(COUNTIF(JULI_2[[ID Encounter]:[ID Questionnaire]], TRUE())/(ROWS(JULI_2[[ID Encounter]:[ID Questionnaire]])*COLUMNS(JULI_2[[ID Encounter]:[ID Questionnaire]])),"0%") &amp; ")"</f>
        <v>2966 dari 7037 (42%)</v>
      </c>
    </row>
    <row r="231">
      <c r="B231" s="76"/>
      <c r="C231" s="77"/>
      <c r="D231" s="77"/>
      <c r="E231" s="77"/>
      <c r="F231" s="78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</row>
  </sheetData>
  <mergeCells count="33">
    <mergeCell ref="B230:F231"/>
    <mergeCell ref="G230:G231"/>
    <mergeCell ref="H230:H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Z230:Z231"/>
    <mergeCell ref="AH230:AH231"/>
    <mergeCell ref="AI230:AI231"/>
    <mergeCell ref="AJ230:AJ231"/>
    <mergeCell ref="AK230:AK231"/>
    <mergeCell ref="AL230:AL231"/>
    <mergeCell ref="AA230:AA231"/>
    <mergeCell ref="AB230:AB231"/>
    <mergeCell ref="AC230:AC231"/>
    <mergeCell ref="AD230:AD231"/>
    <mergeCell ref="AE230:AE231"/>
    <mergeCell ref="AF230:AF231"/>
    <mergeCell ref="AG230:AG23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1.88"/>
    <col customWidth="1" min="5" max="5" width="42.63"/>
    <col customWidth="1" min="6" max="6" width="19.0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0" max="20" width="15.25"/>
    <col customWidth="1" min="22" max="22" width="20.5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30" max="30" width="14.88"/>
    <col customWidth="1" min="31" max="31" width="25.38"/>
    <col customWidth="1" min="32" max="32" width="20.63"/>
    <col customWidth="1" min="33" max="33" width="22.25"/>
    <col customWidth="1" min="34" max="34" width="26.63"/>
    <col customWidth="1" min="38" max="38" width="2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46206.0</v>
      </c>
      <c r="C2" s="4">
        <v>55144.0</v>
      </c>
      <c r="D2" s="4" t="s">
        <v>40</v>
      </c>
      <c r="E2" s="4" t="s">
        <v>43</v>
      </c>
      <c r="F2" s="5"/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68" si="1">COUNTIF(G2:AK2, TRUE()) &amp; " dari " &amp; COLUMNS(G2:AK2) &amp; " (" &amp; TEXT(COUNTIF(G2:AK2, TRUE())/COLUMNS(G2:AK2),"0%") &amp; ")"</f>
        <v>15 dari 31 (48%)</v>
      </c>
    </row>
    <row r="3" ht="22.5" customHeight="1">
      <c r="A3" s="10">
        <v>2.0</v>
      </c>
      <c r="B3" s="11"/>
      <c r="C3" s="4">
        <v>59773.0</v>
      </c>
      <c r="D3" s="12" t="s">
        <v>47</v>
      </c>
      <c r="E3" s="12" t="s">
        <v>48</v>
      </c>
      <c r="F3" s="13"/>
      <c r="G3" s="16" t="b">
        <v>1</v>
      </c>
      <c r="H3" s="16" t="b">
        <v>1</v>
      </c>
      <c r="I3" s="16" t="b">
        <v>1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15 dari 31 (48%)</v>
      </c>
    </row>
    <row r="4" ht="22.5" customHeight="1">
      <c r="A4" s="2">
        <v>3.0</v>
      </c>
      <c r="B4" s="18"/>
      <c r="C4" s="4">
        <v>60579.0</v>
      </c>
      <c r="D4" s="4" t="s">
        <v>51</v>
      </c>
      <c r="E4" s="4" t="s">
        <v>52</v>
      </c>
      <c r="F4" s="5"/>
      <c r="G4" s="6" t="b">
        <v>1</v>
      </c>
      <c r="H4" s="6" t="b">
        <v>1</v>
      </c>
      <c r="I4" s="6" t="b">
        <v>0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12 dari 31 (39%)</v>
      </c>
    </row>
    <row r="5" ht="22.5" customHeight="1">
      <c r="A5" s="10">
        <v>4.0</v>
      </c>
      <c r="B5" s="11"/>
      <c r="C5" s="4">
        <v>60700.0</v>
      </c>
      <c r="D5" s="12" t="s">
        <v>59</v>
      </c>
      <c r="E5" s="12" t="s">
        <v>57</v>
      </c>
      <c r="F5" s="13"/>
      <c r="G5" s="16" t="b">
        <v>1</v>
      </c>
      <c r="H5" s="16" t="b">
        <v>1</v>
      </c>
      <c r="I5" s="16" t="b">
        <v>0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14 dari 31 (45%)</v>
      </c>
    </row>
    <row r="6" ht="22.5" customHeight="1">
      <c r="A6" s="2">
        <v>5.0</v>
      </c>
      <c r="B6" s="18"/>
      <c r="C6" s="4">
        <v>57764.0</v>
      </c>
      <c r="D6" s="4" t="s">
        <v>59</v>
      </c>
      <c r="E6" s="4" t="s">
        <v>57</v>
      </c>
      <c r="F6" s="5"/>
      <c r="G6" s="6" t="b">
        <v>1</v>
      </c>
      <c r="H6" s="6" t="b">
        <v>1</v>
      </c>
      <c r="I6" s="6" t="b">
        <v>0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1</v>
      </c>
      <c r="AF6" s="6" t="b">
        <v>1</v>
      </c>
      <c r="AG6" s="6" t="b">
        <v>1</v>
      </c>
      <c r="AH6" s="6" t="b">
        <v>1</v>
      </c>
      <c r="AI6" s="6" t="b">
        <v>1</v>
      </c>
      <c r="AJ6" s="6" t="b">
        <v>0</v>
      </c>
      <c r="AK6" s="6" t="b">
        <v>0</v>
      </c>
      <c r="AL6" s="9" t="str">
        <f t="shared" si="1"/>
        <v>18 dari 31 (58%)</v>
      </c>
    </row>
    <row r="7" ht="22.5" customHeight="1">
      <c r="A7" s="10">
        <v>6.0</v>
      </c>
      <c r="B7" s="11"/>
      <c r="C7" s="19">
        <v>44813.0</v>
      </c>
      <c r="D7" s="12" t="s">
        <v>59</v>
      </c>
      <c r="E7" s="12" t="s">
        <v>45</v>
      </c>
      <c r="F7" s="13"/>
      <c r="G7" s="16" t="b">
        <v>1</v>
      </c>
      <c r="H7" s="16" t="b">
        <v>1</v>
      </c>
      <c r="I7" s="16" t="b">
        <v>0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0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13 dari 31 (42%)</v>
      </c>
    </row>
    <row r="8" ht="22.5" customHeight="1">
      <c r="A8" s="2">
        <v>7.0</v>
      </c>
      <c r="B8" s="18"/>
      <c r="C8" s="19">
        <v>50887.0</v>
      </c>
      <c r="D8" s="4" t="s">
        <v>59</v>
      </c>
      <c r="E8" s="4" t="s">
        <v>45</v>
      </c>
      <c r="F8" s="5"/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1</v>
      </c>
      <c r="AA8" s="6" t="b">
        <v>1</v>
      </c>
      <c r="AB8" s="6" t="b">
        <v>1</v>
      </c>
      <c r="AC8" s="6" t="b">
        <v>1</v>
      </c>
      <c r="AD8" s="6" t="b">
        <v>1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9" t="str">
        <f t="shared" si="1"/>
        <v>18 dari 31 (58%)</v>
      </c>
    </row>
    <row r="9" ht="22.5" customHeight="1">
      <c r="A9" s="10">
        <v>8.0</v>
      </c>
      <c r="B9" s="11"/>
      <c r="C9" s="19">
        <v>60428.0</v>
      </c>
      <c r="D9" s="12" t="s">
        <v>59</v>
      </c>
      <c r="E9" s="12" t="s">
        <v>45</v>
      </c>
      <c r="F9" s="13"/>
      <c r="G9" s="16" t="b">
        <v>1</v>
      </c>
      <c r="H9" s="16" t="b">
        <v>1</v>
      </c>
      <c r="I9" s="16" t="b">
        <v>0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0</v>
      </c>
      <c r="U9" s="16" t="b">
        <v>0</v>
      </c>
      <c r="V9" s="16" t="b">
        <v>0</v>
      </c>
      <c r="W9" s="16" t="b">
        <v>1</v>
      </c>
      <c r="X9" s="16" t="b">
        <v>1</v>
      </c>
      <c r="Y9" s="16" t="b">
        <v>1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1</v>
      </c>
      <c r="AJ9" s="16" t="b">
        <v>0</v>
      </c>
      <c r="AK9" s="16" t="b">
        <v>0</v>
      </c>
      <c r="AL9" s="17" t="str">
        <f t="shared" si="1"/>
        <v>16 dari 31 (52%)</v>
      </c>
    </row>
    <row r="10" ht="22.5" customHeight="1">
      <c r="A10" s="2">
        <v>9.0</v>
      </c>
      <c r="B10" s="18"/>
      <c r="C10" s="4">
        <v>55526.0</v>
      </c>
      <c r="D10" s="4" t="s">
        <v>54</v>
      </c>
      <c r="E10" s="4" t="s">
        <v>62</v>
      </c>
      <c r="F10" s="5"/>
      <c r="G10" s="6" t="b">
        <v>1</v>
      </c>
      <c r="H10" s="6" t="b">
        <v>1</v>
      </c>
      <c r="I10" s="6" t="b">
        <v>0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13 dari 31 (42%)</v>
      </c>
    </row>
    <row r="11" ht="22.5" customHeight="1">
      <c r="A11" s="10">
        <v>10.0</v>
      </c>
      <c r="B11" s="11"/>
      <c r="C11" s="4">
        <v>60915.0</v>
      </c>
      <c r="D11" s="12" t="s">
        <v>54</v>
      </c>
      <c r="E11" s="12" t="s">
        <v>62</v>
      </c>
      <c r="F11" s="13"/>
      <c r="G11" s="16" t="b">
        <v>1</v>
      </c>
      <c r="H11" s="16" t="b">
        <v>1</v>
      </c>
      <c r="I11" s="16" t="b">
        <v>1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15 dari 31 (48%)</v>
      </c>
    </row>
    <row r="12" ht="22.5" customHeight="1">
      <c r="A12" s="2">
        <v>11.0</v>
      </c>
      <c r="B12" s="18"/>
      <c r="C12" s="20">
        <v>54389.0</v>
      </c>
      <c r="D12" s="4" t="s">
        <v>54</v>
      </c>
      <c r="E12" s="4" t="s">
        <v>55</v>
      </c>
      <c r="F12" s="5"/>
      <c r="G12" s="6" t="b">
        <v>1</v>
      </c>
      <c r="H12" s="6" t="b">
        <v>1</v>
      </c>
      <c r="I12" s="6" t="b">
        <v>0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0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12 dari 31 (39%)</v>
      </c>
    </row>
    <row r="13" ht="22.5" customHeight="1">
      <c r="A13" s="10">
        <v>12.0</v>
      </c>
      <c r="B13" s="11"/>
      <c r="C13" s="20">
        <v>60226.0</v>
      </c>
      <c r="D13" s="12" t="s">
        <v>51</v>
      </c>
      <c r="E13" s="12" t="s">
        <v>65</v>
      </c>
      <c r="F13" s="13"/>
      <c r="G13" s="16" t="b">
        <v>1</v>
      </c>
      <c r="H13" s="16" t="b">
        <v>1</v>
      </c>
      <c r="I13" s="16" t="b">
        <v>0</v>
      </c>
      <c r="J13" s="16" t="b">
        <v>1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7" t="str">
        <f t="shared" si="1"/>
        <v>13 dari 31 (42%)</v>
      </c>
    </row>
    <row r="14" ht="22.5" customHeight="1">
      <c r="A14" s="2">
        <v>13.0</v>
      </c>
      <c r="B14" s="18"/>
      <c r="C14" s="20">
        <v>32322.0</v>
      </c>
      <c r="D14" s="4" t="s">
        <v>39</v>
      </c>
      <c r="E14" s="4" t="s">
        <v>57</v>
      </c>
      <c r="F14" s="5"/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1</v>
      </c>
      <c r="AJ14" s="6" t="b">
        <v>0</v>
      </c>
      <c r="AK14" s="6" t="b">
        <v>0</v>
      </c>
      <c r="AL14" s="9" t="str">
        <f t="shared" si="1"/>
        <v>15 dari 31 (48%)</v>
      </c>
    </row>
    <row r="15" ht="22.5" customHeight="1">
      <c r="A15" s="10">
        <v>14.0</v>
      </c>
      <c r="B15" s="11"/>
      <c r="C15" s="20">
        <v>58138.0</v>
      </c>
      <c r="D15" s="12" t="s">
        <v>51</v>
      </c>
      <c r="E15" s="12" t="s">
        <v>65</v>
      </c>
      <c r="F15" s="13"/>
      <c r="G15" s="16" t="b">
        <v>1</v>
      </c>
      <c r="H15" s="16" t="b">
        <v>1</v>
      </c>
      <c r="I15" s="16" t="b">
        <v>0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13 dari 31 (42%)</v>
      </c>
    </row>
    <row r="16" ht="22.5" customHeight="1">
      <c r="A16" s="2">
        <v>15.0</v>
      </c>
      <c r="B16" s="18"/>
      <c r="C16" s="20">
        <v>44349.0</v>
      </c>
      <c r="D16" s="4" t="s">
        <v>41</v>
      </c>
      <c r="E16" s="4" t="s">
        <v>48</v>
      </c>
      <c r="F16" s="5"/>
      <c r="G16" s="6" t="b">
        <v>1</v>
      </c>
      <c r="H16" s="6" t="b">
        <v>1</v>
      </c>
      <c r="I16" s="6" t="b">
        <v>1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1</v>
      </c>
      <c r="AA16" s="6" t="b">
        <v>1</v>
      </c>
      <c r="AB16" s="6" t="b">
        <v>1</v>
      </c>
      <c r="AC16" s="6" t="b">
        <v>1</v>
      </c>
      <c r="AD16" s="6" t="b">
        <v>1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1</v>
      </c>
      <c r="AJ16" s="6" t="b">
        <v>0</v>
      </c>
      <c r="AK16" s="6" t="b">
        <v>0</v>
      </c>
      <c r="AL16" s="9" t="str">
        <f t="shared" si="1"/>
        <v>20 dari 31 (65%)</v>
      </c>
    </row>
    <row r="17" ht="22.5" customHeight="1">
      <c r="A17" s="10">
        <v>16.0</v>
      </c>
      <c r="B17" s="11"/>
      <c r="C17" s="19">
        <v>39173.0</v>
      </c>
      <c r="D17" s="12" t="s">
        <v>41</v>
      </c>
      <c r="E17" s="12" t="s">
        <v>48</v>
      </c>
      <c r="F17" s="13"/>
      <c r="G17" s="16" t="b">
        <v>1</v>
      </c>
      <c r="H17" s="16" t="b">
        <v>1</v>
      </c>
      <c r="I17" s="16" t="b">
        <v>0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13 dari 31 (42%)</v>
      </c>
    </row>
    <row r="18" ht="22.5" customHeight="1">
      <c r="A18" s="23">
        <v>17.0</v>
      </c>
      <c r="B18" s="24"/>
      <c r="C18" s="25">
        <v>59397.0</v>
      </c>
      <c r="D18" s="26" t="s">
        <v>41</v>
      </c>
      <c r="E18" s="26" t="s">
        <v>48</v>
      </c>
      <c r="F18" s="27" t="s">
        <v>67</v>
      </c>
      <c r="G18" s="28" t="b">
        <v>0</v>
      </c>
      <c r="H18" s="28" t="b">
        <v>0</v>
      </c>
      <c r="I18" s="28" t="b">
        <v>0</v>
      </c>
      <c r="J18" s="28" t="b">
        <v>0</v>
      </c>
      <c r="K18" s="28" t="b">
        <v>0</v>
      </c>
      <c r="L18" s="28" t="b">
        <v>0</v>
      </c>
      <c r="M18" s="28" t="b">
        <v>0</v>
      </c>
      <c r="N18" s="28" t="b">
        <v>0</v>
      </c>
      <c r="O18" s="28" t="b">
        <v>0</v>
      </c>
      <c r="P18" s="28" t="b">
        <v>0</v>
      </c>
      <c r="Q18" s="28" t="b">
        <v>0</v>
      </c>
      <c r="R18" s="28" t="b">
        <v>0</v>
      </c>
      <c r="S18" s="28" t="b">
        <v>0</v>
      </c>
      <c r="T18" s="28" t="b">
        <v>0</v>
      </c>
      <c r="U18" s="28" t="b">
        <v>0</v>
      </c>
      <c r="V18" s="28" t="b">
        <v>0</v>
      </c>
      <c r="W18" s="28" t="b">
        <v>0</v>
      </c>
      <c r="X18" s="28" t="b">
        <v>0</v>
      </c>
      <c r="Y18" s="28" t="b">
        <v>0</v>
      </c>
      <c r="Z18" s="28" t="b">
        <v>0</v>
      </c>
      <c r="AA18" s="28" t="b">
        <v>0</v>
      </c>
      <c r="AB18" s="28" t="b">
        <v>0</v>
      </c>
      <c r="AC18" s="28" t="b">
        <v>0</v>
      </c>
      <c r="AD18" s="28" t="b">
        <v>0</v>
      </c>
      <c r="AE18" s="28" t="b">
        <v>0</v>
      </c>
      <c r="AF18" s="28" t="b">
        <v>0</v>
      </c>
      <c r="AG18" s="28" t="b">
        <v>0</v>
      </c>
      <c r="AH18" s="28" t="b">
        <v>0</v>
      </c>
      <c r="AI18" s="28" t="b">
        <v>0</v>
      </c>
      <c r="AJ18" s="28" t="b">
        <v>0</v>
      </c>
      <c r="AK18" s="28" t="b">
        <v>0</v>
      </c>
      <c r="AL18" s="29" t="str">
        <f t="shared" si="1"/>
        <v>0 dari 31 (0%)</v>
      </c>
    </row>
    <row r="19" ht="22.5" customHeight="1">
      <c r="A19" s="10">
        <v>18.0</v>
      </c>
      <c r="B19" s="11"/>
      <c r="C19" s="22">
        <v>60796.0</v>
      </c>
      <c r="D19" s="12" t="s">
        <v>68</v>
      </c>
      <c r="E19" s="12" t="s">
        <v>69</v>
      </c>
      <c r="F19" s="13"/>
      <c r="G19" s="16" t="b">
        <v>1</v>
      </c>
      <c r="H19" s="16" t="b">
        <v>1</v>
      </c>
      <c r="I19" s="16" t="b">
        <v>1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0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1</v>
      </c>
      <c r="AJ19" s="16" t="b">
        <v>0</v>
      </c>
      <c r="AK19" s="16" t="b">
        <v>0</v>
      </c>
      <c r="AL19" s="17" t="str">
        <f t="shared" si="1"/>
        <v>14 dari 31 (45%)</v>
      </c>
    </row>
    <row r="20" ht="22.5" customHeight="1">
      <c r="A20" s="30">
        <v>19.0</v>
      </c>
      <c r="B20" s="31"/>
      <c r="C20" s="32">
        <v>59397.0</v>
      </c>
      <c r="D20" s="33" t="s">
        <v>68</v>
      </c>
      <c r="E20" s="33" t="s">
        <v>69</v>
      </c>
      <c r="F20" s="34"/>
      <c r="G20" s="35" t="b">
        <v>0</v>
      </c>
      <c r="H20" s="35" t="b">
        <v>0</v>
      </c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5" t="b">
        <v>0</v>
      </c>
      <c r="R20" s="35" t="b">
        <v>0</v>
      </c>
      <c r="S20" s="35" t="b">
        <v>0</v>
      </c>
      <c r="T20" s="35" t="b">
        <v>0</v>
      </c>
      <c r="U20" s="35" t="b">
        <v>0</v>
      </c>
      <c r="V20" s="35" t="b">
        <v>0</v>
      </c>
      <c r="W20" s="35" t="b">
        <v>0</v>
      </c>
      <c r="X20" s="35" t="b">
        <v>0</v>
      </c>
      <c r="Y20" s="35" t="b">
        <v>0</v>
      </c>
      <c r="Z20" s="35" t="b">
        <v>0</v>
      </c>
      <c r="AA20" s="35" t="b">
        <v>0</v>
      </c>
      <c r="AB20" s="35" t="b">
        <v>0</v>
      </c>
      <c r="AC20" s="35" t="b">
        <v>0</v>
      </c>
      <c r="AD20" s="35" t="b">
        <v>0</v>
      </c>
      <c r="AE20" s="35" t="b">
        <v>0</v>
      </c>
      <c r="AF20" s="35" t="b">
        <v>0</v>
      </c>
      <c r="AG20" s="35" t="b">
        <v>0</v>
      </c>
      <c r="AH20" s="35" t="b">
        <v>0</v>
      </c>
      <c r="AI20" s="35" t="b">
        <v>0</v>
      </c>
      <c r="AJ20" s="35" t="b">
        <v>0</v>
      </c>
      <c r="AK20" s="35" t="b">
        <v>0</v>
      </c>
      <c r="AL20" s="38" t="str">
        <f t="shared" si="1"/>
        <v>0 dari 31 (0%)</v>
      </c>
    </row>
    <row r="21" ht="22.5" customHeight="1">
      <c r="A21" s="10">
        <v>20.0</v>
      </c>
      <c r="B21" s="11"/>
      <c r="C21" s="22">
        <v>60626.0</v>
      </c>
      <c r="D21" s="12" t="s">
        <v>68</v>
      </c>
      <c r="E21" s="12" t="s">
        <v>69</v>
      </c>
      <c r="F21" s="13"/>
      <c r="G21" s="16" t="b">
        <v>1</v>
      </c>
      <c r="H21" s="16" t="b">
        <v>1</v>
      </c>
      <c r="I21" s="16" t="b">
        <v>1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1</v>
      </c>
      <c r="AJ21" s="16" t="b">
        <v>0</v>
      </c>
      <c r="AK21" s="16" t="b">
        <v>0</v>
      </c>
      <c r="AL21" s="17" t="str">
        <f t="shared" si="1"/>
        <v>14 dari 31 (45%)</v>
      </c>
    </row>
    <row r="22" ht="22.5" customHeight="1">
      <c r="A22" s="2">
        <v>21.0</v>
      </c>
      <c r="B22" s="18"/>
      <c r="C22" s="20">
        <v>60593.0</v>
      </c>
      <c r="D22" s="4" t="s">
        <v>39</v>
      </c>
      <c r="E22" s="4" t="s">
        <v>45</v>
      </c>
      <c r="F22" s="5"/>
      <c r="G22" s="6" t="b">
        <v>1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0</v>
      </c>
      <c r="U22" s="6" t="b">
        <v>0</v>
      </c>
      <c r="V22" s="6" t="b">
        <v>0</v>
      </c>
      <c r="W22" s="6" t="b">
        <v>1</v>
      </c>
      <c r="X22" s="6" t="b">
        <v>1</v>
      </c>
      <c r="Y22" s="6" t="b">
        <v>1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1</v>
      </c>
      <c r="AJ22" s="6" t="b">
        <v>0</v>
      </c>
      <c r="AK22" s="6" t="b">
        <v>0</v>
      </c>
      <c r="AL22" s="9" t="str">
        <f t="shared" si="1"/>
        <v>17 dari 31 (55%)</v>
      </c>
    </row>
    <row r="23" ht="22.5" customHeight="1">
      <c r="A23" s="10">
        <v>22.0</v>
      </c>
      <c r="B23" s="11"/>
      <c r="C23" s="20">
        <v>60400.0</v>
      </c>
      <c r="D23" s="12" t="s">
        <v>39</v>
      </c>
      <c r="E23" s="12" t="s">
        <v>57</v>
      </c>
      <c r="F23" s="13"/>
      <c r="G23" s="16" t="b">
        <v>1</v>
      </c>
      <c r="H23" s="16" t="b">
        <v>1</v>
      </c>
      <c r="I23" s="16" t="b">
        <v>1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14 dari 31 (45%)</v>
      </c>
    </row>
    <row r="24" ht="22.5" customHeight="1">
      <c r="A24" s="2">
        <v>23.0</v>
      </c>
      <c r="B24" s="18"/>
      <c r="C24" s="20">
        <v>59938.0</v>
      </c>
      <c r="D24" s="12" t="s">
        <v>40</v>
      </c>
      <c r="E24" s="12" t="s">
        <v>49</v>
      </c>
      <c r="F24" s="14" t="s">
        <v>50</v>
      </c>
      <c r="G24" s="6" t="b">
        <v>1</v>
      </c>
      <c r="H24" s="6" t="b">
        <v>0</v>
      </c>
      <c r="I24" s="6" t="b">
        <v>0</v>
      </c>
      <c r="J24" s="6" t="b">
        <v>0</v>
      </c>
      <c r="K24" s="6" t="b">
        <v>0</v>
      </c>
      <c r="L24" s="6" t="b">
        <v>0</v>
      </c>
      <c r="M24" s="6" t="b">
        <v>0</v>
      </c>
      <c r="N24" s="6" t="b">
        <v>0</v>
      </c>
      <c r="O24" s="6" t="b">
        <v>0</v>
      </c>
      <c r="P24" s="6" t="b">
        <v>0</v>
      </c>
      <c r="Q24" s="6" t="b">
        <v>0</v>
      </c>
      <c r="R24" s="6" t="b">
        <v>0</v>
      </c>
      <c r="S24" s="6" t="b">
        <v>0</v>
      </c>
      <c r="T24" s="6" t="b">
        <v>0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1 dari 31 (3%)</v>
      </c>
    </row>
    <row r="25" ht="22.5" customHeight="1">
      <c r="A25" s="10">
        <v>24.0</v>
      </c>
      <c r="B25" s="11"/>
      <c r="C25" s="20">
        <v>57816.0</v>
      </c>
      <c r="D25" s="12" t="s">
        <v>40</v>
      </c>
      <c r="E25" s="12" t="s">
        <v>49</v>
      </c>
      <c r="F25" s="14" t="s">
        <v>50</v>
      </c>
      <c r="G25" s="16" t="b">
        <v>1</v>
      </c>
      <c r="H25" s="16" t="b">
        <v>0</v>
      </c>
      <c r="I25" s="16" t="b">
        <v>0</v>
      </c>
      <c r="J25" s="16" t="b">
        <v>0</v>
      </c>
      <c r="K25" s="16" t="b">
        <v>0</v>
      </c>
      <c r="L25" s="16" t="b">
        <v>0</v>
      </c>
      <c r="M25" s="16" t="b">
        <v>0</v>
      </c>
      <c r="N25" s="16" t="b">
        <v>0</v>
      </c>
      <c r="O25" s="16" t="b">
        <v>0</v>
      </c>
      <c r="P25" s="16" t="b">
        <v>0</v>
      </c>
      <c r="Q25" s="16" t="b">
        <v>0</v>
      </c>
      <c r="R25" s="16" t="b">
        <v>0</v>
      </c>
      <c r="S25" s="16" t="b">
        <v>0</v>
      </c>
      <c r="T25" s="16" t="b">
        <v>0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1 dari 31 (3%)</v>
      </c>
    </row>
    <row r="26" ht="22.5" customHeight="1">
      <c r="A26" s="2">
        <v>25.0</v>
      </c>
      <c r="B26" s="18"/>
      <c r="C26" s="22">
        <v>46969.0</v>
      </c>
      <c r="D26" s="12" t="s">
        <v>68</v>
      </c>
      <c r="E26" s="12" t="s">
        <v>69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0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1</v>
      </c>
      <c r="AJ26" s="6" t="b">
        <v>0</v>
      </c>
      <c r="AK26" s="6" t="b">
        <v>0</v>
      </c>
      <c r="AL26" s="9" t="str">
        <f t="shared" si="1"/>
        <v>14 dari 31 (45%)</v>
      </c>
    </row>
    <row r="27" ht="22.5" customHeight="1">
      <c r="A27" s="10">
        <v>26.0</v>
      </c>
      <c r="B27" s="11"/>
      <c r="C27" s="22">
        <v>60202.0</v>
      </c>
      <c r="D27" s="12" t="s">
        <v>68</v>
      </c>
      <c r="E27" s="12" t="s">
        <v>69</v>
      </c>
      <c r="F27" s="13"/>
      <c r="G27" s="16" t="b">
        <v>1</v>
      </c>
      <c r="H27" s="16" t="b">
        <v>1</v>
      </c>
      <c r="I27" s="16" t="b">
        <v>0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0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1</v>
      </c>
      <c r="AJ27" s="16" t="b">
        <v>0</v>
      </c>
      <c r="AK27" s="16" t="b">
        <v>0</v>
      </c>
      <c r="AL27" s="17" t="str">
        <f t="shared" si="1"/>
        <v>13 dari 31 (42%)</v>
      </c>
    </row>
    <row r="28" ht="22.5" customHeight="1">
      <c r="A28" s="2">
        <v>27.0</v>
      </c>
      <c r="B28" s="18"/>
      <c r="C28" s="22">
        <v>42974.0</v>
      </c>
      <c r="D28" s="12" t="s">
        <v>74</v>
      </c>
      <c r="E28" s="12" t="s">
        <v>75</v>
      </c>
      <c r="F28" s="13"/>
      <c r="G28" s="6" t="b">
        <v>1</v>
      </c>
      <c r="H28" s="6" t="b">
        <v>1</v>
      </c>
      <c r="I28" s="6" t="b">
        <v>0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9" t="str">
        <f t="shared" si="1"/>
        <v>13 dari 31 (42%)</v>
      </c>
    </row>
    <row r="29" ht="22.5" customHeight="1">
      <c r="A29" s="10">
        <v>28.0</v>
      </c>
      <c r="B29" s="11"/>
      <c r="C29" s="22">
        <v>60029.0</v>
      </c>
      <c r="D29" s="12" t="s">
        <v>56</v>
      </c>
      <c r="E29" s="12" t="s">
        <v>60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1</v>
      </c>
      <c r="AJ29" s="16" t="b">
        <v>0</v>
      </c>
      <c r="AK29" s="16" t="b">
        <v>0</v>
      </c>
      <c r="AL29" s="17" t="str">
        <f t="shared" si="1"/>
        <v>15 dari 31 (48%)</v>
      </c>
    </row>
    <row r="30" ht="22.5" customHeight="1">
      <c r="A30" s="2">
        <v>29.0</v>
      </c>
      <c r="B30" s="18"/>
      <c r="C30" s="22">
        <v>60598.0</v>
      </c>
      <c r="D30" s="12" t="s">
        <v>51</v>
      </c>
      <c r="E30" s="12" t="s">
        <v>65</v>
      </c>
      <c r="F30" s="13"/>
      <c r="G30" s="6" t="b">
        <v>1</v>
      </c>
      <c r="H30" s="6" t="b">
        <v>1</v>
      </c>
      <c r="I30" s="6" t="b">
        <v>0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1"/>
        <v>12 dari 31 (39%)</v>
      </c>
    </row>
    <row r="31" ht="22.5" customHeight="1">
      <c r="A31" s="10">
        <v>30.0</v>
      </c>
      <c r="B31" s="11"/>
      <c r="C31" s="22">
        <v>51403.0</v>
      </c>
      <c r="D31" s="12" t="s">
        <v>53</v>
      </c>
      <c r="E31" s="12" t="s">
        <v>77</v>
      </c>
      <c r="F31" s="13"/>
      <c r="G31" s="16" t="b">
        <v>1</v>
      </c>
      <c r="H31" s="16" t="b">
        <v>1</v>
      </c>
      <c r="I31" s="16" t="b">
        <v>1</v>
      </c>
      <c r="J31" s="16" t="b">
        <v>0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13 dari 31 (42%)</v>
      </c>
    </row>
    <row r="32" ht="22.5" customHeight="1">
      <c r="A32" s="2">
        <v>31.0</v>
      </c>
      <c r="B32" s="18"/>
      <c r="C32" s="20">
        <v>60905.0</v>
      </c>
      <c r="D32" s="12" t="s">
        <v>51</v>
      </c>
      <c r="E32" s="12" t="s">
        <v>52</v>
      </c>
      <c r="F32" s="13"/>
      <c r="G32" s="6" t="b">
        <v>1</v>
      </c>
      <c r="H32" s="6" t="b">
        <v>1</v>
      </c>
      <c r="I32" s="6" t="b">
        <v>0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13 dari 31 (42%)</v>
      </c>
    </row>
    <row r="33" ht="22.5" customHeight="1">
      <c r="A33" s="10">
        <v>32.0</v>
      </c>
      <c r="B33" s="11"/>
      <c r="C33" s="20">
        <v>56132.0</v>
      </c>
      <c r="D33" s="12" t="s">
        <v>56</v>
      </c>
      <c r="E33" s="12" t="s">
        <v>60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15 dari 31 (48%)</v>
      </c>
    </row>
    <row r="34" ht="22.5" customHeight="1">
      <c r="A34" s="2">
        <v>33.0</v>
      </c>
      <c r="B34" s="18"/>
      <c r="C34" s="20">
        <v>60273.0</v>
      </c>
      <c r="D34" s="12" t="s">
        <v>68</v>
      </c>
      <c r="E34" s="12" t="s">
        <v>69</v>
      </c>
      <c r="F34" s="13"/>
      <c r="G34" s="6" t="b">
        <v>1</v>
      </c>
      <c r="H34" s="6" t="b">
        <v>1</v>
      </c>
      <c r="I34" s="6" t="b">
        <v>0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0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1"/>
        <v>13 dari 31 (42%)</v>
      </c>
    </row>
    <row r="35" ht="22.5" customHeight="1">
      <c r="A35" s="10">
        <v>34.0</v>
      </c>
      <c r="B35" s="11"/>
      <c r="C35" s="20">
        <v>59629.0</v>
      </c>
      <c r="D35" s="12" t="s">
        <v>39</v>
      </c>
      <c r="E35" s="12" t="s">
        <v>57</v>
      </c>
      <c r="F35" s="13"/>
      <c r="G35" s="16" t="b">
        <v>1</v>
      </c>
      <c r="H35" s="16" t="b">
        <v>1</v>
      </c>
      <c r="I35" s="16" t="b">
        <v>1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7" t="str">
        <f t="shared" si="1"/>
        <v>14 dari 31 (45%)</v>
      </c>
    </row>
    <row r="36" ht="22.5" customHeight="1">
      <c r="A36" s="2">
        <v>35.0</v>
      </c>
      <c r="B36" s="18"/>
      <c r="C36" s="20">
        <v>45175.0</v>
      </c>
      <c r="D36" s="12" t="s">
        <v>80</v>
      </c>
      <c r="E36" s="12" t="s">
        <v>81</v>
      </c>
      <c r="F36" s="13"/>
      <c r="G36" s="6" t="b">
        <v>1</v>
      </c>
      <c r="H36" s="6" t="b">
        <v>1</v>
      </c>
      <c r="I36" s="6" t="b">
        <v>0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14 dari 31 (45%)</v>
      </c>
    </row>
    <row r="37" ht="22.5" customHeight="1">
      <c r="A37" s="10">
        <v>36.0</v>
      </c>
      <c r="B37" s="11"/>
      <c r="C37" s="22">
        <v>60405.0</v>
      </c>
      <c r="D37" s="12" t="s">
        <v>68</v>
      </c>
      <c r="E37" s="12" t="s">
        <v>69</v>
      </c>
      <c r="F37" s="13"/>
      <c r="G37" s="16" t="b">
        <v>1</v>
      </c>
      <c r="H37" s="16" t="b">
        <v>1</v>
      </c>
      <c r="I37" s="16" t="b">
        <v>1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0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14 dari 31 (45%)</v>
      </c>
    </row>
    <row r="38" ht="22.5" customHeight="1">
      <c r="A38" s="2">
        <v>37.0</v>
      </c>
      <c r="B38" s="18"/>
      <c r="C38" s="22">
        <v>61049.0</v>
      </c>
      <c r="D38" s="12" t="s">
        <v>39</v>
      </c>
      <c r="E38" s="12" t="s">
        <v>57</v>
      </c>
      <c r="F38" s="13"/>
      <c r="G38" s="6" t="b">
        <v>1</v>
      </c>
      <c r="H38" s="6" t="b">
        <v>1</v>
      </c>
      <c r="I38" s="6" t="b">
        <v>1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1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1</v>
      </c>
      <c r="AA38" s="6" t="b">
        <v>1</v>
      </c>
      <c r="AB38" s="6" t="b">
        <v>1</v>
      </c>
      <c r="AC38" s="6" t="b">
        <v>1</v>
      </c>
      <c r="AD38" s="6" t="b">
        <v>1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1</v>
      </c>
      <c r="AJ38" s="6" t="b">
        <v>0</v>
      </c>
      <c r="AK38" s="6" t="b">
        <v>0</v>
      </c>
      <c r="AL38" s="9" t="str">
        <f t="shared" si="1"/>
        <v>20 dari 31 (65%)</v>
      </c>
    </row>
    <row r="39" ht="22.5" customHeight="1">
      <c r="A39" s="61">
        <v>38.0</v>
      </c>
      <c r="B39" s="62"/>
      <c r="C39" s="32">
        <v>59659.0</v>
      </c>
      <c r="D39" s="51" t="s">
        <v>39</v>
      </c>
      <c r="E39" s="51" t="s">
        <v>45</v>
      </c>
      <c r="F39" s="53"/>
      <c r="G39" s="63" t="b">
        <v>0</v>
      </c>
      <c r="H39" s="63" t="b">
        <v>0</v>
      </c>
      <c r="I39" s="63" t="b">
        <v>0</v>
      </c>
      <c r="J39" s="63" t="b">
        <v>0</v>
      </c>
      <c r="K39" s="63" t="b">
        <v>0</v>
      </c>
      <c r="L39" s="63" t="b">
        <v>0</v>
      </c>
      <c r="M39" s="63" t="b">
        <v>0</v>
      </c>
      <c r="N39" s="63" t="b">
        <v>0</v>
      </c>
      <c r="O39" s="63" t="b">
        <v>0</v>
      </c>
      <c r="P39" s="63" t="b">
        <v>0</v>
      </c>
      <c r="Q39" s="63" t="b">
        <v>0</v>
      </c>
      <c r="R39" s="63" t="b">
        <v>0</v>
      </c>
      <c r="S39" s="63" t="b">
        <v>0</v>
      </c>
      <c r="T39" s="63" t="b">
        <v>0</v>
      </c>
      <c r="U39" s="63" t="b">
        <v>0</v>
      </c>
      <c r="V39" s="63" t="b">
        <v>0</v>
      </c>
      <c r="W39" s="63" t="b">
        <v>0</v>
      </c>
      <c r="X39" s="63" t="b">
        <v>0</v>
      </c>
      <c r="Y39" s="63" t="b">
        <v>0</v>
      </c>
      <c r="Z39" s="63" t="b">
        <v>0</v>
      </c>
      <c r="AA39" s="63" t="b">
        <v>0</v>
      </c>
      <c r="AB39" s="63" t="b">
        <v>0</v>
      </c>
      <c r="AC39" s="63" t="b">
        <v>0</v>
      </c>
      <c r="AD39" s="63" t="b">
        <v>0</v>
      </c>
      <c r="AE39" s="63" t="b">
        <v>0</v>
      </c>
      <c r="AF39" s="63" t="b">
        <v>0</v>
      </c>
      <c r="AG39" s="63" t="b">
        <v>0</v>
      </c>
      <c r="AH39" s="63" t="b">
        <v>0</v>
      </c>
      <c r="AI39" s="63" t="b">
        <v>0</v>
      </c>
      <c r="AJ39" s="63" t="b">
        <v>0</v>
      </c>
      <c r="AK39" s="63" t="b">
        <v>0</v>
      </c>
      <c r="AL39" s="64" t="str">
        <f t="shared" si="1"/>
        <v>0 dari 31 (0%)</v>
      </c>
    </row>
    <row r="40" ht="22.5" customHeight="1">
      <c r="A40" s="2">
        <v>39.0</v>
      </c>
      <c r="B40" s="18"/>
      <c r="C40" s="22">
        <v>55808.0</v>
      </c>
      <c r="D40" s="12" t="s">
        <v>74</v>
      </c>
      <c r="E40" s="12" t="s">
        <v>84</v>
      </c>
      <c r="F40" s="13"/>
      <c r="G40" s="6" t="b">
        <v>1</v>
      </c>
      <c r="H40" s="6" t="b">
        <v>1</v>
      </c>
      <c r="I40" s="6" t="b">
        <v>0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1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14 dari 31 (45%)</v>
      </c>
    </row>
    <row r="41" ht="22.5" customHeight="1">
      <c r="A41" s="10">
        <v>40.0</v>
      </c>
      <c r="B41" s="11"/>
      <c r="C41" s="22">
        <v>61050.0</v>
      </c>
      <c r="D41" s="12" t="s">
        <v>54</v>
      </c>
      <c r="E41" s="12" t="s">
        <v>62</v>
      </c>
      <c r="F41" s="13"/>
      <c r="G41" s="16" t="b">
        <v>1</v>
      </c>
      <c r="H41" s="16" t="b">
        <v>1</v>
      </c>
      <c r="I41" s="16" t="b">
        <v>1</v>
      </c>
      <c r="J41" s="16" t="b">
        <v>0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14 dari 31 (45%)</v>
      </c>
    </row>
    <row r="42" ht="22.5" customHeight="1">
      <c r="A42" s="2">
        <v>41.0</v>
      </c>
      <c r="B42" s="18"/>
      <c r="C42" s="20">
        <v>60878.0</v>
      </c>
      <c r="D42" s="12" t="s">
        <v>39</v>
      </c>
      <c r="E42" s="12" t="s">
        <v>45</v>
      </c>
      <c r="F42" s="13"/>
      <c r="G42" s="6" t="b">
        <v>1</v>
      </c>
      <c r="H42" s="6" t="b">
        <v>1</v>
      </c>
      <c r="I42" s="6" t="b">
        <v>0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1</v>
      </c>
      <c r="AJ42" s="6" t="b">
        <v>0</v>
      </c>
      <c r="AK42" s="6" t="b">
        <v>0</v>
      </c>
      <c r="AL42" s="9" t="str">
        <f t="shared" si="1"/>
        <v>13 dari 31 (42%)</v>
      </c>
    </row>
    <row r="43" ht="22.5" customHeight="1">
      <c r="A43" s="10">
        <v>42.0</v>
      </c>
      <c r="B43" s="11"/>
      <c r="C43" s="20">
        <v>61051.0</v>
      </c>
      <c r="D43" s="12" t="s">
        <v>39</v>
      </c>
      <c r="E43" s="12" t="s">
        <v>45</v>
      </c>
      <c r="F43" s="13"/>
      <c r="G43" s="16" t="b">
        <v>1</v>
      </c>
      <c r="H43" s="16" t="b">
        <v>1</v>
      </c>
      <c r="I43" s="16" t="b">
        <v>1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1</v>
      </c>
      <c r="AA43" s="16" t="b">
        <v>1</v>
      </c>
      <c r="AB43" s="16" t="b">
        <v>1</v>
      </c>
      <c r="AC43" s="16" t="b">
        <v>1</v>
      </c>
      <c r="AD43" s="16" t="b">
        <v>1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1</v>
      </c>
      <c r="AJ43" s="16" t="b">
        <v>0</v>
      </c>
      <c r="AK43" s="16" t="b">
        <v>0</v>
      </c>
      <c r="AL43" s="17" t="str">
        <f t="shared" si="1"/>
        <v>19 dari 31 (61%)</v>
      </c>
    </row>
    <row r="44" ht="22.5" customHeight="1">
      <c r="A44" s="2">
        <v>43.0</v>
      </c>
      <c r="B44" s="18"/>
      <c r="C44" s="20">
        <v>42527.0</v>
      </c>
      <c r="D44" s="12" t="s">
        <v>39</v>
      </c>
      <c r="E44" s="12" t="s">
        <v>57</v>
      </c>
      <c r="F44" s="13"/>
      <c r="G44" s="6" t="b">
        <v>1</v>
      </c>
      <c r="H44" s="6" t="b">
        <v>1</v>
      </c>
      <c r="I44" s="6" t="b">
        <v>0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1</v>
      </c>
      <c r="AA44" s="6" t="b">
        <v>1</v>
      </c>
      <c r="AB44" s="6" t="b">
        <v>1</v>
      </c>
      <c r="AC44" s="6" t="b">
        <v>1</v>
      </c>
      <c r="AD44" s="6" t="b">
        <v>1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18 dari 31 (58%)</v>
      </c>
    </row>
    <row r="45" ht="22.5" customHeight="1">
      <c r="A45" s="10">
        <v>44.0</v>
      </c>
      <c r="B45" s="11"/>
      <c r="C45" s="22">
        <v>59531.0</v>
      </c>
      <c r="D45" s="12" t="s">
        <v>56</v>
      </c>
      <c r="E45" s="12" t="s">
        <v>60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15 dari 31 (48%)</v>
      </c>
    </row>
    <row r="46" ht="22.5" customHeight="1">
      <c r="A46" s="54">
        <v>45.0</v>
      </c>
      <c r="B46" s="55"/>
      <c r="C46" s="65">
        <v>58297.0</v>
      </c>
      <c r="D46" s="56" t="s">
        <v>53</v>
      </c>
      <c r="E46" s="56" t="s">
        <v>77</v>
      </c>
      <c r="F46" s="57"/>
      <c r="G46" s="58" t="b">
        <v>1</v>
      </c>
      <c r="H46" s="58" t="b">
        <v>1</v>
      </c>
      <c r="I46" s="58" t="b">
        <v>1</v>
      </c>
      <c r="J46" s="58" t="b">
        <v>1</v>
      </c>
      <c r="K46" s="58" t="b">
        <v>1</v>
      </c>
      <c r="L46" s="58" t="b">
        <v>1</v>
      </c>
      <c r="M46" s="58" t="b">
        <v>1</v>
      </c>
      <c r="N46" s="58" t="b">
        <v>1</v>
      </c>
      <c r="O46" s="58" t="b">
        <v>1</v>
      </c>
      <c r="P46" s="58" t="b">
        <v>1</v>
      </c>
      <c r="Q46" s="58" t="b">
        <v>1</v>
      </c>
      <c r="R46" s="58" t="b">
        <v>1</v>
      </c>
      <c r="S46" s="58" t="b">
        <v>1</v>
      </c>
      <c r="T46" s="58" t="b">
        <v>1</v>
      </c>
      <c r="U46" s="58" t="b">
        <v>0</v>
      </c>
      <c r="V46" s="58" t="b">
        <v>0</v>
      </c>
      <c r="W46" s="58" t="b">
        <v>0</v>
      </c>
      <c r="X46" s="58" t="b">
        <v>0</v>
      </c>
      <c r="Y46" s="58" t="b">
        <v>0</v>
      </c>
      <c r="Z46" s="58" t="b">
        <v>0</v>
      </c>
      <c r="AA46" s="58" t="b">
        <v>0</v>
      </c>
      <c r="AB46" s="58" t="b">
        <v>0</v>
      </c>
      <c r="AC46" s="58" t="b">
        <v>0</v>
      </c>
      <c r="AD46" s="58" t="b">
        <v>0</v>
      </c>
      <c r="AE46" s="58" t="b">
        <v>0</v>
      </c>
      <c r="AF46" s="58" t="b">
        <v>0</v>
      </c>
      <c r="AG46" s="58" t="b">
        <v>0</v>
      </c>
      <c r="AH46" s="58" t="b">
        <v>0</v>
      </c>
      <c r="AI46" s="58" t="b">
        <v>0</v>
      </c>
      <c r="AJ46" s="58" t="b">
        <v>0</v>
      </c>
      <c r="AK46" s="58" t="b">
        <v>0</v>
      </c>
      <c r="AL46" s="59" t="str">
        <f t="shared" si="1"/>
        <v>14 dari 31 (45%)</v>
      </c>
    </row>
    <row r="47" ht="22.5" customHeight="1">
      <c r="A47" s="10">
        <v>46.0</v>
      </c>
      <c r="B47" s="11"/>
      <c r="C47" s="22">
        <v>61053.0</v>
      </c>
      <c r="D47" s="12" t="s">
        <v>51</v>
      </c>
      <c r="E47" s="12" t="s">
        <v>52</v>
      </c>
      <c r="F47" s="13"/>
      <c r="G47" s="16" t="b">
        <v>1</v>
      </c>
      <c r="H47" s="16" t="b">
        <v>1</v>
      </c>
      <c r="I47" s="16" t="b">
        <v>1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1</v>
      </c>
      <c r="S47" s="16" t="b">
        <v>1</v>
      </c>
      <c r="T47" s="16" t="b">
        <v>1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15 dari 31 (48%)</v>
      </c>
    </row>
    <row r="48" ht="22.5" customHeight="1">
      <c r="A48" s="10">
        <v>47.0</v>
      </c>
      <c r="B48" s="18"/>
      <c r="C48" s="22">
        <v>61052.0</v>
      </c>
      <c r="D48" s="12" t="s">
        <v>74</v>
      </c>
      <c r="E48" s="12" t="s">
        <v>75</v>
      </c>
      <c r="F48" s="13"/>
      <c r="G48" s="6" t="b">
        <v>1</v>
      </c>
      <c r="H48" s="6" t="b">
        <v>1</v>
      </c>
      <c r="I48" s="6" t="b">
        <v>0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13 dari 31 (42%)</v>
      </c>
    </row>
    <row r="49" ht="22.5" customHeight="1">
      <c r="A49" s="2">
        <v>48.0</v>
      </c>
      <c r="B49" s="11"/>
      <c r="C49" s="22">
        <v>61054.0</v>
      </c>
      <c r="D49" s="12" t="s">
        <v>54</v>
      </c>
      <c r="E49" s="12" t="s">
        <v>55</v>
      </c>
      <c r="F49" s="13"/>
      <c r="G49" s="16" t="b">
        <v>1</v>
      </c>
      <c r="H49" s="16" t="b">
        <v>1</v>
      </c>
      <c r="I49" s="16" t="b">
        <v>1</v>
      </c>
      <c r="J49" s="16" t="b">
        <v>0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14 dari 31 (45%)</v>
      </c>
    </row>
    <row r="50" ht="22.5" customHeight="1">
      <c r="A50" s="10">
        <v>49.0</v>
      </c>
      <c r="B50" s="11"/>
      <c r="C50" s="22">
        <v>10916.0</v>
      </c>
      <c r="D50" s="12" t="s">
        <v>41</v>
      </c>
      <c r="E50" s="12" t="s">
        <v>48</v>
      </c>
      <c r="F50" s="13"/>
      <c r="G50" s="6" t="b">
        <v>1</v>
      </c>
      <c r="H50" s="6" t="b">
        <v>1</v>
      </c>
      <c r="I50" s="6" t="b">
        <v>1</v>
      </c>
      <c r="J50" s="6" t="b">
        <v>0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1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1</v>
      </c>
      <c r="AJ50" s="6" t="b">
        <v>0</v>
      </c>
      <c r="AK50" s="6" t="b">
        <v>0</v>
      </c>
      <c r="AL50" s="9" t="str">
        <f t="shared" si="1"/>
        <v>14 dari 31 (45%)</v>
      </c>
    </row>
    <row r="51" ht="22.5" customHeight="1">
      <c r="A51" s="10">
        <v>50.0</v>
      </c>
      <c r="B51" s="11"/>
      <c r="C51" s="22">
        <v>60910.0</v>
      </c>
      <c r="D51" s="12" t="s">
        <v>51</v>
      </c>
      <c r="E51" s="12" t="s">
        <v>52</v>
      </c>
      <c r="F51" s="13"/>
      <c r="G51" s="6" t="b">
        <v>1</v>
      </c>
      <c r="H51" s="6" t="b">
        <v>1</v>
      </c>
      <c r="I51" s="6" t="b">
        <v>0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12 dari 31 (39%)</v>
      </c>
    </row>
    <row r="52" ht="22.5" customHeight="1">
      <c r="A52" s="2">
        <v>51.0</v>
      </c>
      <c r="B52" s="11"/>
      <c r="C52" s="20">
        <v>61055.0</v>
      </c>
      <c r="D52" s="12" t="s">
        <v>54</v>
      </c>
      <c r="E52" s="12" t="s">
        <v>55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0</v>
      </c>
      <c r="AJ52" s="6" t="b">
        <v>0</v>
      </c>
      <c r="AK52" s="6" t="b">
        <v>0</v>
      </c>
      <c r="AL52" s="9" t="str">
        <f t="shared" si="1"/>
        <v>14 dari 31 (45%)</v>
      </c>
    </row>
    <row r="53" ht="22.5" customHeight="1">
      <c r="A53" s="10">
        <v>52.0</v>
      </c>
      <c r="B53" s="11"/>
      <c r="C53" s="20">
        <v>44665.0</v>
      </c>
      <c r="D53" s="12" t="s">
        <v>54</v>
      </c>
      <c r="E53" s="12" t="s">
        <v>55</v>
      </c>
      <c r="F53" s="13"/>
      <c r="G53" s="6" t="b">
        <v>1</v>
      </c>
      <c r="H53" s="6" t="b">
        <v>1</v>
      </c>
      <c r="I53" s="6" t="b">
        <v>0</v>
      </c>
      <c r="J53" s="6" t="b">
        <v>1</v>
      </c>
      <c r="K53" s="6" t="b">
        <v>1</v>
      </c>
      <c r="L53" s="6" t="b">
        <v>1</v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b">
        <v>1</v>
      </c>
      <c r="T53" s="6" t="b">
        <v>1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13 dari 31 (42%)</v>
      </c>
    </row>
    <row r="54" ht="22.5" customHeight="1">
      <c r="A54" s="10">
        <v>53.0</v>
      </c>
      <c r="B54" s="11"/>
      <c r="C54" s="20">
        <v>60967.0</v>
      </c>
      <c r="D54" s="12" t="s">
        <v>68</v>
      </c>
      <c r="E54" s="12" t="s">
        <v>69</v>
      </c>
      <c r="F54" s="13"/>
      <c r="G54" s="6" t="b">
        <v>1</v>
      </c>
      <c r="H54" s="6" t="b">
        <v>1</v>
      </c>
      <c r="I54" s="6" t="b">
        <v>1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0</v>
      </c>
      <c r="AJ54" s="6" t="b">
        <v>0</v>
      </c>
      <c r="AK54" s="6" t="b">
        <v>0</v>
      </c>
      <c r="AL54" s="17" t="str">
        <f t="shared" si="1"/>
        <v>14 dari 31 (45%)</v>
      </c>
    </row>
    <row r="55" ht="22.5" customHeight="1">
      <c r="A55" s="2">
        <v>54.0</v>
      </c>
      <c r="B55" s="11"/>
      <c r="C55" s="20">
        <v>59933.0</v>
      </c>
      <c r="D55" s="12" t="s">
        <v>68</v>
      </c>
      <c r="E55" s="12" t="s">
        <v>69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1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0</v>
      </c>
      <c r="AJ55" s="6" t="b">
        <v>0</v>
      </c>
      <c r="AK55" s="6" t="b">
        <v>0</v>
      </c>
      <c r="AL55" s="9" t="str">
        <f t="shared" si="1"/>
        <v>14 dari 31 (45%)</v>
      </c>
    </row>
    <row r="56" ht="22.5" customHeight="1">
      <c r="A56" s="10">
        <v>55.0</v>
      </c>
      <c r="B56" s="11"/>
      <c r="C56" s="20">
        <v>60565.0</v>
      </c>
      <c r="D56" s="12" t="s">
        <v>74</v>
      </c>
      <c r="E56" s="12" t="s">
        <v>75</v>
      </c>
      <c r="F56" s="13"/>
      <c r="G56" s="6" t="b">
        <v>1</v>
      </c>
      <c r="H56" s="6" t="b">
        <v>1</v>
      </c>
      <c r="I56" s="6" t="b">
        <v>0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0</v>
      </c>
      <c r="S56" s="6" t="b">
        <v>1</v>
      </c>
      <c r="T56" s="6" t="b">
        <v>1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0</v>
      </c>
      <c r="AJ56" s="6" t="b">
        <v>0</v>
      </c>
      <c r="AK56" s="6" t="b">
        <v>0</v>
      </c>
      <c r="AL56" s="9" t="str">
        <f t="shared" si="1"/>
        <v>12 dari 31 (39%)</v>
      </c>
    </row>
    <row r="57" ht="22.5" customHeight="1">
      <c r="A57" s="10">
        <v>56.0</v>
      </c>
      <c r="B57" s="11"/>
      <c r="C57" s="22">
        <v>57729.0</v>
      </c>
      <c r="D57" s="12" t="s">
        <v>74</v>
      </c>
      <c r="E57" s="12" t="s">
        <v>75</v>
      </c>
      <c r="F57" s="13"/>
      <c r="G57" s="6" t="b">
        <v>1</v>
      </c>
      <c r="H57" s="6" t="b">
        <v>1</v>
      </c>
      <c r="I57" s="6" t="b">
        <v>0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13 dari 31 (42%)</v>
      </c>
    </row>
    <row r="58" ht="22.5" customHeight="1">
      <c r="A58" s="2">
        <v>57.0</v>
      </c>
      <c r="B58" s="11"/>
      <c r="C58" s="22">
        <v>61056.0</v>
      </c>
      <c r="D58" s="12" t="s">
        <v>54</v>
      </c>
      <c r="E58" s="12" t="s">
        <v>55</v>
      </c>
      <c r="F58" s="13"/>
      <c r="G58" s="6" t="b">
        <v>1</v>
      </c>
      <c r="H58" s="6" t="b">
        <v>1</v>
      </c>
      <c r="I58" s="6" t="b">
        <v>1</v>
      </c>
      <c r="J58" s="6" t="b">
        <v>0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13 dari 31 (42%)</v>
      </c>
    </row>
    <row r="59" ht="22.5" customHeight="1">
      <c r="A59" s="10">
        <v>58.0</v>
      </c>
      <c r="B59" s="11"/>
      <c r="C59" s="22">
        <v>59449.0</v>
      </c>
      <c r="D59" s="12" t="s">
        <v>39</v>
      </c>
      <c r="E59" s="12" t="s">
        <v>57</v>
      </c>
      <c r="F59" s="13"/>
      <c r="G59" s="6" t="b">
        <v>1</v>
      </c>
      <c r="H59" s="6" t="b">
        <v>1</v>
      </c>
      <c r="I59" s="6" t="b">
        <v>0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1"/>
        <v>13 dari 31 (42%)</v>
      </c>
    </row>
    <row r="60" ht="22.5" customHeight="1">
      <c r="A60" s="68">
        <v>59.0</v>
      </c>
      <c r="B60" s="69"/>
      <c r="C60" s="65">
        <v>60999.0</v>
      </c>
      <c r="D60" s="56" t="s">
        <v>40</v>
      </c>
      <c r="E60" s="56" t="s">
        <v>49</v>
      </c>
      <c r="F60" s="14" t="s">
        <v>50</v>
      </c>
      <c r="G60" s="58" t="b">
        <v>1</v>
      </c>
      <c r="H60" s="58" t="b">
        <v>0</v>
      </c>
      <c r="I60" s="58" t="b">
        <v>0</v>
      </c>
      <c r="J60" s="58" t="b">
        <v>1</v>
      </c>
      <c r="K60" s="58" t="b">
        <v>1</v>
      </c>
      <c r="L60" s="58" t="b">
        <v>1</v>
      </c>
      <c r="M60" s="58" t="b">
        <v>1</v>
      </c>
      <c r="N60" s="58" t="b">
        <v>1</v>
      </c>
      <c r="O60" s="58" t="b">
        <v>1</v>
      </c>
      <c r="P60" s="58" t="b">
        <v>1</v>
      </c>
      <c r="Q60" s="58" t="b">
        <v>1</v>
      </c>
      <c r="R60" s="58" t="b">
        <v>1</v>
      </c>
      <c r="S60" s="58" t="b">
        <v>1</v>
      </c>
      <c r="T60" s="58" t="b">
        <v>1</v>
      </c>
      <c r="U60" s="58" t="b">
        <v>0</v>
      </c>
      <c r="V60" s="58" t="b">
        <v>0</v>
      </c>
      <c r="W60" s="58" t="b">
        <v>0</v>
      </c>
      <c r="X60" s="58" t="b">
        <v>0</v>
      </c>
      <c r="Y60" s="58" t="b">
        <v>0</v>
      </c>
      <c r="Z60" s="58" t="b">
        <v>0</v>
      </c>
      <c r="AA60" s="58" t="b">
        <v>0</v>
      </c>
      <c r="AB60" s="58" t="b">
        <v>0</v>
      </c>
      <c r="AC60" s="58" t="b">
        <v>0</v>
      </c>
      <c r="AD60" s="58" t="b">
        <v>0</v>
      </c>
      <c r="AE60" s="58" t="b">
        <v>0</v>
      </c>
      <c r="AF60" s="58" t="b">
        <v>0</v>
      </c>
      <c r="AG60" s="58" t="b">
        <v>0</v>
      </c>
      <c r="AH60" s="58" t="b">
        <v>0</v>
      </c>
      <c r="AI60" s="58" t="b">
        <v>0</v>
      </c>
      <c r="AJ60" s="58" t="b">
        <v>0</v>
      </c>
      <c r="AK60" s="58" t="b">
        <v>0</v>
      </c>
      <c r="AL60" s="70" t="str">
        <f t="shared" si="1"/>
        <v>12 dari 31 (39%)</v>
      </c>
    </row>
    <row r="61" ht="22.5" customHeight="1">
      <c r="A61" s="2">
        <v>60.0</v>
      </c>
      <c r="B61" s="11"/>
      <c r="C61" s="22">
        <v>60502.0</v>
      </c>
      <c r="D61" s="12" t="s">
        <v>68</v>
      </c>
      <c r="E61" s="12" t="s">
        <v>69</v>
      </c>
      <c r="F61" s="13"/>
      <c r="G61" s="6" t="b">
        <v>1</v>
      </c>
      <c r="H61" s="6" t="b">
        <v>1</v>
      </c>
      <c r="I61" s="6" t="b">
        <v>1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1"/>
        <v>14 dari 31 (45%)</v>
      </c>
    </row>
    <row r="62" ht="22.5" customHeight="1">
      <c r="A62" s="10">
        <v>61.0</v>
      </c>
      <c r="B62" s="11"/>
      <c r="C62" s="20">
        <v>55273.0</v>
      </c>
      <c r="D62" s="12" t="s">
        <v>74</v>
      </c>
      <c r="E62" s="12" t="s">
        <v>84</v>
      </c>
      <c r="F62" s="13"/>
      <c r="G62" s="6" t="b">
        <v>1</v>
      </c>
      <c r="H62" s="6" t="b">
        <v>1</v>
      </c>
      <c r="I62" s="6" t="b">
        <v>0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0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12 dari 31 (39%)</v>
      </c>
    </row>
    <row r="63" ht="22.5" customHeight="1">
      <c r="A63" s="10">
        <v>62.0</v>
      </c>
      <c r="B63" s="11"/>
      <c r="C63" s="20">
        <v>60918.0</v>
      </c>
      <c r="D63" s="12" t="s">
        <v>74</v>
      </c>
      <c r="E63" s="12" t="s">
        <v>75</v>
      </c>
      <c r="F63" s="13"/>
      <c r="G63" s="6" t="b">
        <v>1</v>
      </c>
      <c r="H63" s="6" t="b">
        <v>1</v>
      </c>
      <c r="I63" s="6" t="b">
        <v>0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0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12 dari 31 (39%)</v>
      </c>
    </row>
    <row r="64" ht="22.5" customHeight="1">
      <c r="A64" s="2">
        <v>63.0</v>
      </c>
      <c r="B64" s="11"/>
      <c r="C64" s="20">
        <v>60916.0</v>
      </c>
      <c r="D64" s="12" t="s">
        <v>74</v>
      </c>
      <c r="E64" s="12" t="s">
        <v>75</v>
      </c>
      <c r="F64" s="13"/>
      <c r="G64" s="6" t="b">
        <v>1</v>
      </c>
      <c r="H64" s="6" t="b">
        <v>1</v>
      </c>
      <c r="I64" s="6" t="b">
        <v>0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1"/>
        <v>12 dari 31 (39%)</v>
      </c>
    </row>
    <row r="65" ht="22.5" customHeight="1">
      <c r="A65" s="10">
        <v>64.0</v>
      </c>
      <c r="B65" s="11"/>
      <c r="C65" s="20">
        <v>58366.0</v>
      </c>
      <c r="D65" s="12" t="s">
        <v>53</v>
      </c>
      <c r="E65" s="12" t="s">
        <v>92</v>
      </c>
      <c r="F65" s="13"/>
      <c r="G65" s="6" t="b">
        <v>1</v>
      </c>
      <c r="H65" s="6" t="b">
        <v>1</v>
      </c>
      <c r="I65" s="6" t="b">
        <v>1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1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1</v>
      </c>
      <c r="AJ65" s="6" t="b">
        <v>0</v>
      </c>
      <c r="AK65" s="6" t="b">
        <v>0</v>
      </c>
      <c r="AL65" s="9" t="str">
        <f t="shared" si="1"/>
        <v>15 dari 31 (48%)</v>
      </c>
    </row>
    <row r="66" ht="22.5" customHeight="1">
      <c r="A66" s="10">
        <v>65.0</v>
      </c>
      <c r="B66" s="11"/>
      <c r="C66" s="20">
        <v>61057.0</v>
      </c>
      <c r="D66" s="12" t="s">
        <v>93</v>
      </c>
      <c r="E66" s="12" t="s">
        <v>94</v>
      </c>
      <c r="F66" s="13"/>
      <c r="G66" s="6" t="b">
        <v>1</v>
      </c>
      <c r="H66" s="6" t="b">
        <v>1</v>
      </c>
      <c r="I66" s="6" t="b">
        <v>0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1</v>
      </c>
      <c r="X66" s="6" t="b">
        <v>1</v>
      </c>
      <c r="Y66" s="6" t="b">
        <v>1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17 dari 31 (55%)</v>
      </c>
    </row>
    <row r="67" ht="22.5" customHeight="1">
      <c r="A67" s="2">
        <v>66.0</v>
      </c>
      <c r="B67" s="11"/>
      <c r="C67" s="22">
        <v>61058.0</v>
      </c>
      <c r="D67" s="12" t="s">
        <v>89</v>
      </c>
      <c r="E67" s="12" t="s">
        <v>95</v>
      </c>
      <c r="F67" s="14" t="s">
        <v>50</v>
      </c>
      <c r="G67" s="6" t="b">
        <v>1</v>
      </c>
      <c r="H67" s="6" t="b">
        <v>0</v>
      </c>
      <c r="I67" s="6" t="b">
        <v>0</v>
      </c>
      <c r="J67" s="6" t="b">
        <v>0</v>
      </c>
      <c r="K67" s="6" t="b">
        <v>0</v>
      </c>
      <c r="L67" s="6" t="b">
        <v>0</v>
      </c>
      <c r="M67" s="6" t="b">
        <v>0</v>
      </c>
      <c r="N67" s="6" t="b">
        <v>0</v>
      </c>
      <c r="O67" s="6" t="b">
        <v>0</v>
      </c>
      <c r="P67" s="6" t="b">
        <v>0</v>
      </c>
      <c r="Q67" s="6" t="b">
        <v>0</v>
      </c>
      <c r="R67" s="6" t="b">
        <v>0</v>
      </c>
      <c r="S67" s="6" t="b">
        <v>0</v>
      </c>
      <c r="T67" s="6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1"/>
        <v>1 dari 31 (3%)</v>
      </c>
    </row>
    <row r="68" ht="22.5" customHeight="1">
      <c r="A68" s="10">
        <v>67.0</v>
      </c>
      <c r="B68" s="11"/>
      <c r="C68" s="22">
        <v>59768.0</v>
      </c>
      <c r="D68" s="12" t="s">
        <v>89</v>
      </c>
      <c r="E68" s="12" t="s">
        <v>95</v>
      </c>
      <c r="F68" s="14" t="s">
        <v>50</v>
      </c>
      <c r="G68" s="6" t="b">
        <v>1</v>
      </c>
      <c r="H68" s="6" t="b">
        <v>0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0</v>
      </c>
      <c r="R68" s="6" t="b">
        <v>0</v>
      </c>
      <c r="S68" s="6" t="b">
        <v>0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1 dari 31 (3%)</v>
      </c>
    </row>
    <row r="70">
      <c r="B70" s="71" t="s">
        <v>38</v>
      </c>
      <c r="C70" s="72"/>
      <c r="D70" s="72"/>
      <c r="E70" s="72"/>
      <c r="F70" s="73"/>
      <c r="G70" s="74">
        <f>COUNTIF(JULI_3[ID Encounter], TRUE)</f>
        <v>64</v>
      </c>
      <c r="H70" s="74">
        <f>COUNTIF(JULI_3[ID Condition], TRUE)</f>
        <v>59</v>
      </c>
      <c r="I70" s="74">
        <f>COUNTIF(JULI_3[ID Clinical Impression], TRUE)</f>
        <v>30</v>
      </c>
      <c r="J70" s="74">
        <f>COUNTIF(JULI_3[ID Observation Tensi], TRUE)</f>
        <v>55</v>
      </c>
      <c r="K70" s="74">
        <f>COUNTIF(JULI_3[ID Observation Nadi], TRUE)</f>
        <v>60</v>
      </c>
      <c r="L70" s="74">
        <f>COUNTIF(JULI_3[ID Observation RR], TRUE)</f>
        <v>60</v>
      </c>
      <c r="M70" s="74">
        <f>COUNTIF(JULI_3[ID Observation Suhu], TRUE)</f>
        <v>60</v>
      </c>
      <c r="N70" s="74">
        <f>COUNTIF(JULI_3[ID Observation SPO2], TRUE)</f>
        <v>60</v>
      </c>
      <c r="O70" s="74">
        <f>COUNTIF(JULI_3[ID Observation GCS], TRUE)</f>
        <v>60</v>
      </c>
      <c r="P70" s="74">
        <f>COUNTIF(JULI_3[ID Observation Tinggi], TRUE)</f>
        <v>60</v>
      </c>
      <c r="Q70" s="74">
        <f>COUNTIF(JULI_3[ID Observation Berat], TRUE)</f>
        <v>60</v>
      </c>
      <c r="R70" s="74">
        <f>COUNTIF(JULI_3[ID Observation Perut], TRUE)</f>
        <v>58</v>
      </c>
      <c r="S70" s="74">
        <f>COUNTIF(JULI_3[ID Observation Kesadaran], TRUE)</f>
        <v>60</v>
      </c>
      <c r="T70" s="74">
        <f>COUNTIF(JULI_3[ID Procedure], TRUE)</f>
        <v>41</v>
      </c>
      <c r="U70" s="74">
        <f>COUNTIF(JULI_3[ID Composition], TRUE)</f>
        <v>0</v>
      </c>
      <c r="V70" s="74">
        <f>COUNTIF(JULI_3[ID Vaksin/Imunisasi], TRUE)</f>
        <v>0</v>
      </c>
      <c r="W70" s="74">
        <f>COUNTIF(JULI_3[ID Medication Request], TRUE)</f>
        <v>3</v>
      </c>
      <c r="X70" s="74">
        <f>COUNTIF(JULI_3[ID Medication Dispense], TRUE)</f>
        <v>3</v>
      </c>
      <c r="Y70" s="74">
        <f>COUNTIF(JULI_3[ID Medication Statement], TRUE)</f>
        <v>3</v>
      </c>
      <c r="Z70" s="74">
        <f>COUNTIF(JULI_3[ID Service Request Radiologi], TRUE)</f>
        <v>5</v>
      </c>
      <c r="AA70" s="74">
        <f>COUNTIF(JULI_3[ID Specimen Radiologi], TRUE)</f>
        <v>5</v>
      </c>
      <c r="AB70" s="74">
        <f>COUNTIF(JULI_3[ID Observation Radiologi], TRUE)</f>
        <v>5</v>
      </c>
      <c r="AC70" s="74">
        <f>COUNTIF(JULI_3[ID Diagnostic Report Radiologi], TRUE)</f>
        <v>5</v>
      </c>
      <c r="AD70" s="74">
        <f>COUNTIF(JULI_3[Image Study], TRUE)</f>
        <v>5</v>
      </c>
      <c r="AE70" s="74">
        <f>COUNTIF(JULI_3[ID Service Request Lab PK], TRUE)</f>
        <v>1</v>
      </c>
      <c r="AF70" s="74">
        <f>COUNTIF(JULI_3[ID Specimen Lab PK], TRUE)</f>
        <v>1</v>
      </c>
      <c r="AG70" s="74">
        <f>COUNTIF(JULI_3[ID Observation Lab PK], TRUE)</f>
        <v>1</v>
      </c>
      <c r="AH70" s="74">
        <f>COUNTIF(JULI_3[ID Diagnostic Report Lab PK], TRUE)</f>
        <v>1</v>
      </c>
      <c r="AI70" s="74">
        <f>COUNTIF(JULI_3[ID Care Plan], TRUE)</f>
        <v>31</v>
      </c>
      <c r="AJ70" s="74">
        <f>COUNTIF(JULI_3[ID Allergy], TRUE)</f>
        <v>0</v>
      </c>
      <c r="AK70" s="74">
        <f>COUNTIF(JULI_3[ID Questionnaire], TRUE)</f>
        <v>0</v>
      </c>
      <c r="AL70" s="75" t="str">
        <f>COUNTIF(JULI_3[[ID Encounter]:[ID Questionnaire]], TRUE()) &amp; " dari " &amp; (ROWS(JULI_3[[ID Encounter]:[ID Questionnaire]])*COLUMNS(JULI_3[[ID Encounter]:[ID Questionnaire]])) &amp; " (" &amp; TEXT(COUNTIF(JULI_3[[ID Encounter]:[ID Questionnaire]], TRUE())/(ROWS(JULI_3[[ID Encounter]:[ID Questionnaire]])*COLUMNS(JULI_3[[ID Encounter]:[ID Questionnaire]])),"0%") &amp; ")"</f>
        <v>856 dari 2077 (41%)</v>
      </c>
    </row>
    <row r="71">
      <c r="B71" s="76"/>
      <c r="C71" s="77"/>
      <c r="D71" s="77"/>
      <c r="E71" s="77"/>
      <c r="F71" s="78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</row>
  </sheetData>
  <mergeCells count="33">
    <mergeCell ref="B70:F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H70:AH71"/>
    <mergeCell ref="AI70:AI71"/>
    <mergeCell ref="AJ70:AJ71"/>
    <mergeCell ref="AK70:AK71"/>
    <mergeCell ref="AL70:AL71"/>
    <mergeCell ref="AA70:AA71"/>
    <mergeCell ref="AB70:AB71"/>
    <mergeCell ref="AC70:AC71"/>
    <mergeCell ref="AD70:AD71"/>
    <mergeCell ref="AE70:AE71"/>
    <mergeCell ref="AF70:AF71"/>
    <mergeCell ref="AG70:AG7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2.88"/>
    <col customWidth="1" min="5" max="5" width="47.38"/>
    <col customWidth="1" min="6" max="6" width="20.25"/>
    <col customWidth="1" min="7" max="7" width="15.13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0" max="20" width="15.25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28" max="28" width="24.0"/>
    <col customWidth="1" min="29" max="29" width="28.38"/>
    <col customWidth="1" min="30" max="30" width="14.88"/>
    <col customWidth="1" min="35" max="35" width="14.75"/>
    <col customWidth="1" min="38" max="38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46207.0</v>
      </c>
      <c r="C2" s="4">
        <v>60026.0</v>
      </c>
      <c r="D2" s="4" t="s">
        <v>39</v>
      </c>
      <c r="E2" s="4" t="s">
        <v>42</v>
      </c>
      <c r="F2" s="5"/>
      <c r="G2" s="6" t="b">
        <v>1</v>
      </c>
      <c r="H2" s="6" t="b">
        <v>1</v>
      </c>
      <c r="I2" s="6" t="b">
        <v>0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111" si="1">COUNTIF(G2:AK2, TRUE()) &amp; " dari " &amp; COLUMNS(G2:AK2) &amp; " (" &amp; TEXT(COUNTIF(G2:AK2, TRUE())/COLUMNS(G2:AK2),"0%") &amp; ")"</f>
        <v>14 dari 31 (45%)</v>
      </c>
    </row>
    <row r="3" ht="22.5" customHeight="1">
      <c r="A3" s="10">
        <v>2.0</v>
      </c>
      <c r="B3" s="11"/>
      <c r="C3" s="4">
        <v>60735.0</v>
      </c>
      <c r="D3" s="12" t="s">
        <v>39</v>
      </c>
      <c r="E3" s="12" t="s">
        <v>45</v>
      </c>
      <c r="F3" s="14" t="s">
        <v>50</v>
      </c>
      <c r="G3" s="16" t="b">
        <v>1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6" t="b">
        <v>0</v>
      </c>
      <c r="O3" s="16" t="b">
        <v>0</v>
      </c>
      <c r="P3" s="16" t="b">
        <v>0</v>
      </c>
      <c r="Q3" s="16" t="b">
        <v>0</v>
      </c>
      <c r="R3" s="16" t="b">
        <v>0</v>
      </c>
      <c r="S3" s="16" t="b">
        <v>0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1 dari 31 (3%)</v>
      </c>
    </row>
    <row r="4" ht="22.5" customHeight="1">
      <c r="A4" s="2">
        <v>3.0</v>
      </c>
      <c r="B4" s="18"/>
      <c r="C4" s="4">
        <v>39635.0</v>
      </c>
      <c r="D4" s="4" t="s">
        <v>53</v>
      </c>
      <c r="E4" s="4" t="s">
        <v>48</v>
      </c>
      <c r="F4" s="5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14 dari 31 (45%)</v>
      </c>
    </row>
    <row r="5" ht="22.5" customHeight="1">
      <c r="A5" s="10">
        <v>4.0</v>
      </c>
      <c r="B5" s="11"/>
      <c r="C5" s="4">
        <v>60616.0</v>
      </c>
      <c r="D5" s="12" t="s">
        <v>56</v>
      </c>
      <c r="E5" s="12" t="s">
        <v>58</v>
      </c>
      <c r="F5" s="13"/>
      <c r="G5" s="16" t="b">
        <v>1</v>
      </c>
      <c r="H5" s="16" t="b">
        <v>1</v>
      </c>
      <c r="I5" s="16" t="b">
        <v>1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15 dari 31 (48%)</v>
      </c>
    </row>
    <row r="6" ht="22.5" customHeight="1">
      <c r="A6" s="2">
        <v>5.0</v>
      </c>
      <c r="B6" s="18"/>
      <c r="C6" s="4">
        <v>60524.0</v>
      </c>
      <c r="D6" s="4" t="s">
        <v>56</v>
      </c>
      <c r="E6" s="4" t="s">
        <v>60</v>
      </c>
      <c r="F6" s="5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15 dari 31 (48%)</v>
      </c>
    </row>
    <row r="7" ht="22.5" customHeight="1">
      <c r="A7" s="10">
        <v>6.0</v>
      </c>
      <c r="B7" s="11"/>
      <c r="C7" s="19">
        <v>46704.0</v>
      </c>
      <c r="D7" s="12" t="s">
        <v>39</v>
      </c>
      <c r="E7" s="12" t="s">
        <v>45</v>
      </c>
      <c r="F7" s="13"/>
      <c r="G7" s="16" t="b">
        <v>1</v>
      </c>
      <c r="H7" s="16" t="b">
        <v>1</v>
      </c>
      <c r="I7" s="16" t="b">
        <v>0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14 dari 31 (45%)</v>
      </c>
    </row>
    <row r="8" ht="22.5" customHeight="1">
      <c r="A8" s="2">
        <v>7.0</v>
      </c>
      <c r="B8" s="18"/>
      <c r="C8" s="19">
        <v>39635.0</v>
      </c>
      <c r="D8" s="4" t="s">
        <v>53</v>
      </c>
      <c r="E8" s="4" t="s">
        <v>48</v>
      </c>
      <c r="F8" s="14" t="s">
        <v>50</v>
      </c>
      <c r="G8" s="6" t="b">
        <v>1</v>
      </c>
      <c r="H8" s="6" t="b">
        <v>0</v>
      </c>
      <c r="I8" s="6" t="b">
        <v>0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1</v>
      </c>
      <c r="AJ8" s="6" t="b">
        <v>0</v>
      </c>
      <c r="AK8" s="6" t="b">
        <v>0</v>
      </c>
      <c r="AL8" s="9" t="str">
        <f t="shared" si="1"/>
        <v>12 dari 31 (39%)</v>
      </c>
    </row>
    <row r="9" ht="22.5" customHeight="1">
      <c r="A9" s="10">
        <v>8.0</v>
      </c>
      <c r="B9" s="11"/>
      <c r="C9" s="19">
        <v>60911.0</v>
      </c>
      <c r="D9" s="12" t="s">
        <v>39</v>
      </c>
      <c r="E9" s="12" t="s">
        <v>45</v>
      </c>
      <c r="F9" s="13"/>
      <c r="G9" s="16" t="b">
        <v>1</v>
      </c>
      <c r="H9" s="16" t="b">
        <v>1</v>
      </c>
      <c r="I9" s="16" t="b">
        <v>0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13 dari 31 (42%)</v>
      </c>
    </row>
    <row r="10" ht="22.5" customHeight="1">
      <c r="A10" s="2">
        <v>9.0</v>
      </c>
      <c r="B10" s="18"/>
      <c r="C10" s="4">
        <v>59893.0</v>
      </c>
      <c r="D10" s="4" t="s">
        <v>39</v>
      </c>
      <c r="E10" s="4" t="s">
        <v>45</v>
      </c>
      <c r="F10" s="5"/>
      <c r="G10" s="6" t="b">
        <v>1</v>
      </c>
      <c r="H10" s="6" t="b">
        <v>1</v>
      </c>
      <c r="I10" s="6" t="b">
        <v>0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13 dari 31 (42%)</v>
      </c>
    </row>
    <row r="11" ht="22.5" customHeight="1">
      <c r="A11" s="10">
        <v>10.0</v>
      </c>
      <c r="B11" s="11"/>
      <c r="C11" s="4">
        <v>60215.0</v>
      </c>
      <c r="D11" s="12" t="s">
        <v>39</v>
      </c>
      <c r="E11" s="12" t="s">
        <v>45</v>
      </c>
      <c r="F11" s="13"/>
      <c r="G11" s="16" t="b">
        <v>1</v>
      </c>
      <c r="H11" s="16" t="b">
        <v>1</v>
      </c>
      <c r="I11" s="16" t="b">
        <v>0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7" t="str">
        <f t="shared" si="1"/>
        <v>13 dari 31 (42%)</v>
      </c>
    </row>
    <row r="12" ht="22.5" customHeight="1">
      <c r="A12" s="2">
        <v>11.0</v>
      </c>
      <c r="B12" s="18"/>
      <c r="C12" s="20">
        <v>60733.0</v>
      </c>
      <c r="D12" s="4" t="s">
        <v>39</v>
      </c>
      <c r="E12" s="4" t="s">
        <v>45</v>
      </c>
      <c r="F12" s="5"/>
      <c r="G12" s="6" t="b">
        <v>1</v>
      </c>
      <c r="H12" s="6" t="b">
        <v>1</v>
      </c>
      <c r="I12" s="6" t="b">
        <v>0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1</v>
      </c>
      <c r="AJ12" s="6" t="b">
        <v>0</v>
      </c>
      <c r="AK12" s="6" t="b">
        <v>0</v>
      </c>
      <c r="AL12" s="9" t="str">
        <f t="shared" si="1"/>
        <v>14 dari 31 (45%)</v>
      </c>
    </row>
    <row r="13" ht="22.5" customHeight="1">
      <c r="A13" s="10">
        <v>12.0</v>
      </c>
      <c r="B13" s="11"/>
      <c r="C13" s="20">
        <v>44682.0</v>
      </c>
      <c r="D13" s="12" t="s">
        <v>39</v>
      </c>
      <c r="E13" s="12" t="s">
        <v>45</v>
      </c>
      <c r="F13" s="13"/>
      <c r="G13" s="16" t="b">
        <v>1</v>
      </c>
      <c r="H13" s="16" t="b">
        <v>1</v>
      </c>
      <c r="I13" s="16" t="b">
        <v>0</v>
      </c>
      <c r="J13" s="16" t="b">
        <v>1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1</v>
      </c>
      <c r="X13" s="16" t="b">
        <v>1</v>
      </c>
      <c r="Y13" s="16" t="b">
        <v>1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1"/>
        <v>17 dari 31 (55%)</v>
      </c>
    </row>
    <row r="14" ht="22.5" customHeight="1">
      <c r="A14" s="2">
        <v>13.0</v>
      </c>
      <c r="B14" s="18"/>
      <c r="C14" s="20">
        <v>51986.0</v>
      </c>
      <c r="D14" s="4" t="s">
        <v>39</v>
      </c>
      <c r="E14" s="4" t="s">
        <v>45</v>
      </c>
      <c r="F14" s="14" t="s">
        <v>50</v>
      </c>
      <c r="G14" s="6" t="b">
        <v>1</v>
      </c>
      <c r="H14" s="6" t="b">
        <v>0</v>
      </c>
      <c r="I14" s="6" t="b">
        <v>0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1</v>
      </c>
      <c r="X14" s="6" t="b">
        <v>1</v>
      </c>
      <c r="Y14" s="6" t="b">
        <v>1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1</v>
      </c>
      <c r="AJ14" s="6" t="b">
        <v>0</v>
      </c>
      <c r="AK14" s="6" t="b">
        <v>0</v>
      </c>
      <c r="AL14" s="9" t="str">
        <f t="shared" si="1"/>
        <v>16 dari 31 (52%)</v>
      </c>
    </row>
    <row r="15" ht="22.5" customHeight="1">
      <c r="A15" s="10">
        <v>14.0</v>
      </c>
      <c r="B15" s="11"/>
      <c r="C15" s="20">
        <v>59669.0</v>
      </c>
      <c r="D15" s="12" t="s">
        <v>39</v>
      </c>
      <c r="E15" s="12" t="s">
        <v>66</v>
      </c>
      <c r="F15" s="13"/>
      <c r="G15" s="16" t="b">
        <v>1</v>
      </c>
      <c r="H15" s="16" t="b">
        <v>1</v>
      </c>
      <c r="I15" s="16" t="b">
        <v>0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13 dari 31 (42%)</v>
      </c>
    </row>
    <row r="16" ht="22.5" customHeight="1">
      <c r="A16" s="2">
        <v>15.0</v>
      </c>
      <c r="B16" s="18"/>
      <c r="C16" s="20">
        <v>59620.0</v>
      </c>
      <c r="D16" s="4" t="s">
        <v>39</v>
      </c>
      <c r="E16" s="4" t="s">
        <v>45</v>
      </c>
      <c r="F16" s="5"/>
      <c r="G16" s="6" t="b">
        <v>1</v>
      </c>
      <c r="H16" s="6" t="b">
        <v>1</v>
      </c>
      <c r="I16" s="6" t="b">
        <v>0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13 dari 31 (42%)</v>
      </c>
    </row>
    <row r="17" ht="22.5" customHeight="1">
      <c r="A17" s="10">
        <v>16.0</v>
      </c>
      <c r="B17" s="11"/>
      <c r="C17" s="19">
        <v>53997.0</v>
      </c>
      <c r="D17" s="12" t="s">
        <v>39</v>
      </c>
      <c r="E17" s="12" t="s">
        <v>42</v>
      </c>
      <c r="F17" s="13"/>
      <c r="G17" s="16" t="b">
        <v>1</v>
      </c>
      <c r="H17" s="16" t="b">
        <v>1</v>
      </c>
      <c r="I17" s="16" t="b">
        <v>0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1</v>
      </c>
      <c r="AJ17" s="16" t="b">
        <v>0</v>
      </c>
      <c r="AK17" s="16" t="b">
        <v>0</v>
      </c>
      <c r="AL17" s="17" t="str">
        <f t="shared" si="1"/>
        <v>14 dari 31 (45%)</v>
      </c>
    </row>
    <row r="18" ht="22.5" customHeight="1">
      <c r="A18" s="2">
        <v>17.0</v>
      </c>
      <c r="B18" s="18"/>
      <c r="C18" s="22">
        <v>60320.0</v>
      </c>
      <c r="D18" s="4" t="s">
        <v>39</v>
      </c>
      <c r="E18" s="4" t="s">
        <v>42</v>
      </c>
      <c r="F18" s="5"/>
      <c r="G18" s="6" t="b">
        <v>1</v>
      </c>
      <c r="H18" s="6" t="b">
        <v>1</v>
      </c>
      <c r="I18" s="6" t="b">
        <v>0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13 dari 31 (42%)</v>
      </c>
    </row>
    <row r="19" ht="22.5" customHeight="1">
      <c r="A19" s="10">
        <v>18.0</v>
      </c>
      <c r="B19" s="11"/>
      <c r="C19" s="22">
        <v>60319.0</v>
      </c>
      <c r="D19" s="12" t="s">
        <v>39</v>
      </c>
      <c r="E19" s="12" t="s">
        <v>42</v>
      </c>
      <c r="F19" s="13"/>
      <c r="G19" s="16" t="b">
        <v>1</v>
      </c>
      <c r="H19" s="16" t="b">
        <v>1</v>
      </c>
      <c r="I19" s="16" t="b">
        <v>0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0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12 dari 31 (39%)</v>
      </c>
    </row>
    <row r="20" ht="22.5" customHeight="1">
      <c r="A20" s="2">
        <v>19.0</v>
      </c>
      <c r="B20" s="18"/>
      <c r="C20" s="22">
        <v>59661.0</v>
      </c>
      <c r="D20" s="4" t="s">
        <v>39</v>
      </c>
      <c r="E20" s="4" t="s">
        <v>42</v>
      </c>
      <c r="F20" s="5"/>
      <c r="G20" s="6" t="b">
        <v>1</v>
      </c>
      <c r="H20" s="6" t="b">
        <v>1</v>
      </c>
      <c r="I20" s="6" t="b">
        <v>0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0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1</v>
      </c>
      <c r="AJ20" s="6" t="b">
        <v>0</v>
      </c>
      <c r="AK20" s="6" t="b">
        <v>0</v>
      </c>
      <c r="AL20" s="9" t="str">
        <f t="shared" si="1"/>
        <v>13 dari 31 (42%)</v>
      </c>
    </row>
    <row r="21" ht="22.5" customHeight="1">
      <c r="A21" s="10">
        <v>20.0</v>
      </c>
      <c r="B21" s="11"/>
      <c r="C21" s="22">
        <v>60098.0</v>
      </c>
      <c r="D21" s="12" t="s">
        <v>39</v>
      </c>
      <c r="E21" s="12" t="s">
        <v>42</v>
      </c>
      <c r="F21" s="13"/>
      <c r="G21" s="16" t="b">
        <v>1</v>
      </c>
      <c r="H21" s="16" t="b">
        <v>1</v>
      </c>
      <c r="I21" s="16" t="b">
        <v>0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12 dari 31 (39%)</v>
      </c>
    </row>
    <row r="22" ht="22.5" customHeight="1">
      <c r="A22" s="36">
        <v>21.0</v>
      </c>
      <c r="B22" s="37"/>
      <c r="C22" s="39">
        <v>60750.0</v>
      </c>
      <c r="D22" s="40" t="s">
        <v>39</v>
      </c>
      <c r="E22" s="40" t="s">
        <v>71</v>
      </c>
      <c r="F22" s="41"/>
      <c r="G22" s="42" t="b">
        <v>0</v>
      </c>
      <c r="H22" s="42" t="b">
        <v>0</v>
      </c>
      <c r="I22" s="42" t="b">
        <v>0</v>
      </c>
      <c r="J22" s="42" t="b">
        <v>0</v>
      </c>
      <c r="K22" s="42" t="b">
        <v>0</v>
      </c>
      <c r="L22" s="42" t="b">
        <v>0</v>
      </c>
      <c r="M22" s="42" t="b">
        <v>0</v>
      </c>
      <c r="N22" s="42" t="b">
        <v>0</v>
      </c>
      <c r="O22" s="42" t="b">
        <v>0</v>
      </c>
      <c r="P22" s="42" t="b">
        <v>0</v>
      </c>
      <c r="Q22" s="42" t="b">
        <v>0</v>
      </c>
      <c r="R22" s="42" t="b">
        <v>0</v>
      </c>
      <c r="S22" s="42" t="b">
        <v>0</v>
      </c>
      <c r="T22" s="42" t="b">
        <v>0</v>
      </c>
      <c r="U22" s="42" t="b">
        <v>0</v>
      </c>
      <c r="V22" s="42" t="b">
        <v>0</v>
      </c>
      <c r="W22" s="42" t="b">
        <v>0</v>
      </c>
      <c r="X22" s="42" t="b">
        <v>0</v>
      </c>
      <c r="Y22" s="42" t="b">
        <v>0</v>
      </c>
      <c r="Z22" s="42" t="b">
        <v>0</v>
      </c>
      <c r="AA22" s="42" t="b">
        <v>0</v>
      </c>
      <c r="AB22" s="42" t="b">
        <v>0</v>
      </c>
      <c r="AC22" s="42" t="b">
        <v>0</v>
      </c>
      <c r="AD22" s="42" t="b">
        <v>0</v>
      </c>
      <c r="AE22" s="42" t="b">
        <v>0</v>
      </c>
      <c r="AF22" s="42" t="b">
        <v>0</v>
      </c>
      <c r="AG22" s="42" t="b">
        <v>0</v>
      </c>
      <c r="AH22" s="42" t="b">
        <v>0</v>
      </c>
      <c r="AI22" s="42" t="b">
        <v>0</v>
      </c>
      <c r="AJ22" s="42" t="b">
        <v>0</v>
      </c>
      <c r="AK22" s="42" t="b">
        <v>0</v>
      </c>
      <c r="AL22" s="43" t="str">
        <f t="shared" si="1"/>
        <v>0 dari 31 (0%)</v>
      </c>
    </row>
    <row r="23" ht="22.5" customHeight="1">
      <c r="A23" s="44">
        <v>22.0</v>
      </c>
      <c r="B23" s="45"/>
      <c r="C23" s="46">
        <v>58372.0</v>
      </c>
      <c r="D23" s="47" t="s">
        <v>41</v>
      </c>
      <c r="E23" s="47" t="s">
        <v>48</v>
      </c>
      <c r="F23" s="48"/>
      <c r="G23" s="49" t="b">
        <v>0</v>
      </c>
      <c r="H23" s="49" t="b">
        <v>0</v>
      </c>
      <c r="I23" s="49" t="b">
        <v>0</v>
      </c>
      <c r="J23" s="49" t="b">
        <v>0</v>
      </c>
      <c r="K23" s="49" t="b">
        <v>0</v>
      </c>
      <c r="L23" s="49" t="b">
        <v>0</v>
      </c>
      <c r="M23" s="49" t="b">
        <v>0</v>
      </c>
      <c r="N23" s="49" t="b">
        <v>0</v>
      </c>
      <c r="O23" s="49" t="b">
        <v>0</v>
      </c>
      <c r="P23" s="49" t="b">
        <v>0</v>
      </c>
      <c r="Q23" s="49" t="b">
        <v>0</v>
      </c>
      <c r="R23" s="49" t="b">
        <v>0</v>
      </c>
      <c r="S23" s="49" t="b">
        <v>0</v>
      </c>
      <c r="T23" s="49" t="b">
        <v>0</v>
      </c>
      <c r="U23" s="49" t="b">
        <v>0</v>
      </c>
      <c r="V23" s="49" t="b">
        <v>0</v>
      </c>
      <c r="W23" s="49" t="b">
        <v>0</v>
      </c>
      <c r="X23" s="49" t="b">
        <v>0</v>
      </c>
      <c r="Y23" s="49" t="b">
        <v>0</v>
      </c>
      <c r="Z23" s="49" t="b">
        <v>0</v>
      </c>
      <c r="AA23" s="49" t="b">
        <v>0</v>
      </c>
      <c r="AB23" s="49" t="b">
        <v>0</v>
      </c>
      <c r="AC23" s="49" t="b">
        <v>0</v>
      </c>
      <c r="AD23" s="49" t="b">
        <v>0</v>
      </c>
      <c r="AE23" s="49" t="b">
        <v>0</v>
      </c>
      <c r="AF23" s="49" t="b">
        <v>0</v>
      </c>
      <c r="AG23" s="49" t="b">
        <v>0</v>
      </c>
      <c r="AH23" s="49" t="b">
        <v>0</v>
      </c>
      <c r="AI23" s="49" t="b">
        <v>0</v>
      </c>
      <c r="AJ23" s="49" t="b">
        <v>0</v>
      </c>
      <c r="AK23" s="49" t="b">
        <v>0</v>
      </c>
      <c r="AL23" s="50" t="str">
        <f t="shared" si="1"/>
        <v>0 dari 31 (0%)</v>
      </c>
    </row>
    <row r="24" ht="22.5" customHeight="1">
      <c r="A24" s="2">
        <v>23.0</v>
      </c>
      <c r="B24" s="18"/>
      <c r="C24" s="22">
        <v>60063.0</v>
      </c>
      <c r="D24" s="12" t="s">
        <v>41</v>
      </c>
      <c r="E24" s="12" t="s">
        <v>48</v>
      </c>
      <c r="F24" s="13"/>
      <c r="G24" s="6" t="b">
        <v>1</v>
      </c>
      <c r="H24" s="6" t="b">
        <v>1</v>
      </c>
      <c r="I24" s="6" t="b">
        <v>0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13 dari 31 (42%)</v>
      </c>
    </row>
    <row r="25" ht="22.5" customHeight="1">
      <c r="A25" s="10">
        <v>24.0</v>
      </c>
      <c r="B25" s="11"/>
      <c r="C25" s="22">
        <v>55625.0</v>
      </c>
      <c r="D25" s="12" t="s">
        <v>41</v>
      </c>
      <c r="E25" s="12" t="s">
        <v>48</v>
      </c>
      <c r="F25" s="13"/>
      <c r="G25" s="16" t="b">
        <v>1</v>
      </c>
      <c r="H25" s="16" t="b">
        <v>1</v>
      </c>
      <c r="I25" s="16" t="b">
        <v>0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0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12 dari 31 (39%)</v>
      </c>
    </row>
    <row r="26" ht="22.5" customHeight="1">
      <c r="A26" s="2">
        <v>25.0</v>
      </c>
      <c r="B26" s="18"/>
      <c r="C26" s="22">
        <v>57711.0</v>
      </c>
      <c r="D26" s="12" t="s">
        <v>63</v>
      </c>
      <c r="E26" s="12" t="s">
        <v>72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1</v>
      </c>
      <c r="AJ26" s="6" t="b">
        <v>0</v>
      </c>
      <c r="AK26" s="6" t="b">
        <v>0</v>
      </c>
      <c r="AL26" s="9" t="str">
        <f t="shared" si="1"/>
        <v>15 dari 31 (48%)</v>
      </c>
    </row>
    <row r="27" ht="22.5" customHeight="1">
      <c r="A27" s="10">
        <v>26.0</v>
      </c>
      <c r="B27" s="11"/>
      <c r="C27" s="22">
        <v>35300.0</v>
      </c>
      <c r="D27" s="12" t="s">
        <v>63</v>
      </c>
      <c r="E27" s="12" t="s">
        <v>72</v>
      </c>
      <c r="F27" s="13"/>
      <c r="G27" s="16" t="b">
        <v>1</v>
      </c>
      <c r="H27" s="16" t="b">
        <v>1</v>
      </c>
      <c r="I27" s="16" t="b">
        <v>1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1</v>
      </c>
      <c r="AJ27" s="16" t="b">
        <v>0</v>
      </c>
      <c r="AK27" s="16" t="b">
        <v>0</v>
      </c>
      <c r="AL27" s="17" t="str">
        <f t="shared" si="1"/>
        <v>15 dari 31 (48%)</v>
      </c>
    </row>
    <row r="28" ht="22.5" customHeight="1">
      <c r="A28" s="2">
        <v>27.0</v>
      </c>
      <c r="B28" s="18"/>
      <c r="C28" s="22">
        <v>59621.0</v>
      </c>
      <c r="D28" s="12" t="s">
        <v>63</v>
      </c>
      <c r="E28" s="12" t="s">
        <v>72</v>
      </c>
      <c r="F28" s="13"/>
      <c r="G28" s="6" t="b">
        <v>1</v>
      </c>
      <c r="H28" s="6" t="b">
        <v>1</v>
      </c>
      <c r="I28" s="6" t="b">
        <v>1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1</v>
      </c>
      <c r="AJ28" s="6" t="b">
        <v>0</v>
      </c>
      <c r="AK28" s="6" t="b">
        <v>0</v>
      </c>
      <c r="AL28" s="9" t="str">
        <f t="shared" si="1"/>
        <v>15 dari 31 (48%)</v>
      </c>
    </row>
    <row r="29" ht="22.5" customHeight="1">
      <c r="A29" s="10">
        <v>28.0</v>
      </c>
      <c r="B29" s="11"/>
      <c r="C29" s="22">
        <v>60470.0</v>
      </c>
      <c r="D29" s="12" t="s">
        <v>63</v>
      </c>
      <c r="E29" s="12" t="s">
        <v>72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1</v>
      </c>
      <c r="AJ29" s="16" t="b">
        <v>0</v>
      </c>
      <c r="AK29" s="16" t="b">
        <v>0</v>
      </c>
      <c r="AL29" s="17" t="str">
        <f t="shared" si="1"/>
        <v>15 dari 31 (48%)</v>
      </c>
    </row>
    <row r="30" ht="22.5" customHeight="1">
      <c r="A30" s="2">
        <v>29.0</v>
      </c>
      <c r="B30" s="18"/>
      <c r="C30" s="22">
        <v>59358.0</v>
      </c>
      <c r="D30" s="12" t="s">
        <v>63</v>
      </c>
      <c r="E30" s="12" t="s">
        <v>72</v>
      </c>
      <c r="F30" s="13"/>
      <c r="G30" s="6" t="b">
        <v>1</v>
      </c>
      <c r="H30" s="6" t="b">
        <v>1</v>
      </c>
      <c r="I30" s="6" t="b">
        <v>1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1</v>
      </c>
      <c r="AA30" s="6" t="b">
        <v>1</v>
      </c>
      <c r="AB30" s="6" t="b">
        <v>1</v>
      </c>
      <c r="AC30" s="6" t="b">
        <v>1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1</v>
      </c>
      <c r="AJ30" s="6" t="b">
        <v>0</v>
      </c>
      <c r="AK30" s="6" t="b">
        <v>0</v>
      </c>
      <c r="AL30" s="9" t="str">
        <f t="shared" si="1"/>
        <v>19 dari 31 (61%)</v>
      </c>
    </row>
    <row r="31" ht="22.5" customHeight="1">
      <c r="A31" s="10">
        <v>30.0</v>
      </c>
      <c r="B31" s="11"/>
      <c r="C31" s="22">
        <v>20819.0</v>
      </c>
      <c r="D31" s="12" t="s">
        <v>63</v>
      </c>
      <c r="E31" s="12" t="s">
        <v>73</v>
      </c>
      <c r="F31" s="13"/>
      <c r="G31" s="16" t="b">
        <v>1</v>
      </c>
      <c r="H31" s="16" t="b">
        <v>1</v>
      </c>
      <c r="I31" s="16" t="b">
        <v>1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0</v>
      </c>
      <c r="O31" s="16" t="b">
        <v>1</v>
      </c>
      <c r="P31" s="16" t="b">
        <v>1</v>
      </c>
      <c r="Q31" s="16" t="b">
        <v>0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13 dari 31 (42%)</v>
      </c>
    </row>
    <row r="32" ht="22.5" customHeight="1">
      <c r="A32" s="36">
        <v>31.0</v>
      </c>
      <c r="B32" s="37"/>
      <c r="C32" s="46">
        <v>60758.0</v>
      </c>
      <c r="D32" s="47" t="s">
        <v>63</v>
      </c>
      <c r="E32" s="47" t="s">
        <v>78</v>
      </c>
      <c r="F32" s="48"/>
      <c r="G32" s="42" t="b">
        <v>0</v>
      </c>
      <c r="H32" s="42" t="b">
        <v>0</v>
      </c>
      <c r="I32" s="42" t="b">
        <v>0</v>
      </c>
      <c r="J32" s="42" t="b">
        <v>0</v>
      </c>
      <c r="K32" s="42" t="b">
        <v>0</v>
      </c>
      <c r="L32" s="42" t="b">
        <v>0</v>
      </c>
      <c r="M32" s="42" t="b">
        <v>0</v>
      </c>
      <c r="N32" s="42" t="b">
        <v>0</v>
      </c>
      <c r="O32" s="42" t="b">
        <v>0</v>
      </c>
      <c r="P32" s="42" t="b">
        <v>0</v>
      </c>
      <c r="Q32" s="42" t="b">
        <v>0</v>
      </c>
      <c r="R32" s="42" t="b">
        <v>0</v>
      </c>
      <c r="S32" s="42" t="b">
        <v>0</v>
      </c>
      <c r="T32" s="42" t="b">
        <v>0</v>
      </c>
      <c r="U32" s="42" t="b">
        <v>0</v>
      </c>
      <c r="V32" s="42" t="b">
        <v>0</v>
      </c>
      <c r="W32" s="42" t="b">
        <v>0</v>
      </c>
      <c r="X32" s="42" t="b">
        <v>0</v>
      </c>
      <c r="Y32" s="42" t="b">
        <v>0</v>
      </c>
      <c r="Z32" s="42" t="b">
        <v>0</v>
      </c>
      <c r="AA32" s="42" t="b">
        <v>0</v>
      </c>
      <c r="AB32" s="42" t="b">
        <v>0</v>
      </c>
      <c r="AC32" s="42" t="b">
        <v>0</v>
      </c>
      <c r="AD32" s="42" t="b">
        <v>0</v>
      </c>
      <c r="AE32" s="42" t="b">
        <v>0</v>
      </c>
      <c r="AF32" s="42" t="b">
        <v>0</v>
      </c>
      <c r="AG32" s="42" t="b">
        <v>0</v>
      </c>
      <c r="AH32" s="42" t="b">
        <v>0</v>
      </c>
      <c r="AI32" s="42" t="b">
        <v>0</v>
      </c>
      <c r="AJ32" s="42" t="b">
        <v>0</v>
      </c>
      <c r="AK32" s="42" t="b">
        <v>0</v>
      </c>
      <c r="AL32" s="43" t="str">
        <f t="shared" si="1"/>
        <v>0 dari 31 (0%)</v>
      </c>
    </row>
    <row r="33" ht="22.5" customHeight="1">
      <c r="A33" s="10">
        <v>32.0</v>
      </c>
      <c r="B33" s="11"/>
      <c r="C33" s="20">
        <v>60765.0</v>
      </c>
      <c r="D33" s="12" t="s">
        <v>63</v>
      </c>
      <c r="E33" s="12" t="s">
        <v>72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15 dari 31 (48%)</v>
      </c>
    </row>
    <row r="34" ht="22.5" customHeight="1">
      <c r="A34" s="54">
        <v>33.0</v>
      </c>
      <c r="B34" s="55"/>
      <c r="C34" s="20">
        <v>59958.0</v>
      </c>
      <c r="D34" s="56" t="s">
        <v>63</v>
      </c>
      <c r="E34" s="56" t="s">
        <v>79</v>
      </c>
      <c r="F34" s="57"/>
      <c r="G34" s="58" t="b">
        <v>1</v>
      </c>
      <c r="H34" s="58" t="b">
        <v>1</v>
      </c>
      <c r="I34" s="58" t="b">
        <v>1</v>
      </c>
      <c r="J34" s="58" t="b">
        <v>1</v>
      </c>
      <c r="K34" s="58" t="b">
        <v>1</v>
      </c>
      <c r="L34" s="58" t="b">
        <v>1</v>
      </c>
      <c r="M34" s="58" t="b">
        <v>1</v>
      </c>
      <c r="N34" s="58" t="b">
        <v>1</v>
      </c>
      <c r="O34" s="58" t="b">
        <v>1</v>
      </c>
      <c r="P34" s="58" t="b">
        <v>1</v>
      </c>
      <c r="Q34" s="58" t="b">
        <v>1</v>
      </c>
      <c r="R34" s="58" t="b">
        <v>1</v>
      </c>
      <c r="S34" s="58" t="b">
        <v>1</v>
      </c>
      <c r="T34" s="58" t="b">
        <v>1</v>
      </c>
      <c r="U34" s="58" t="b">
        <v>0</v>
      </c>
      <c r="V34" s="58" t="b">
        <v>0</v>
      </c>
      <c r="W34" s="58" t="b">
        <v>0</v>
      </c>
      <c r="X34" s="58" t="b">
        <v>0</v>
      </c>
      <c r="Y34" s="58" t="b">
        <v>0</v>
      </c>
      <c r="Z34" s="58" t="b">
        <v>0</v>
      </c>
      <c r="AA34" s="58" t="b">
        <v>0</v>
      </c>
      <c r="AB34" s="58" t="b">
        <v>0</v>
      </c>
      <c r="AC34" s="58" t="b">
        <v>0</v>
      </c>
      <c r="AD34" s="58" t="b">
        <v>0</v>
      </c>
      <c r="AE34" s="58" t="b">
        <v>0</v>
      </c>
      <c r="AF34" s="58" t="b">
        <v>0</v>
      </c>
      <c r="AG34" s="58" t="b">
        <v>0</v>
      </c>
      <c r="AH34" s="58" t="b">
        <v>0</v>
      </c>
      <c r="AI34" s="58" t="b">
        <v>1</v>
      </c>
      <c r="AJ34" s="58" t="b">
        <v>0</v>
      </c>
      <c r="AK34" s="58" t="b">
        <v>0</v>
      </c>
      <c r="AL34" s="59" t="str">
        <f t="shared" si="1"/>
        <v>15 dari 31 (48%)</v>
      </c>
    </row>
    <row r="35" ht="22.5" customHeight="1">
      <c r="A35" s="10">
        <v>34.0</v>
      </c>
      <c r="B35" s="11"/>
      <c r="C35" s="20">
        <v>38961.0</v>
      </c>
      <c r="D35" s="12" t="s">
        <v>63</v>
      </c>
      <c r="E35" s="12" t="s">
        <v>73</v>
      </c>
      <c r="F35" s="13"/>
      <c r="G35" s="16" t="b">
        <v>1</v>
      </c>
      <c r="H35" s="16" t="b">
        <v>1</v>
      </c>
      <c r="I35" s="16" t="b">
        <v>1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1"/>
        <v>15 dari 31 (48%)</v>
      </c>
    </row>
    <row r="36" ht="22.5" customHeight="1">
      <c r="A36" s="2">
        <v>35.0</v>
      </c>
      <c r="B36" s="18"/>
      <c r="C36" s="20">
        <v>59897.0</v>
      </c>
      <c r="D36" s="12" t="s">
        <v>63</v>
      </c>
      <c r="E36" s="12" t="s">
        <v>72</v>
      </c>
      <c r="F36" s="13"/>
      <c r="G36" s="6" t="b">
        <v>1</v>
      </c>
      <c r="H36" s="6" t="b">
        <v>1</v>
      </c>
      <c r="I36" s="6" t="b">
        <v>1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15 dari 31 (48%)</v>
      </c>
    </row>
    <row r="37" ht="22.5" customHeight="1">
      <c r="A37" s="10">
        <v>36.0</v>
      </c>
      <c r="B37" s="11"/>
      <c r="C37" s="22">
        <v>55108.0</v>
      </c>
      <c r="D37" s="12" t="s">
        <v>63</v>
      </c>
      <c r="E37" s="12" t="s">
        <v>72</v>
      </c>
      <c r="F37" s="13"/>
      <c r="G37" s="16" t="b">
        <v>1</v>
      </c>
      <c r="H37" s="16" t="b">
        <v>1</v>
      </c>
      <c r="I37" s="16" t="b">
        <v>1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15 dari 31 (48%)</v>
      </c>
    </row>
    <row r="38" ht="22.5" customHeight="1">
      <c r="A38" s="2">
        <v>37.0</v>
      </c>
      <c r="B38" s="18"/>
      <c r="C38" s="22">
        <v>61059.0</v>
      </c>
      <c r="D38" s="12" t="s">
        <v>63</v>
      </c>
      <c r="E38" s="12" t="s">
        <v>72</v>
      </c>
      <c r="F38" s="13"/>
      <c r="G38" s="6" t="b">
        <v>1</v>
      </c>
      <c r="H38" s="6" t="b">
        <v>1</v>
      </c>
      <c r="I38" s="6" t="b">
        <v>1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1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1</v>
      </c>
      <c r="AJ38" s="6" t="b">
        <v>0</v>
      </c>
      <c r="AK38" s="6" t="b">
        <v>0</v>
      </c>
      <c r="AL38" s="9" t="str">
        <f t="shared" si="1"/>
        <v>15 dari 31 (48%)</v>
      </c>
    </row>
    <row r="39" ht="22.5" customHeight="1">
      <c r="A39" s="10">
        <v>38.0</v>
      </c>
      <c r="B39" s="11"/>
      <c r="C39" s="22">
        <v>60201.0</v>
      </c>
      <c r="D39" s="12" t="s">
        <v>83</v>
      </c>
      <c r="E39" s="12" t="s">
        <v>60</v>
      </c>
      <c r="F39" s="13"/>
      <c r="G39" s="16" t="b">
        <v>1</v>
      </c>
      <c r="H39" s="16" t="b">
        <v>1</v>
      </c>
      <c r="I39" s="16" t="b">
        <v>1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1</v>
      </c>
      <c r="AJ39" s="16" t="b">
        <v>0</v>
      </c>
      <c r="AK39" s="16" t="b">
        <v>0</v>
      </c>
      <c r="AL39" s="17" t="str">
        <f t="shared" si="1"/>
        <v>15 dari 31 (48%)</v>
      </c>
    </row>
    <row r="40" ht="22.5" customHeight="1">
      <c r="A40" s="2">
        <v>39.0</v>
      </c>
      <c r="B40" s="18"/>
      <c r="C40" s="22">
        <v>60760.0</v>
      </c>
      <c r="D40" s="12" t="s">
        <v>39</v>
      </c>
      <c r="E40" s="12" t="s">
        <v>42</v>
      </c>
      <c r="F40" s="13"/>
      <c r="G40" s="6" t="b">
        <v>1</v>
      </c>
      <c r="H40" s="6" t="b">
        <v>1</v>
      </c>
      <c r="I40" s="6" t="b">
        <v>1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14 dari 31 (45%)</v>
      </c>
    </row>
    <row r="41" ht="22.5" customHeight="1">
      <c r="A41" s="10">
        <v>40.0</v>
      </c>
      <c r="B41" s="11"/>
      <c r="C41" s="22">
        <v>61060.0</v>
      </c>
      <c r="D41" s="12" t="s">
        <v>39</v>
      </c>
      <c r="E41" s="12" t="s">
        <v>42</v>
      </c>
      <c r="F41" s="13"/>
      <c r="G41" s="16" t="b">
        <v>1</v>
      </c>
      <c r="H41" s="16" t="b">
        <v>1</v>
      </c>
      <c r="I41" s="16" t="b">
        <v>1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0</v>
      </c>
      <c r="U41" s="16" t="b">
        <v>0</v>
      </c>
      <c r="V41" s="16" t="b">
        <v>0</v>
      </c>
      <c r="W41" s="16" t="b">
        <v>1</v>
      </c>
      <c r="X41" s="16" t="b">
        <v>1</v>
      </c>
      <c r="Y41" s="16" t="b">
        <v>1</v>
      </c>
      <c r="Z41" s="16" t="b">
        <v>1</v>
      </c>
      <c r="AA41" s="16" t="b">
        <v>1</v>
      </c>
      <c r="AB41" s="16" t="b">
        <v>1</v>
      </c>
      <c r="AC41" s="16" t="b">
        <v>1</v>
      </c>
      <c r="AD41" s="16" t="b">
        <v>1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22 dari 31 (71%)</v>
      </c>
    </row>
    <row r="42" ht="22.5" customHeight="1">
      <c r="A42" s="2">
        <v>41.0</v>
      </c>
      <c r="B42" s="18"/>
      <c r="C42" s="22">
        <v>61063.0</v>
      </c>
      <c r="D42" s="12" t="s">
        <v>56</v>
      </c>
      <c r="E42" s="12" t="s">
        <v>58</v>
      </c>
      <c r="F42" s="13"/>
      <c r="G42" s="6" t="b">
        <v>1</v>
      </c>
      <c r="H42" s="6" t="b">
        <v>1</v>
      </c>
      <c r="I42" s="6" t="b">
        <v>1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1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1</v>
      </c>
      <c r="AJ42" s="6" t="b">
        <v>0</v>
      </c>
      <c r="AK42" s="6" t="b">
        <v>0</v>
      </c>
      <c r="AL42" s="9" t="str">
        <f t="shared" si="1"/>
        <v>15 dari 31 (48%)</v>
      </c>
    </row>
    <row r="43" ht="22.5" customHeight="1">
      <c r="A43" s="10">
        <v>42.0</v>
      </c>
      <c r="B43" s="11"/>
      <c r="C43" s="22">
        <v>60751.0</v>
      </c>
      <c r="D43" s="12" t="s">
        <v>39</v>
      </c>
      <c r="E43" s="12" t="s">
        <v>42</v>
      </c>
      <c r="F43" s="13"/>
      <c r="G43" s="16" t="b">
        <v>1</v>
      </c>
      <c r="H43" s="16" t="b">
        <v>1</v>
      </c>
      <c r="I43" s="16" t="b">
        <v>0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1"/>
        <v>12 dari 31 (39%)</v>
      </c>
    </row>
    <row r="44" ht="22.5" customHeight="1">
      <c r="A44" s="2">
        <v>43.0</v>
      </c>
      <c r="B44" s="18"/>
      <c r="C44" s="22">
        <v>61062.0</v>
      </c>
      <c r="D44" s="12" t="s">
        <v>39</v>
      </c>
      <c r="E44" s="12" t="s">
        <v>42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1</v>
      </c>
      <c r="AA44" s="6" t="b">
        <v>1</v>
      </c>
      <c r="AB44" s="6" t="b">
        <v>1</v>
      </c>
      <c r="AC44" s="6" t="b">
        <v>1</v>
      </c>
      <c r="AD44" s="6" t="b">
        <v>1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1</v>
      </c>
      <c r="AJ44" s="6" t="b">
        <v>0</v>
      </c>
      <c r="AK44" s="6" t="b">
        <v>0</v>
      </c>
      <c r="AL44" s="9" t="str">
        <f t="shared" si="1"/>
        <v>19 dari 31 (61%)</v>
      </c>
    </row>
    <row r="45" ht="22.5" customHeight="1">
      <c r="A45" s="10">
        <v>44.0</v>
      </c>
      <c r="B45" s="11"/>
      <c r="C45" s="22">
        <v>61064.0</v>
      </c>
      <c r="D45" s="12" t="s">
        <v>85</v>
      </c>
      <c r="E45" s="12" t="s">
        <v>86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15 dari 31 (48%)</v>
      </c>
    </row>
    <row r="46" ht="22.5" customHeight="1">
      <c r="A46" s="2">
        <v>45.0</v>
      </c>
      <c r="B46" s="18"/>
      <c r="C46" s="22">
        <v>56451.0</v>
      </c>
      <c r="D46" s="12" t="s">
        <v>63</v>
      </c>
      <c r="E46" s="12" t="s">
        <v>72</v>
      </c>
      <c r="F46" s="13"/>
      <c r="G46" s="6" t="b">
        <v>1</v>
      </c>
      <c r="H46" s="6" t="b">
        <v>1</v>
      </c>
      <c r="I46" s="6" t="b">
        <v>1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1</v>
      </c>
      <c r="AJ46" s="6" t="b">
        <v>0</v>
      </c>
      <c r="AK46" s="6" t="b">
        <v>0</v>
      </c>
      <c r="AL46" s="9" t="str">
        <f t="shared" si="1"/>
        <v>15 dari 31 (48%)</v>
      </c>
    </row>
    <row r="47" ht="22.5" customHeight="1">
      <c r="A47" s="10">
        <v>46.0</v>
      </c>
      <c r="B47" s="11"/>
      <c r="C47" s="22">
        <v>53614.0</v>
      </c>
      <c r="D47" s="12" t="s">
        <v>63</v>
      </c>
      <c r="E47" s="12" t="s">
        <v>72</v>
      </c>
      <c r="F47" s="13"/>
      <c r="G47" s="16" t="b">
        <v>1</v>
      </c>
      <c r="H47" s="16" t="b">
        <v>1</v>
      </c>
      <c r="I47" s="16" t="b">
        <v>1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1</v>
      </c>
      <c r="S47" s="16" t="b">
        <v>1</v>
      </c>
      <c r="T47" s="16" t="b">
        <v>1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15 dari 31 (48%)</v>
      </c>
    </row>
    <row r="48" ht="22.5" customHeight="1">
      <c r="A48" s="10">
        <v>47.0</v>
      </c>
      <c r="B48" s="18"/>
      <c r="C48" s="22">
        <v>59170.0</v>
      </c>
      <c r="D48" s="12" t="s">
        <v>63</v>
      </c>
      <c r="E48" s="12" t="s">
        <v>72</v>
      </c>
      <c r="F48" s="13"/>
      <c r="G48" s="6" t="b">
        <v>1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0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1</v>
      </c>
      <c r="AJ48" s="6" t="b">
        <v>0</v>
      </c>
      <c r="AK48" s="6" t="b">
        <v>0</v>
      </c>
      <c r="AL48" s="9" t="str">
        <f t="shared" si="1"/>
        <v>14 dari 31 (45%)</v>
      </c>
    </row>
    <row r="49" ht="22.5" customHeight="1">
      <c r="A49" s="2">
        <v>48.0</v>
      </c>
      <c r="B49" s="11"/>
      <c r="C49" s="22">
        <v>60465.0</v>
      </c>
      <c r="D49" s="12" t="s">
        <v>39</v>
      </c>
      <c r="E49" s="12" t="s">
        <v>45</v>
      </c>
      <c r="F49" s="13"/>
      <c r="G49" s="16" t="b">
        <v>1</v>
      </c>
      <c r="H49" s="16" t="b">
        <v>1</v>
      </c>
      <c r="I49" s="16" t="b">
        <v>0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0</v>
      </c>
      <c r="U49" s="16" t="b">
        <v>0</v>
      </c>
      <c r="V49" s="16" t="b">
        <v>0</v>
      </c>
      <c r="W49" s="16" t="b">
        <v>1</v>
      </c>
      <c r="X49" s="16" t="b">
        <v>1</v>
      </c>
      <c r="Y49" s="16" t="b">
        <v>1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16 dari 31 (52%)</v>
      </c>
    </row>
    <row r="50" ht="22.5" customHeight="1">
      <c r="A50" s="10">
        <v>49.0</v>
      </c>
      <c r="B50" s="11"/>
      <c r="C50" s="22">
        <v>61066.0</v>
      </c>
      <c r="D50" s="12" t="s">
        <v>63</v>
      </c>
      <c r="E50" s="12" t="s">
        <v>72</v>
      </c>
      <c r="F50" s="13"/>
      <c r="G50" s="6" t="b">
        <v>1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1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1</v>
      </c>
      <c r="AJ50" s="6" t="b">
        <v>0</v>
      </c>
      <c r="AK50" s="6" t="b">
        <v>0</v>
      </c>
      <c r="AL50" s="9" t="str">
        <f t="shared" si="1"/>
        <v>15 dari 31 (48%)</v>
      </c>
    </row>
    <row r="51" ht="22.5" customHeight="1">
      <c r="A51" s="10">
        <v>50.0</v>
      </c>
      <c r="B51" s="11"/>
      <c r="C51" s="22">
        <v>60654.0</v>
      </c>
      <c r="D51" s="12" t="s">
        <v>63</v>
      </c>
      <c r="E51" s="12" t="s">
        <v>72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1</v>
      </c>
      <c r="AJ51" s="6" t="b">
        <v>0</v>
      </c>
      <c r="AK51" s="6" t="b">
        <v>0</v>
      </c>
      <c r="AL51" s="17" t="str">
        <f t="shared" si="1"/>
        <v>15 dari 31 (48%)</v>
      </c>
    </row>
    <row r="52" ht="22.5" customHeight="1">
      <c r="A52" s="2">
        <v>51.0</v>
      </c>
      <c r="B52" s="11"/>
      <c r="C52" s="20">
        <v>60245.0</v>
      </c>
      <c r="D52" s="12" t="s">
        <v>63</v>
      </c>
      <c r="E52" s="12" t="s">
        <v>72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15 dari 31 (48%)</v>
      </c>
    </row>
    <row r="53" ht="22.5" customHeight="1">
      <c r="A53" s="44">
        <v>52.0</v>
      </c>
      <c r="B53" s="45"/>
      <c r="C53" s="66">
        <v>40945.0</v>
      </c>
      <c r="D53" s="47" t="s">
        <v>63</v>
      </c>
      <c r="E53" s="47" t="s">
        <v>72</v>
      </c>
      <c r="F53" s="48"/>
      <c r="G53" s="42" t="b">
        <v>0</v>
      </c>
      <c r="H53" s="42" t="b">
        <v>0</v>
      </c>
      <c r="I53" s="42" t="b">
        <v>0</v>
      </c>
      <c r="J53" s="42" t="b">
        <v>0</v>
      </c>
      <c r="K53" s="42" t="b">
        <v>0</v>
      </c>
      <c r="L53" s="42" t="b">
        <v>0</v>
      </c>
      <c r="M53" s="42" t="b">
        <v>0</v>
      </c>
      <c r="N53" s="42" t="b">
        <v>0</v>
      </c>
      <c r="O53" s="42" t="b">
        <v>0</v>
      </c>
      <c r="P53" s="42" t="b">
        <v>0</v>
      </c>
      <c r="Q53" s="42" t="b">
        <v>0</v>
      </c>
      <c r="R53" s="42" t="b">
        <v>0</v>
      </c>
      <c r="S53" s="42" t="b">
        <v>0</v>
      </c>
      <c r="T53" s="42" t="b">
        <v>0</v>
      </c>
      <c r="U53" s="42" t="b">
        <v>0</v>
      </c>
      <c r="V53" s="42" t="b">
        <v>0</v>
      </c>
      <c r="W53" s="42" t="b">
        <v>0</v>
      </c>
      <c r="X53" s="42" t="b">
        <v>0</v>
      </c>
      <c r="Y53" s="42" t="b">
        <v>0</v>
      </c>
      <c r="Z53" s="42" t="b">
        <v>0</v>
      </c>
      <c r="AA53" s="42" t="b">
        <v>0</v>
      </c>
      <c r="AB53" s="42" t="b">
        <v>0</v>
      </c>
      <c r="AC53" s="42" t="b">
        <v>0</v>
      </c>
      <c r="AD53" s="42" t="b">
        <v>0</v>
      </c>
      <c r="AE53" s="42" t="b">
        <v>0</v>
      </c>
      <c r="AF53" s="42" t="b">
        <v>0</v>
      </c>
      <c r="AG53" s="42" t="b">
        <v>0</v>
      </c>
      <c r="AH53" s="42" t="b">
        <v>0</v>
      </c>
      <c r="AI53" s="42" t="b">
        <v>0</v>
      </c>
      <c r="AJ53" s="42" t="b">
        <v>0</v>
      </c>
      <c r="AK53" s="42" t="b">
        <v>0</v>
      </c>
      <c r="AL53" s="43" t="str">
        <f t="shared" si="1"/>
        <v>0 dari 31 (0%)</v>
      </c>
    </row>
    <row r="54" ht="22.5" customHeight="1">
      <c r="A54" s="10">
        <v>53.0</v>
      </c>
      <c r="B54" s="11"/>
      <c r="C54" s="22">
        <v>55583.0</v>
      </c>
      <c r="D54" s="12" t="s">
        <v>63</v>
      </c>
      <c r="E54" s="12" t="s">
        <v>72</v>
      </c>
      <c r="F54" s="13"/>
      <c r="G54" s="6" t="b">
        <v>1</v>
      </c>
      <c r="H54" s="6" t="b">
        <v>1</v>
      </c>
      <c r="I54" s="6" t="b">
        <v>1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15 dari 31 (48%)</v>
      </c>
    </row>
    <row r="55" ht="22.5" customHeight="1">
      <c r="A55" s="2">
        <v>54.0</v>
      </c>
      <c r="B55" s="11"/>
      <c r="C55" s="22">
        <v>60931.0</v>
      </c>
      <c r="D55" s="12" t="s">
        <v>63</v>
      </c>
      <c r="E55" s="12" t="s">
        <v>72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1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1</v>
      </c>
      <c r="AJ55" s="6" t="b">
        <v>0</v>
      </c>
      <c r="AK55" s="6" t="b">
        <v>0</v>
      </c>
      <c r="AL55" s="9" t="str">
        <f t="shared" si="1"/>
        <v>15 dari 31 (48%)</v>
      </c>
    </row>
    <row r="56" ht="22.5" customHeight="1">
      <c r="A56" s="10">
        <v>55.0</v>
      </c>
      <c r="B56" s="11"/>
      <c r="C56" s="22">
        <v>60239.0</v>
      </c>
      <c r="D56" s="12" t="s">
        <v>63</v>
      </c>
      <c r="E56" s="12" t="s">
        <v>72</v>
      </c>
      <c r="F56" s="13"/>
      <c r="G56" s="6" t="b">
        <v>1</v>
      </c>
      <c r="H56" s="6" t="b">
        <v>1</v>
      </c>
      <c r="I56" s="6" t="b">
        <v>1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1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1"/>
        <v>15 dari 31 (48%)</v>
      </c>
    </row>
    <row r="57" ht="22.5" customHeight="1">
      <c r="A57" s="10">
        <v>56.0</v>
      </c>
      <c r="B57" s="11"/>
      <c r="C57" s="22">
        <v>61065.0</v>
      </c>
      <c r="D57" s="12" t="s">
        <v>63</v>
      </c>
      <c r="E57" s="12" t="s">
        <v>72</v>
      </c>
      <c r="F57" s="13"/>
      <c r="G57" s="6" t="b">
        <v>1</v>
      </c>
      <c r="H57" s="6" t="b">
        <v>1</v>
      </c>
      <c r="I57" s="6" t="b">
        <v>1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1</v>
      </c>
      <c r="AJ57" s="6" t="b">
        <v>0</v>
      </c>
      <c r="AK57" s="6" t="b">
        <v>0</v>
      </c>
      <c r="AL57" s="17" t="str">
        <f t="shared" si="1"/>
        <v>15 dari 31 (48%)</v>
      </c>
    </row>
    <row r="58" ht="22.5" customHeight="1">
      <c r="A58" s="2">
        <v>57.0</v>
      </c>
      <c r="B58" s="11"/>
      <c r="C58" s="22">
        <v>30471.0</v>
      </c>
      <c r="D58" s="12" t="s">
        <v>63</v>
      </c>
      <c r="E58" s="12" t="s">
        <v>72</v>
      </c>
      <c r="F58" s="13"/>
      <c r="G58" s="6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1"/>
        <v>15 dari 31 (48%)</v>
      </c>
    </row>
    <row r="59" ht="22.5" customHeight="1">
      <c r="A59" s="10">
        <v>58.0</v>
      </c>
      <c r="B59" s="11"/>
      <c r="C59" s="22">
        <v>57896.0</v>
      </c>
      <c r="D59" s="12" t="s">
        <v>63</v>
      </c>
      <c r="E59" s="12" t="s">
        <v>72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1</v>
      </c>
      <c r="AJ59" s="6" t="b">
        <v>0</v>
      </c>
      <c r="AK59" s="6" t="b">
        <v>0</v>
      </c>
      <c r="AL59" s="9" t="str">
        <f t="shared" si="1"/>
        <v>15 dari 31 (48%)</v>
      </c>
    </row>
    <row r="60" ht="22.5" customHeight="1">
      <c r="A60" s="10">
        <v>59.0</v>
      </c>
      <c r="B60" s="11"/>
      <c r="C60" s="22">
        <v>59663.0</v>
      </c>
      <c r="D60" s="12" t="s">
        <v>63</v>
      </c>
      <c r="E60" s="12" t="s">
        <v>72</v>
      </c>
      <c r="F60" s="13"/>
      <c r="G60" s="6" t="b">
        <v>1</v>
      </c>
      <c r="H60" s="6" t="b">
        <v>1</v>
      </c>
      <c r="I60" s="6" t="b">
        <v>1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1</v>
      </c>
      <c r="AJ60" s="6" t="b">
        <v>0</v>
      </c>
      <c r="AK60" s="6" t="b">
        <v>0</v>
      </c>
      <c r="AL60" s="17" t="str">
        <f t="shared" si="1"/>
        <v>14 dari 31 (45%)</v>
      </c>
    </row>
    <row r="61" ht="22.5" customHeight="1">
      <c r="A61" s="2">
        <v>60.0</v>
      </c>
      <c r="B61" s="11"/>
      <c r="C61" s="22">
        <v>44332.0</v>
      </c>
      <c r="D61" s="12" t="s">
        <v>63</v>
      </c>
      <c r="E61" s="12" t="s">
        <v>72</v>
      </c>
      <c r="F61" s="13"/>
      <c r="G61" s="6" t="b">
        <v>1</v>
      </c>
      <c r="H61" s="6" t="b">
        <v>1</v>
      </c>
      <c r="I61" s="6" t="b">
        <v>1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0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1</v>
      </c>
      <c r="AJ61" s="6" t="b">
        <v>0</v>
      </c>
      <c r="AK61" s="6" t="b">
        <v>0</v>
      </c>
      <c r="AL61" s="9" t="str">
        <f t="shared" si="1"/>
        <v>14 dari 31 (45%)</v>
      </c>
    </row>
    <row r="62" ht="22.5" customHeight="1">
      <c r="A62" s="10">
        <v>61.0</v>
      </c>
      <c r="B62" s="11"/>
      <c r="C62" s="20">
        <v>60092.0</v>
      </c>
      <c r="D62" s="12" t="s">
        <v>63</v>
      </c>
      <c r="E62" s="12" t="s">
        <v>72</v>
      </c>
      <c r="F62" s="13"/>
      <c r="G62" s="6" t="b">
        <v>1</v>
      </c>
      <c r="H62" s="6" t="b">
        <v>1</v>
      </c>
      <c r="I62" s="6" t="b">
        <v>1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1</v>
      </c>
      <c r="AJ62" s="6" t="b">
        <v>0</v>
      </c>
      <c r="AK62" s="6" t="b">
        <v>0</v>
      </c>
      <c r="AL62" s="9" t="str">
        <f t="shared" si="1"/>
        <v>15 dari 31 (48%)</v>
      </c>
    </row>
    <row r="63" ht="22.5" customHeight="1">
      <c r="A63" s="10">
        <v>62.0</v>
      </c>
      <c r="B63" s="11"/>
      <c r="C63" s="20">
        <v>59558.0</v>
      </c>
      <c r="D63" s="12" t="s">
        <v>63</v>
      </c>
      <c r="E63" s="12" t="s">
        <v>72</v>
      </c>
      <c r="F63" s="13"/>
      <c r="G63" s="6" t="b">
        <v>1</v>
      </c>
      <c r="H63" s="6" t="b">
        <v>1</v>
      </c>
      <c r="I63" s="6" t="b">
        <v>1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1</v>
      </c>
      <c r="AJ63" s="6" t="b">
        <v>0</v>
      </c>
      <c r="AK63" s="6" t="b">
        <v>0</v>
      </c>
      <c r="AL63" s="17" t="str">
        <f t="shared" si="1"/>
        <v>15 dari 31 (48%)</v>
      </c>
    </row>
    <row r="64" ht="22.5" customHeight="1">
      <c r="A64" s="2">
        <v>63.0</v>
      </c>
      <c r="B64" s="11"/>
      <c r="C64" s="20">
        <v>60756.0</v>
      </c>
      <c r="D64" s="12" t="s">
        <v>63</v>
      </c>
      <c r="E64" s="12" t="s">
        <v>73</v>
      </c>
      <c r="F64" s="13"/>
      <c r="G64" s="6" t="b">
        <v>1</v>
      </c>
      <c r="H64" s="6" t="b">
        <v>1</v>
      </c>
      <c r="I64" s="6" t="b">
        <v>1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1</v>
      </c>
      <c r="AJ64" s="6" t="b">
        <v>0</v>
      </c>
      <c r="AK64" s="6" t="b">
        <v>0</v>
      </c>
      <c r="AL64" s="9" t="str">
        <f t="shared" si="1"/>
        <v>14 dari 31 (45%)</v>
      </c>
    </row>
    <row r="65" ht="22.5" customHeight="1">
      <c r="A65" s="10">
        <v>64.0</v>
      </c>
      <c r="B65" s="11"/>
      <c r="C65" s="20">
        <v>41006.0</v>
      </c>
      <c r="D65" s="12" t="s">
        <v>63</v>
      </c>
      <c r="E65" s="12" t="s">
        <v>72</v>
      </c>
      <c r="F65" s="13"/>
      <c r="G65" s="6" t="b">
        <v>1</v>
      </c>
      <c r="H65" s="6" t="b">
        <v>1</v>
      </c>
      <c r="I65" s="6" t="b">
        <v>1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1</v>
      </c>
      <c r="AJ65" s="6" t="b">
        <v>0</v>
      </c>
      <c r="AK65" s="6" t="b">
        <v>0</v>
      </c>
      <c r="AL65" s="9" t="str">
        <f t="shared" si="1"/>
        <v>14 dari 31 (45%)</v>
      </c>
    </row>
    <row r="66" ht="22.5" customHeight="1">
      <c r="A66" s="10">
        <v>65.0</v>
      </c>
      <c r="B66" s="11"/>
      <c r="C66" s="20">
        <v>53406.0</v>
      </c>
      <c r="D66" s="12" t="s">
        <v>63</v>
      </c>
      <c r="E66" s="12" t="s">
        <v>72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0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14 dari 31 (45%)</v>
      </c>
    </row>
    <row r="67" ht="22.5" customHeight="1">
      <c r="A67" s="2">
        <v>66.0</v>
      </c>
      <c r="B67" s="11"/>
      <c r="C67" s="22">
        <v>59110.0</v>
      </c>
      <c r="D67" s="12" t="s">
        <v>63</v>
      </c>
      <c r="E67" s="12" t="s">
        <v>72</v>
      </c>
      <c r="F67" s="13"/>
      <c r="G67" s="6" t="b">
        <v>1</v>
      </c>
      <c r="H67" s="6" t="b">
        <v>1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15 dari 31 (48%)</v>
      </c>
    </row>
    <row r="68" ht="22.5" customHeight="1">
      <c r="A68" s="10">
        <v>67.0</v>
      </c>
      <c r="B68" s="11"/>
      <c r="C68" s="22">
        <v>59317.0</v>
      </c>
      <c r="D68" s="12" t="s">
        <v>63</v>
      </c>
      <c r="E68" s="12" t="s">
        <v>72</v>
      </c>
      <c r="F68" s="13"/>
      <c r="G68" s="6" t="b">
        <v>1</v>
      </c>
      <c r="H68" s="6" t="b">
        <v>1</v>
      </c>
      <c r="I68" s="6" t="b">
        <v>1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1</v>
      </c>
      <c r="AJ68" s="6" t="b">
        <v>0</v>
      </c>
      <c r="AK68" s="6" t="b">
        <v>0</v>
      </c>
      <c r="AL68" s="9" t="str">
        <f t="shared" si="1"/>
        <v>14 dari 31 (45%)</v>
      </c>
    </row>
    <row r="69" ht="22.5" customHeight="1">
      <c r="A69" s="10">
        <v>68.0</v>
      </c>
      <c r="B69" s="11"/>
      <c r="C69" s="22">
        <v>43863.0</v>
      </c>
      <c r="D69" s="12" t="s">
        <v>63</v>
      </c>
      <c r="E69" s="12" t="s">
        <v>72</v>
      </c>
      <c r="F69" s="13"/>
      <c r="G69" s="6" t="b">
        <v>1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0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0</v>
      </c>
      <c r="AL69" s="17" t="str">
        <f t="shared" si="1"/>
        <v>14 dari 31 (45%)</v>
      </c>
    </row>
    <row r="70" ht="22.5" customHeight="1">
      <c r="A70" s="2">
        <v>69.0</v>
      </c>
      <c r="B70" s="11"/>
      <c r="C70" s="22">
        <v>35594.0</v>
      </c>
      <c r="D70" s="12" t="s">
        <v>56</v>
      </c>
      <c r="E70" s="12" t="s">
        <v>58</v>
      </c>
      <c r="F70" s="13"/>
      <c r="G70" s="6" t="b">
        <v>1</v>
      </c>
      <c r="H70" s="6" t="b">
        <v>1</v>
      </c>
      <c r="I70" s="6" t="b">
        <v>1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1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1</v>
      </c>
      <c r="AJ70" s="6" t="b">
        <v>0</v>
      </c>
      <c r="AK70" s="6" t="b">
        <v>0</v>
      </c>
      <c r="AL70" s="9" t="str">
        <f t="shared" si="1"/>
        <v>15 dari 31 (48%)</v>
      </c>
    </row>
    <row r="71" ht="22.5" customHeight="1">
      <c r="A71" s="10">
        <v>70.0</v>
      </c>
      <c r="B71" s="11"/>
      <c r="C71" s="22">
        <v>51969.0</v>
      </c>
      <c r="D71" s="12" t="s">
        <v>63</v>
      </c>
      <c r="E71" s="12" t="s">
        <v>72</v>
      </c>
      <c r="F71" s="13"/>
      <c r="G71" s="6" t="b">
        <v>1</v>
      </c>
      <c r="H71" s="6" t="b">
        <v>1</v>
      </c>
      <c r="I71" s="6" t="b">
        <v>1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0</v>
      </c>
      <c r="S71" s="6" t="b">
        <v>1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12 dari 31 (39%)</v>
      </c>
    </row>
    <row r="72" ht="22.5" customHeight="1">
      <c r="A72" s="10">
        <v>71.0</v>
      </c>
      <c r="B72" s="11"/>
      <c r="C72" s="20">
        <v>60117.0</v>
      </c>
      <c r="D72" s="12" t="s">
        <v>63</v>
      </c>
      <c r="E72" s="12" t="s">
        <v>78</v>
      </c>
      <c r="F72" s="13"/>
      <c r="G72" s="6" t="b">
        <v>1</v>
      </c>
      <c r="H72" s="6" t="b">
        <v>1</v>
      </c>
      <c r="I72" s="6" t="b">
        <v>1</v>
      </c>
      <c r="J72" s="6" t="b">
        <v>1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1</v>
      </c>
      <c r="AJ72" s="6" t="b">
        <v>0</v>
      </c>
      <c r="AK72" s="6" t="b">
        <v>0</v>
      </c>
      <c r="AL72" s="17" t="str">
        <f t="shared" si="1"/>
        <v>14 dari 31 (45%)</v>
      </c>
    </row>
    <row r="73" ht="22.5" customHeight="1">
      <c r="A73" s="2">
        <v>72.0</v>
      </c>
      <c r="B73" s="11"/>
      <c r="C73" s="20">
        <v>60293.0</v>
      </c>
      <c r="D73" s="12" t="s">
        <v>39</v>
      </c>
      <c r="E73" s="12" t="s">
        <v>42</v>
      </c>
      <c r="F73" s="13"/>
      <c r="G73" s="6" t="b">
        <v>1</v>
      </c>
      <c r="H73" s="6" t="b">
        <v>1</v>
      </c>
      <c r="I73" s="6" t="b">
        <v>0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0</v>
      </c>
      <c r="U73" s="6" t="b">
        <v>0</v>
      </c>
      <c r="V73" s="6" t="b">
        <v>0</v>
      </c>
      <c r="W73" s="6" t="b">
        <v>1</v>
      </c>
      <c r="X73" s="6" t="b">
        <v>1</v>
      </c>
      <c r="Y73" s="6" t="b">
        <v>1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1</v>
      </c>
      <c r="AJ73" s="6" t="b">
        <v>0</v>
      </c>
      <c r="AK73" s="6" t="b">
        <v>0</v>
      </c>
      <c r="AL73" s="9" t="str">
        <f t="shared" si="1"/>
        <v>16 dari 31 (52%)</v>
      </c>
    </row>
    <row r="74" ht="22.5" customHeight="1">
      <c r="A74" s="10">
        <v>73.0</v>
      </c>
      <c r="B74" s="11"/>
      <c r="C74" s="22">
        <v>61067.0</v>
      </c>
      <c r="D74" s="12" t="s">
        <v>39</v>
      </c>
      <c r="E74" s="12" t="s">
        <v>42</v>
      </c>
      <c r="F74" s="13"/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0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1</v>
      </c>
      <c r="AA74" s="6" t="b">
        <v>1</v>
      </c>
      <c r="AB74" s="6" t="b">
        <v>1</v>
      </c>
      <c r="AC74" s="6" t="b">
        <v>1</v>
      </c>
      <c r="AD74" s="6" t="b">
        <v>1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1</v>
      </c>
      <c r="AJ74" s="6" t="b">
        <v>0</v>
      </c>
      <c r="AK74" s="6" t="b">
        <v>0</v>
      </c>
      <c r="AL74" s="9" t="str">
        <f t="shared" si="1"/>
        <v>19 dari 31 (61%)</v>
      </c>
    </row>
    <row r="75" ht="22.5" customHeight="1">
      <c r="A75" s="10">
        <v>74.0</v>
      </c>
      <c r="B75" s="11"/>
      <c r="C75" s="22">
        <v>59794.0</v>
      </c>
      <c r="D75" s="12" t="s">
        <v>80</v>
      </c>
      <c r="E75" s="12" t="s">
        <v>97</v>
      </c>
      <c r="F75" s="13"/>
      <c r="G75" s="6" t="b">
        <v>1</v>
      </c>
      <c r="H75" s="6" t="b">
        <v>1</v>
      </c>
      <c r="I75" s="6" t="b">
        <v>0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13 dari 31 (42%)</v>
      </c>
    </row>
    <row r="76" ht="22.5" customHeight="1">
      <c r="A76" s="36">
        <v>75.0</v>
      </c>
      <c r="B76" s="45"/>
      <c r="C76" s="46">
        <v>24757.0</v>
      </c>
      <c r="D76" s="47" t="s">
        <v>98</v>
      </c>
      <c r="E76" s="47" t="s">
        <v>99</v>
      </c>
      <c r="F76" s="48"/>
      <c r="G76" s="42" t="b">
        <v>0</v>
      </c>
      <c r="H76" s="42" t="b">
        <v>0</v>
      </c>
      <c r="I76" s="42" t="b">
        <v>0</v>
      </c>
      <c r="J76" s="42" t="b">
        <v>0</v>
      </c>
      <c r="K76" s="42" t="b">
        <v>0</v>
      </c>
      <c r="L76" s="42" t="b">
        <v>0</v>
      </c>
      <c r="M76" s="42" t="b">
        <v>0</v>
      </c>
      <c r="N76" s="42" t="b">
        <v>0</v>
      </c>
      <c r="O76" s="42" t="b">
        <v>0</v>
      </c>
      <c r="P76" s="42" t="b">
        <v>0</v>
      </c>
      <c r="Q76" s="42" t="b">
        <v>0</v>
      </c>
      <c r="R76" s="42" t="b">
        <v>0</v>
      </c>
      <c r="S76" s="42" t="b">
        <v>0</v>
      </c>
      <c r="T76" s="42" t="b">
        <v>0</v>
      </c>
      <c r="U76" s="42" t="b">
        <v>0</v>
      </c>
      <c r="V76" s="42" t="b">
        <v>0</v>
      </c>
      <c r="W76" s="42" t="b">
        <v>0</v>
      </c>
      <c r="X76" s="42" t="b">
        <v>0</v>
      </c>
      <c r="Y76" s="42" t="b">
        <v>0</v>
      </c>
      <c r="Z76" s="42" t="b">
        <v>0</v>
      </c>
      <c r="AA76" s="42" t="b">
        <v>0</v>
      </c>
      <c r="AB76" s="42" t="b">
        <v>0</v>
      </c>
      <c r="AC76" s="42" t="b">
        <v>0</v>
      </c>
      <c r="AD76" s="42" t="b">
        <v>0</v>
      </c>
      <c r="AE76" s="42" t="b">
        <v>0</v>
      </c>
      <c r="AF76" s="42" t="b">
        <v>0</v>
      </c>
      <c r="AG76" s="42" t="b">
        <v>0</v>
      </c>
      <c r="AH76" s="42" t="b">
        <v>0</v>
      </c>
      <c r="AI76" s="42" t="b">
        <v>0</v>
      </c>
      <c r="AJ76" s="42" t="b">
        <v>0</v>
      </c>
      <c r="AK76" s="42" t="b">
        <v>0</v>
      </c>
      <c r="AL76" s="43" t="str">
        <f t="shared" si="1"/>
        <v>0 dari 31 (0%)</v>
      </c>
    </row>
    <row r="77" ht="22.5" customHeight="1">
      <c r="A77" s="10">
        <v>76.0</v>
      </c>
      <c r="B77" s="11"/>
      <c r="C77" s="22">
        <v>50505.0</v>
      </c>
      <c r="D77" s="12" t="s">
        <v>80</v>
      </c>
      <c r="E77" s="12" t="s">
        <v>100</v>
      </c>
      <c r="F77" s="13"/>
      <c r="G77" s="6" t="b">
        <v>1</v>
      </c>
      <c r="H77" s="6" t="b">
        <v>1</v>
      </c>
      <c r="I77" s="6" t="b">
        <v>0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1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13 dari 31 (42%)</v>
      </c>
    </row>
    <row r="78" ht="22.5" customHeight="1">
      <c r="A78" s="10">
        <v>77.0</v>
      </c>
      <c r="B78" s="11"/>
      <c r="C78" s="22">
        <v>61068.0</v>
      </c>
      <c r="D78" s="12" t="s">
        <v>39</v>
      </c>
      <c r="E78" s="12" t="s">
        <v>66</v>
      </c>
      <c r="F78" s="13"/>
      <c r="G78" s="6" t="b">
        <v>1</v>
      </c>
      <c r="H78" s="6" t="b">
        <v>1</v>
      </c>
      <c r="I78" s="6" t="b">
        <v>1</v>
      </c>
      <c r="J78" s="6" t="b">
        <v>1</v>
      </c>
      <c r="K78" s="6" t="b">
        <v>1</v>
      </c>
      <c r="L78" s="6" t="b">
        <v>1</v>
      </c>
      <c r="M78" s="6" t="b">
        <v>1</v>
      </c>
      <c r="N78" s="6" t="b">
        <v>1</v>
      </c>
      <c r="O78" s="6" t="b">
        <v>1</v>
      </c>
      <c r="P78" s="6" t="b">
        <v>1</v>
      </c>
      <c r="Q78" s="6" t="b">
        <v>1</v>
      </c>
      <c r="R78" s="6" t="b">
        <v>1</v>
      </c>
      <c r="S78" s="6" t="b">
        <v>1</v>
      </c>
      <c r="T78" s="6" t="b">
        <v>0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1</v>
      </c>
      <c r="AA78" s="6" t="b">
        <v>1</v>
      </c>
      <c r="AB78" s="6" t="b">
        <v>1</v>
      </c>
      <c r="AC78" s="6" t="b">
        <v>1</v>
      </c>
      <c r="AD78" s="6" t="b">
        <v>1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1</v>
      </c>
      <c r="AJ78" s="6" t="b">
        <v>0</v>
      </c>
      <c r="AK78" s="6" t="b">
        <v>0</v>
      </c>
      <c r="AL78" s="17" t="str">
        <f t="shared" si="1"/>
        <v>19 dari 31 (61%)</v>
      </c>
    </row>
    <row r="79" ht="22.5" customHeight="1">
      <c r="A79" s="2">
        <v>78.0</v>
      </c>
      <c r="B79" s="11"/>
      <c r="C79" s="22">
        <v>60632.0</v>
      </c>
      <c r="D79" s="12" t="s">
        <v>39</v>
      </c>
      <c r="E79" s="12" t="s">
        <v>66</v>
      </c>
      <c r="F79" s="13"/>
      <c r="G79" s="6" t="b">
        <v>1</v>
      </c>
      <c r="H79" s="6" t="b">
        <v>1</v>
      </c>
      <c r="I79" s="6" t="b">
        <v>0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12 dari 31 (39%)</v>
      </c>
    </row>
    <row r="80" ht="22.5" customHeight="1">
      <c r="A80" s="10">
        <v>79.0</v>
      </c>
      <c r="B80" s="11"/>
      <c r="C80" s="22">
        <v>81070.0</v>
      </c>
      <c r="D80" s="12" t="s">
        <v>39</v>
      </c>
      <c r="E80" s="12" t="s">
        <v>45</v>
      </c>
      <c r="F80" s="13"/>
      <c r="G80" s="6" t="b">
        <v>1</v>
      </c>
      <c r="H80" s="6" t="b">
        <v>1</v>
      </c>
      <c r="I80" s="6" t="b">
        <v>1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0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1</v>
      </c>
      <c r="AJ80" s="6" t="b">
        <v>0</v>
      </c>
      <c r="AK80" s="6" t="b">
        <v>0</v>
      </c>
      <c r="AL80" s="9" t="str">
        <f t="shared" si="1"/>
        <v>14 dari 31 (45%)</v>
      </c>
    </row>
    <row r="81" ht="22.5" customHeight="1">
      <c r="A81" s="10">
        <v>80.0</v>
      </c>
      <c r="B81" s="11"/>
      <c r="C81" s="22">
        <v>59234.0</v>
      </c>
      <c r="D81" s="12" t="s">
        <v>85</v>
      </c>
      <c r="E81" s="12" t="s">
        <v>88</v>
      </c>
      <c r="F81" s="13"/>
      <c r="G81" s="6" t="b">
        <v>1</v>
      </c>
      <c r="H81" s="6" t="b">
        <v>1</v>
      </c>
      <c r="I81" s="6" t="b">
        <v>1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1</v>
      </c>
      <c r="U81" s="6" t="b">
        <v>0</v>
      </c>
      <c r="V81" s="6" t="b">
        <v>0</v>
      </c>
      <c r="W81" s="6" t="b">
        <v>1</v>
      </c>
      <c r="X81" s="6" t="b">
        <v>1</v>
      </c>
      <c r="Y81" s="6" t="b">
        <v>1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17 dari 31 (55%)</v>
      </c>
    </row>
    <row r="82" ht="22.5" customHeight="1">
      <c r="A82" s="2">
        <v>81.0</v>
      </c>
      <c r="B82" s="11"/>
      <c r="C82" s="22">
        <v>52955.0</v>
      </c>
      <c r="D82" s="12" t="s">
        <v>80</v>
      </c>
      <c r="E82" s="12" t="s">
        <v>97</v>
      </c>
      <c r="F82" s="13"/>
      <c r="G82" s="6" t="b">
        <v>1</v>
      </c>
      <c r="H82" s="6" t="b">
        <v>1</v>
      </c>
      <c r="I82" s="6" t="b">
        <v>0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1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0</v>
      </c>
      <c r="AJ82" s="6" t="b">
        <v>0</v>
      </c>
      <c r="AK82" s="6" t="b">
        <v>0</v>
      </c>
      <c r="AL82" s="9" t="str">
        <f t="shared" si="1"/>
        <v>13 dari 31 (42%)</v>
      </c>
    </row>
    <row r="83" ht="22.5" customHeight="1">
      <c r="A83" s="10">
        <v>82.0</v>
      </c>
      <c r="B83" s="11"/>
      <c r="C83" s="22">
        <v>61071.0</v>
      </c>
      <c r="D83" s="12" t="s">
        <v>63</v>
      </c>
      <c r="E83" s="12" t="s">
        <v>78</v>
      </c>
      <c r="F83" s="13"/>
      <c r="G83" s="6" t="b">
        <v>1</v>
      </c>
      <c r="H83" s="6" t="b">
        <v>1</v>
      </c>
      <c r="I83" s="6" t="b">
        <v>1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1</v>
      </c>
      <c r="S83" s="6" t="b">
        <v>1</v>
      </c>
      <c r="T83" s="6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1</v>
      </c>
      <c r="AJ83" s="6" t="b">
        <v>0</v>
      </c>
      <c r="AK83" s="6" t="b">
        <v>0</v>
      </c>
      <c r="AL83" s="9" t="str">
        <f t="shared" si="1"/>
        <v>15 dari 31 (48%)</v>
      </c>
    </row>
    <row r="84" ht="22.5" customHeight="1">
      <c r="A84" s="82">
        <v>83.0</v>
      </c>
      <c r="B84" s="83"/>
      <c r="C84" s="84">
        <v>53997.0</v>
      </c>
      <c r="D84" s="85" t="s">
        <v>107</v>
      </c>
      <c r="E84" s="85" t="s">
        <v>108</v>
      </c>
      <c r="F84" s="86" t="s">
        <v>67</v>
      </c>
      <c r="G84" s="87" t="b">
        <v>0</v>
      </c>
      <c r="H84" s="87" t="b">
        <v>0</v>
      </c>
      <c r="I84" s="87" t="b">
        <v>0</v>
      </c>
      <c r="J84" s="87" t="b">
        <v>0</v>
      </c>
      <c r="K84" s="87" t="b">
        <v>0</v>
      </c>
      <c r="L84" s="87" t="b">
        <v>0</v>
      </c>
      <c r="M84" s="87" t="b">
        <v>0</v>
      </c>
      <c r="N84" s="87" t="b">
        <v>0</v>
      </c>
      <c r="O84" s="87" t="b">
        <v>0</v>
      </c>
      <c r="P84" s="87" t="b">
        <v>0</v>
      </c>
      <c r="Q84" s="87" t="b">
        <v>0</v>
      </c>
      <c r="R84" s="87" t="b">
        <v>0</v>
      </c>
      <c r="S84" s="87" t="b">
        <v>0</v>
      </c>
      <c r="T84" s="87" t="b">
        <v>0</v>
      </c>
      <c r="U84" s="87" t="b">
        <v>0</v>
      </c>
      <c r="V84" s="87" t="b">
        <v>0</v>
      </c>
      <c r="W84" s="87" t="b">
        <v>0</v>
      </c>
      <c r="X84" s="87" t="b">
        <v>0</v>
      </c>
      <c r="Y84" s="87" t="b">
        <v>0</v>
      </c>
      <c r="Z84" s="87" t="b">
        <v>0</v>
      </c>
      <c r="AA84" s="87" t="b">
        <v>0</v>
      </c>
      <c r="AB84" s="87" t="b">
        <v>0</v>
      </c>
      <c r="AC84" s="87" t="b">
        <v>0</v>
      </c>
      <c r="AD84" s="87" t="b">
        <v>0</v>
      </c>
      <c r="AE84" s="87" t="b">
        <v>0</v>
      </c>
      <c r="AF84" s="87" t="b">
        <v>0</v>
      </c>
      <c r="AG84" s="87" t="b">
        <v>0</v>
      </c>
      <c r="AH84" s="87" t="b">
        <v>0</v>
      </c>
      <c r="AI84" s="87" t="b">
        <v>0</v>
      </c>
      <c r="AJ84" s="87" t="b">
        <v>0</v>
      </c>
      <c r="AK84" s="87" t="b">
        <v>0</v>
      </c>
      <c r="AL84" s="88" t="str">
        <f t="shared" si="1"/>
        <v>0 dari 31 (0%)</v>
      </c>
    </row>
    <row r="85" ht="22.5" customHeight="1">
      <c r="A85" s="2">
        <v>84.0</v>
      </c>
      <c r="B85" s="11"/>
      <c r="C85" s="22">
        <v>61074.0</v>
      </c>
      <c r="D85" s="12" t="s">
        <v>85</v>
      </c>
      <c r="E85" s="12" t="s">
        <v>88</v>
      </c>
      <c r="F85" s="13"/>
      <c r="G85" s="6" t="b">
        <v>1</v>
      </c>
      <c r="H85" s="6" t="b">
        <v>1</v>
      </c>
      <c r="I85" s="6" t="b">
        <v>1</v>
      </c>
      <c r="J85" s="6" t="b">
        <v>1</v>
      </c>
      <c r="K85" s="6" t="b">
        <v>1</v>
      </c>
      <c r="L85" s="6" t="b">
        <v>1</v>
      </c>
      <c r="M85" s="6" t="b">
        <v>1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1</v>
      </c>
      <c r="S85" s="6" t="b">
        <v>1</v>
      </c>
      <c r="T85" s="6" t="b">
        <v>1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1</v>
      </c>
      <c r="AJ85" s="6" t="b">
        <v>0</v>
      </c>
      <c r="AK85" s="6" t="b">
        <v>0</v>
      </c>
      <c r="AL85" s="9" t="str">
        <f t="shared" si="1"/>
        <v>15 dari 31 (48%)</v>
      </c>
    </row>
    <row r="86" ht="22.5" customHeight="1">
      <c r="A86" s="10">
        <v>85.0</v>
      </c>
      <c r="B86" s="11"/>
      <c r="C86" s="22">
        <v>61075.0</v>
      </c>
      <c r="D86" s="12" t="s">
        <v>39</v>
      </c>
      <c r="E86" s="12" t="s">
        <v>42</v>
      </c>
      <c r="F86" s="13"/>
      <c r="G86" s="6" t="b">
        <v>1</v>
      </c>
      <c r="H86" s="6" t="b">
        <v>1</v>
      </c>
      <c r="I86" s="6" t="b">
        <v>1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0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1</v>
      </c>
      <c r="AJ86" s="6" t="b">
        <v>0</v>
      </c>
      <c r="AK86" s="6" t="b">
        <v>0</v>
      </c>
      <c r="AL86" s="9" t="str">
        <f t="shared" si="1"/>
        <v>14 dari 31 (45%)</v>
      </c>
    </row>
    <row r="87" ht="22.5" customHeight="1">
      <c r="A87" s="10">
        <v>86.0</v>
      </c>
      <c r="B87" s="11"/>
      <c r="C87" s="22">
        <v>59203.0</v>
      </c>
      <c r="D87" s="12" t="s">
        <v>39</v>
      </c>
      <c r="E87" s="12" t="s">
        <v>42</v>
      </c>
      <c r="F87" s="13"/>
      <c r="G87" s="6" t="b">
        <v>1</v>
      </c>
      <c r="H87" s="6" t="b">
        <v>1</v>
      </c>
      <c r="I87" s="6" t="b">
        <v>0</v>
      </c>
      <c r="J87" s="6" t="b">
        <v>1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1</v>
      </c>
      <c r="S87" s="6" t="b">
        <v>1</v>
      </c>
      <c r="T87" s="6" t="b">
        <v>0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12 dari 31 (39%)</v>
      </c>
    </row>
    <row r="88" ht="22.5" customHeight="1">
      <c r="A88" s="2">
        <v>87.0</v>
      </c>
      <c r="B88" s="11"/>
      <c r="C88" s="22">
        <v>60913.0</v>
      </c>
      <c r="D88" s="12" t="s">
        <v>85</v>
      </c>
      <c r="E88" s="12" t="s">
        <v>110</v>
      </c>
      <c r="F88" s="13"/>
      <c r="G88" s="6" t="b">
        <v>1</v>
      </c>
      <c r="H88" s="6" t="b">
        <v>1</v>
      </c>
      <c r="I88" s="6" t="b">
        <v>1</v>
      </c>
      <c r="J88" s="6" t="b">
        <v>1</v>
      </c>
      <c r="K88" s="6" t="b">
        <v>1</v>
      </c>
      <c r="L88" s="6" t="b">
        <v>1</v>
      </c>
      <c r="M88" s="6" t="b">
        <v>1</v>
      </c>
      <c r="N88" s="6" t="b">
        <v>1</v>
      </c>
      <c r="O88" s="6" t="b">
        <v>1</v>
      </c>
      <c r="P88" s="6" t="b">
        <v>1</v>
      </c>
      <c r="Q88" s="6" t="b">
        <v>1</v>
      </c>
      <c r="R88" s="6" t="b">
        <v>1</v>
      </c>
      <c r="S88" s="6" t="b">
        <v>1</v>
      </c>
      <c r="T88" s="6" t="b">
        <v>1</v>
      </c>
      <c r="U88" s="6" t="b">
        <v>0</v>
      </c>
      <c r="V88" s="6" t="b">
        <v>0</v>
      </c>
      <c r="W88" s="6" t="b">
        <v>1</v>
      </c>
      <c r="X88" s="6" t="b">
        <v>1</v>
      </c>
      <c r="Y88" s="6" t="b">
        <v>1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1</v>
      </c>
      <c r="AJ88" s="6" t="b">
        <v>0</v>
      </c>
      <c r="AK88" s="6" t="b">
        <v>0</v>
      </c>
      <c r="AL88" s="9" t="str">
        <f t="shared" si="1"/>
        <v>18 dari 31 (58%)</v>
      </c>
    </row>
    <row r="89" ht="22.5" customHeight="1">
      <c r="A89" s="10">
        <v>88.0</v>
      </c>
      <c r="B89" s="11"/>
      <c r="C89" s="22">
        <v>60774.0</v>
      </c>
      <c r="D89" s="12" t="s">
        <v>39</v>
      </c>
      <c r="E89" s="12" t="s">
        <v>45</v>
      </c>
      <c r="F89" s="14" t="s">
        <v>50</v>
      </c>
      <c r="G89" s="6" t="b">
        <v>1</v>
      </c>
      <c r="H89" s="6" t="b">
        <v>0</v>
      </c>
      <c r="I89" s="6" t="b">
        <v>0</v>
      </c>
      <c r="J89" s="6" t="b">
        <v>1</v>
      </c>
      <c r="K89" s="6" t="b">
        <v>1</v>
      </c>
      <c r="L89" s="6" t="b">
        <v>1</v>
      </c>
      <c r="M89" s="6" t="b">
        <v>1</v>
      </c>
      <c r="N89" s="6" t="b">
        <v>1</v>
      </c>
      <c r="O89" s="6" t="b">
        <v>1</v>
      </c>
      <c r="P89" s="6" t="b">
        <v>1</v>
      </c>
      <c r="Q89" s="6" t="b">
        <v>1</v>
      </c>
      <c r="R89" s="6" t="b">
        <v>1</v>
      </c>
      <c r="S89" s="6" t="b">
        <v>1</v>
      </c>
      <c r="T89" s="6" t="b">
        <v>0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1</v>
      </c>
      <c r="AJ89" s="6" t="b">
        <v>0</v>
      </c>
      <c r="AK89" s="6" t="b">
        <v>0</v>
      </c>
      <c r="AL89" s="9" t="str">
        <f t="shared" si="1"/>
        <v>12 dari 31 (39%)</v>
      </c>
    </row>
    <row r="90" ht="22.5" customHeight="1">
      <c r="A90" s="10">
        <v>89.0</v>
      </c>
      <c r="B90" s="11"/>
      <c r="C90" s="22">
        <v>60754.0</v>
      </c>
      <c r="D90" s="12" t="s">
        <v>39</v>
      </c>
      <c r="E90" s="12" t="s">
        <v>45</v>
      </c>
      <c r="F90" s="13"/>
      <c r="G90" s="6" t="b">
        <v>1</v>
      </c>
      <c r="H90" s="6" t="b">
        <v>1</v>
      </c>
      <c r="I90" s="6" t="b">
        <v>0</v>
      </c>
      <c r="J90" s="6" t="b">
        <v>1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1</v>
      </c>
      <c r="S90" s="6" t="b">
        <v>1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12 dari 31 (39%)</v>
      </c>
    </row>
    <row r="91" ht="22.5" customHeight="1">
      <c r="A91" s="2">
        <v>90.0</v>
      </c>
      <c r="B91" s="11"/>
      <c r="C91" s="22">
        <v>60848.0</v>
      </c>
      <c r="D91" s="12" t="s">
        <v>39</v>
      </c>
      <c r="E91" s="12" t="s">
        <v>111</v>
      </c>
      <c r="F91" s="13"/>
      <c r="G91" s="6" t="b">
        <v>1</v>
      </c>
      <c r="H91" s="6" t="b">
        <v>1</v>
      </c>
      <c r="I91" s="6" t="b">
        <v>0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0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0</v>
      </c>
      <c r="AJ91" s="6" t="b">
        <v>0</v>
      </c>
      <c r="AK91" s="6" t="b">
        <v>0</v>
      </c>
      <c r="AL91" s="9" t="str">
        <f t="shared" si="1"/>
        <v>12 dari 31 (39%)</v>
      </c>
    </row>
    <row r="92" ht="22.5" customHeight="1">
      <c r="A92" s="10">
        <v>91.0</v>
      </c>
      <c r="B92" s="11"/>
      <c r="C92" s="20">
        <v>57136.0</v>
      </c>
      <c r="D92" s="12" t="s">
        <v>41</v>
      </c>
      <c r="E92" s="12" t="s">
        <v>48</v>
      </c>
      <c r="F92" s="13"/>
      <c r="G92" s="6" t="b">
        <v>1</v>
      </c>
      <c r="H92" s="6" t="b">
        <v>1</v>
      </c>
      <c r="I92" s="6" t="b">
        <v>0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0</v>
      </c>
      <c r="S92" s="6" t="b">
        <v>1</v>
      </c>
      <c r="T92" s="6" t="b">
        <v>1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0</v>
      </c>
      <c r="AJ92" s="6" t="b">
        <v>0</v>
      </c>
      <c r="AK92" s="6" t="b">
        <v>0</v>
      </c>
      <c r="AL92" s="9" t="str">
        <f t="shared" si="1"/>
        <v>12 dari 31 (39%)</v>
      </c>
    </row>
    <row r="93" ht="22.5" customHeight="1">
      <c r="A93" s="10">
        <v>92.0</v>
      </c>
      <c r="B93" s="11"/>
      <c r="C93" s="20">
        <v>61077.0</v>
      </c>
      <c r="D93" s="12" t="s">
        <v>85</v>
      </c>
      <c r="E93" s="12" t="s">
        <v>69</v>
      </c>
      <c r="F93" s="13"/>
      <c r="G93" s="6" t="b">
        <v>1</v>
      </c>
      <c r="H93" s="6" t="b">
        <v>1</v>
      </c>
      <c r="I93" s="6" t="b">
        <v>1</v>
      </c>
      <c r="J93" s="6" t="b">
        <v>1</v>
      </c>
      <c r="K93" s="6" t="b">
        <v>1</v>
      </c>
      <c r="L93" s="6" t="b">
        <v>1</v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1</v>
      </c>
      <c r="S93" s="6" t="b">
        <v>1</v>
      </c>
      <c r="T93" s="6" t="b">
        <v>1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1</v>
      </c>
      <c r="AJ93" s="6" t="b">
        <v>0</v>
      </c>
      <c r="AK93" s="6" t="b">
        <v>0</v>
      </c>
      <c r="AL93" s="17" t="str">
        <f t="shared" si="1"/>
        <v>15 dari 31 (48%)</v>
      </c>
    </row>
    <row r="94" ht="22.5" customHeight="1">
      <c r="A94" s="2">
        <v>93.0</v>
      </c>
      <c r="B94" s="11"/>
      <c r="C94" s="20">
        <v>61078.0</v>
      </c>
      <c r="D94" s="12" t="s">
        <v>39</v>
      </c>
      <c r="E94" s="12" t="s">
        <v>86</v>
      </c>
      <c r="F94" s="13"/>
      <c r="G94" s="6" t="b">
        <v>1</v>
      </c>
      <c r="H94" s="6" t="b">
        <v>1</v>
      </c>
      <c r="I94" s="6" t="b">
        <v>1</v>
      </c>
      <c r="J94" s="6" t="b">
        <v>1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1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1</v>
      </c>
      <c r="AA94" s="6" t="b">
        <v>1</v>
      </c>
      <c r="AB94" s="6" t="b">
        <v>1</v>
      </c>
      <c r="AC94" s="6" t="b">
        <v>1</v>
      </c>
      <c r="AD94" s="6" t="b">
        <v>1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1</v>
      </c>
      <c r="AJ94" s="6" t="b">
        <v>0</v>
      </c>
      <c r="AK94" s="6" t="b">
        <v>0</v>
      </c>
      <c r="AL94" s="9" t="str">
        <f t="shared" si="1"/>
        <v>20 dari 31 (65%)</v>
      </c>
    </row>
    <row r="95" ht="22.5" customHeight="1">
      <c r="A95" s="61">
        <v>94.0</v>
      </c>
      <c r="B95" s="62"/>
      <c r="C95" s="60">
        <v>27516.0</v>
      </c>
      <c r="D95" s="51" t="s">
        <v>85</v>
      </c>
      <c r="E95" s="51" t="s">
        <v>90</v>
      </c>
      <c r="F95" s="53"/>
      <c r="G95" s="35" t="b">
        <v>0</v>
      </c>
      <c r="H95" s="35" t="b">
        <v>0</v>
      </c>
      <c r="I95" s="35" t="b">
        <v>0</v>
      </c>
      <c r="J95" s="35" t="b">
        <v>0</v>
      </c>
      <c r="K95" s="35" t="b">
        <v>0</v>
      </c>
      <c r="L95" s="35" t="b">
        <v>0</v>
      </c>
      <c r="M95" s="35" t="b">
        <v>0</v>
      </c>
      <c r="N95" s="35" t="b">
        <v>0</v>
      </c>
      <c r="O95" s="35" t="b">
        <v>0</v>
      </c>
      <c r="P95" s="35" t="b">
        <v>0</v>
      </c>
      <c r="Q95" s="35" t="b">
        <v>0</v>
      </c>
      <c r="R95" s="35" t="b">
        <v>0</v>
      </c>
      <c r="S95" s="35" t="b">
        <v>0</v>
      </c>
      <c r="T95" s="35" t="b">
        <v>0</v>
      </c>
      <c r="U95" s="35" t="b">
        <v>0</v>
      </c>
      <c r="V95" s="35" t="b">
        <v>0</v>
      </c>
      <c r="W95" s="35" t="b">
        <v>0</v>
      </c>
      <c r="X95" s="35" t="b">
        <v>0</v>
      </c>
      <c r="Y95" s="35" t="b">
        <v>0</v>
      </c>
      <c r="Z95" s="35" t="b">
        <v>0</v>
      </c>
      <c r="AA95" s="35" t="b">
        <v>0</v>
      </c>
      <c r="AB95" s="35" t="b">
        <v>0</v>
      </c>
      <c r="AC95" s="35" t="b">
        <v>0</v>
      </c>
      <c r="AD95" s="35" t="b">
        <v>0</v>
      </c>
      <c r="AE95" s="35" t="b">
        <v>0</v>
      </c>
      <c r="AF95" s="35" t="b">
        <v>0</v>
      </c>
      <c r="AG95" s="35" t="b">
        <v>0</v>
      </c>
      <c r="AH95" s="35" t="b">
        <v>0</v>
      </c>
      <c r="AI95" s="35" t="b">
        <v>0</v>
      </c>
      <c r="AJ95" s="35" t="b">
        <v>0</v>
      </c>
      <c r="AK95" s="35" t="b">
        <v>0</v>
      </c>
      <c r="AL95" s="38" t="str">
        <f t="shared" si="1"/>
        <v>0 dari 31 (0%)</v>
      </c>
    </row>
    <row r="96" ht="22.5" customHeight="1">
      <c r="A96" s="10">
        <v>95.0</v>
      </c>
      <c r="B96" s="11"/>
      <c r="C96" s="20">
        <v>45576.0</v>
      </c>
      <c r="D96" s="12" t="s">
        <v>41</v>
      </c>
      <c r="E96" s="12" t="s">
        <v>48</v>
      </c>
      <c r="F96" s="13"/>
      <c r="G96" s="6" t="b">
        <v>1</v>
      </c>
      <c r="H96" s="6" t="b">
        <v>1</v>
      </c>
      <c r="I96" s="6" t="b">
        <v>0</v>
      </c>
      <c r="J96" s="6" t="b">
        <v>1</v>
      </c>
      <c r="K96" s="6" t="b">
        <v>1</v>
      </c>
      <c r="L96" s="6" t="b">
        <v>1</v>
      </c>
      <c r="M96" s="6" t="b">
        <v>1</v>
      </c>
      <c r="N96" s="6" t="b">
        <v>1</v>
      </c>
      <c r="O96" s="6" t="b">
        <v>1</v>
      </c>
      <c r="P96" s="6" t="b">
        <v>1</v>
      </c>
      <c r="Q96" s="6" t="b">
        <v>1</v>
      </c>
      <c r="R96" s="6" t="b">
        <v>0</v>
      </c>
      <c r="S96" s="6" t="b">
        <v>0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10 dari 31 (32%)</v>
      </c>
    </row>
    <row r="97" ht="22.5" customHeight="1">
      <c r="A97" s="2">
        <v>96.0</v>
      </c>
      <c r="B97" s="11"/>
      <c r="C97" s="22">
        <v>61080.0</v>
      </c>
      <c r="D97" s="12" t="s">
        <v>63</v>
      </c>
      <c r="E97" s="12" t="s">
        <v>72</v>
      </c>
      <c r="F97" s="13"/>
      <c r="G97" s="6" t="b">
        <v>1</v>
      </c>
      <c r="H97" s="6" t="b">
        <v>1</v>
      </c>
      <c r="I97" s="6" t="b">
        <v>1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0</v>
      </c>
      <c r="S97" s="6" t="b">
        <v>0</v>
      </c>
      <c r="T97" s="6" t="b">
        <v>0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1</v>
      </c>
      <c r="AJ97" s="6" t="b">
        <v>0</v>
      </c>
      <c r="AK97" s="6" t="b">
        <v>0</v>
      </c>
      <c r="AL97" s="9" t="str">
        <f t="shared" si="1"/>
        <v>12 dari 31 (39%)</v>
      </c>
    </row>
    <row r="98" ht="22.5" customHeight="1">
      <c r="A98" s="10">
        <v>97.0</v>
      </c>
      <c r="B98" s="11"/>
      <c r="C98" s="22">
        <v>40263.0</v>
      </c>
      <c r="D98" s="12" t="s">
        <v>80</v>
      </c>
      <c r="E98" s="12" t="s">
        <v>100</v>
      </c>
      <c r="F98" s="13"/>
      <c r="G98" s="6" t="b">
        <v>1</v>
      </c>
      <c r="H98" s="6" t="b">
        <v>1</v>
      </c>
      <c r="I98" s="6" t="b">
        <v>0</v>
      </c>
      <c r="J98" s="6" t="b">
        <v>1</v>
      </c>
      <c r="K98" s="6" t="b">
        <v>1</v>
      </c>
      <c r="L98" s="6" t="b">
        <v>1</v>
      </c>
      <c r="M98" s="6" t="b">
        <v>1</v>
      </c>
      <c r="N98" s="6" t="b">
        <v>1</v>
      </c>
      <c r="O98" s="6" t="b">
        <v>1</v>
      </c>
      <c r="P98" s="6" t="b">
        <v>1</v>
      </c>
      <c r="Q98" s="6" t="b">
        <v>1</v>
      </c>
      <c r="R98" s="6" t="b">
        <v>1</v>
      </c>
      <c r="S98" s="6" t="b">
        <v>0</v>
      </c>
      <c r="T98" s="6" t="b">
        <v>0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11 dari 31 (35%)</v>
      </c>
    </row>
    <row r="99" ht="22.5" customHeight="1">
      <c r="A99" s="10">
        <v>98.0</v>
      </c>
      <c r="B99" s="11"/>
      <c r="C99" s="22">
        <v>61083.0</v>
      </c>
      <c r="D99" s="12" t="s">
        <v>93</v>
      </c>
      <c r="E99" s="12" t="s">
        <v>113</v>
      </c>
      <c r="F99" s="13"/>
      <c r="G99" s="6" t="b">
        <v>1</v>
      </c>
      <c r="H99" s="6" t="b">
        <v>1</v>
      </c>
      <c r="I99" s="6" t="b">
        <v>1</v>
      </c>
      <c r="J99" s="6" t="b">
        <v>1</v>
      </c>
      <c r="K99" s="6" t="b">
        <v>1</v>
      </c>
      <c r="L99" s="6" t="b">
        <v>1</v>
      </c>
      <c r="M99" s="6" t="b">
        <v>1</v>
      </c>
      <c r="N99" s="6" t="b">
        <v>1</v>
      </c>
      <c r="O99" s="6" t="b">
        <v>1</v>
      </c>
      <c r="P99" s="6" t="b">
        <v>0</v>
      </c>
      <c r="Q99" s="6" t="b">
        <v>1</v>
      </c>
      <c r="R99" s="6" t="b">
        <v>0</v>
      </c>
      <c r="S99" s="6" t="b">
        <v>0</v>
      </c>
      <c r="T99" s="6" t="b">
        <v>0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1</v>
      </c>
      <c r="AJ99" s="6" t="b">
        <v>0</v>
      </c>
      <c r="AK99" s="6" t="b">
        <v>0</v>
      </c>
      <c r="AL99" s="17" t="str">
        <f t="shared" si="1"/>
        <v>11 dari 31 (35%)</v>
      </c>
    </row>
    <row r="100" ht="22.5" customHeight="1">
      <c r="A100" s="2">
        <v>99.0</v>
      </c>
      <c r="B100" s="11"/>
      <c r="C100" s="22">
        <v>61084.0</v>
      </c>
      <c r="D100" s="12" t="s">
        <v>93</v>
      </c>
      <c r="E100" s="12" t="s">
        <v>94</v>
      </c>
      <c r="F100" s="13"/>
      <c r="G100" s="6" t="b">
        <v>1</v>
      </c>
      <c r="H100" s="6" t="b">
        <v>1</v>
      </c>
      <c r="I100" s="6" t="b">
        <v>0</v>
      </c>
      <c r="J100" s="6" t="b">
        <v>1</v>
      </c>
      <c r="K100" s="6" t="b">
        <v>1</v>
      </c>
      <c r="L100" s="6" t="b">
        <v>1</v>
      </c>
      <c r="M100" s="6" t="b">
        <v>1</v>
      </c>
      <c r="N100" s="6" t="b">
        <v>1</v>
      </c>
      <c r="O100" s="6" t="b">
        <v>1</v>
      </c>
      <c r="P100" s="6" t="b">
        <v>1</v>
      </c>
      <c r="Q100" s="6" t="b">
        <v>1</v>
      </c>
      <c r="R100" s="6" t="b">
        <v>0</v>
      </c>
      <c r="S100" s="6" t="b">
        <v>0</v>
      </c>
      <c r="T100" s="6" t="b">
        <v>0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1</v>
      </c>
      <c r="AJ100" s="6" t="b">
        <v>0</v>
      </c>
      <c r="AK100" s="6" t="b">
        <v>0</v>
      </c>
      <c r="AL100" s="9" t="str">
        <f t="shared" si="1"/>
        <v>11 dari 31 (35%)</v>
      </c>
    </row>
    <row r="101" ht="22.5" customHeight="1">
      <c r="A101" s="10">
        <v>100.0</v>
      </c>
      <c r="B101" s="11"/>
      <c r="C101" s="22">
        <v>61069.0</v>
      </c>
      <c r="D101" s="12" t="s">
        <v>89</v>
      </c>
      <c r="E101" s="12" t="s">
        <v>95</v>
      </c>
      <c r="F101" s="15" t="s">
        <v>50</v>
      </c>
      <c r="G101" s="6" t="b">
        <v>1</v>
      </c>
      <c r="H101" s="6" t="b">
        <v>0</v>
      </c>
      <c r="I101" s="6" t="b">
        <v>0</v>
      </c>
      <c r="J101" s="6" t="b">
        <v>0</v>
      </c>
      <c r="K101" s="6" t="b">
        <v>0</v>
      </c>
      <c r="L101" s="6" t="b">
        <v>0</v>
      </c>
      <c r="M101" s="6" t="b">
        <v>0</v>
      </c>
      <c r="N101" s="6" t="b">
        <v>0</v>
      </c>
      <c r="O101" s="6" t="b">
        <v>0</v>
      </c>
      <c r="P101" s="6" t="b">
        <v>0</v>
      </c>
      <c r="Q101" s="6" t="b">
        <v>0</v>
      </c>
      <c r="R101" s="6" t="b">
        <v>0</v>
      </c>
      <c r="S101" s="6" t="b">
        <v>0</v>
      </c>
      <c r="T101" s="6" t="b">
        <v>0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0</v>
      </c>
      <c r="AJ101" s="6" t="b">
        <v>0</v>
      </c>
      <c r="AK101" s="6" t="b">
        <v>0</v>
      </c>
      <c r="AL101" s="9" t="str">
        <f t="shared" si="1"/>
        <v>1 dari 31 (3%)</v>
      </c>
    </row>
    <row r="102" ht="22.5" customHeight="1">
      <c r="A102" s="10">
        <v>101.0</v>
      </c>
      <c r="B102" s="11"/>
      <c r="C102" s="20">
        <v>61072.0</v>
      </c>
      <c r="D102" s="12" t="s">
        <v>89</v>
      </c>
      <c r="E102" s="12" t="s">
        <v>95</v>
      </c>
      <c r="F102" s="15" t="s">
        <v>50</v>
      </c>
      <c r="G102" s="6" t="b">
        <v>1</v>
      </c>
      <c r="H102" s="6" t="b">
        <v>0</v>
      </c>
      <c r="I102" s="6" t="b">
        <v>0</v>
      </c>
      <c r="J102" s="6" t="b">
        <v>0</v>
      </c>
      <c r="K102" s="6" t="b">
        <v>0</v>
      </c>
      <c r="L102" s="6" t="b">
        <v>0</v>
      </c>
      <c r="M102" s="6" t="b">
        <v>0</v>
      </c>
      <c r="N102" s="6" t="b">
        <v>0</v>
      </c>
      <c r="O102" s="6" t="b">
        <v>0</v>
      </c>
      <c r="P102" s="6" t="b">
        <v>0</v>
      </c>
      <c r="Q102" s="6" t="b">
        <v>0</v>
      </c>
      <c r="R102" s="6" t="b">
        <v>0</v>
      </c>
      <c r="S102" s="6" t="b">
        <v>0</v>
      </c>
      <c r="T102" s="6" t="b">
        <v>0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0</v>
      </c>
      <c r="AJ102" s="6" t="b">
        <v>0</v>
      </c>
      <c r="AK102" s="6" t="b">
        <v>0</v>
      </c>
      <c r="AL102" s="17" t="str">
        <f t="shared" si="1"/>
        <v>1 dari 31 (3%)</v>
      </c>
    </row>
    <row r="103" ht="22.5" customHeight="1">
      <c r="A103" s="2">
        <v>102.0</v>
      </c>
      <c r="B103" s="11"/>
      <c r="C103" s="20">
        <v>61073.0</v>
      </c>
      <c r="D103" s="12" t="s">
        <v>89</v>
      </c>
      <c r="E103" s="12" t="s">
        <v>95</v>
      </c>
      <c r="F103" s="15" t="s">
        <v>50</v>
      </c>
      <c r="G103" s="6" t="b">
        <v>1</v>
      </c>
      <c r="H103" s="6" t="b">
        <v>0</v>
      </c>
      <c r="I103" s="6" t="b">
        <v>0</v>
      </c>
      <c r="J103" s="6" t="b">
        <v>0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  <c r="P103" s="6" t="b">
        <v>0</v>
      </c>
      <c r="Q103" s="6" t="b">
        <v>0</v>
      </c>
      <c r="R103" s="6" t="b">
        <v>0</v>
      </c>
      <c r="S103" s="6" t="b">
        <v>0</v>
      </c>
      <c r="T103" s="6" t="b">
        <v>0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1 dari 31 (3%)</v>
      </c>
    </row>
    <row r="104" ht="22.5" customHeight="1">
      <c r="A104" s="82">
        <v>103.0</v>
      </c>
      <c r="B104" s="83"/>
      <c r="C104" s="91">
        <v>61076.0</v>
      </c>
      <c r="D104" s="85" t="s">
        <v>89</v>
      </c>
      <c r="E104" s="85" t="s">
        <v>95</v>
      </c>
      <c r="F104" s="86" t="s">
        <v>67</v>
      </c>
      <c r="G104" s="87" t="b">
        <v>0</v>
      </c>
      <c r="H104" s="87" t="b">
        <v>0</v>
      </c>
      <c r="I104" s="87" t="b">
        <v>0</v>
      </c>
      <c r="J104" s="87" t="b">
        <v>0</v>
      </c>
      <c r="K104" s="87" t="b">
        <v>0</v>
      </c>
      <c r="L104" s="87" t="b">
        <v>0</v>
      </c>
      <c r="M104" s="87" t="b">
        <v>0</v>
      </c>
      <c r="N104" s="87" t="b">
        <v>0</v>
      </c>
      <c r="O104" s="87" t="b">
        <v>0</v>
      </c>
      <c r="P104" s="87" t="b">
        <v>0</v>
      </c>
      <c r="Q104" s="87" t="b">
        <v>0</v>
      </c>
      <c r="R104" s="87" t="b">
        <v>0</v>
      </c>
      <c r="S104" s="87" t="b">
        <v>0</v>
      </c>
      <c r="T104" s="87" t="b">
        <v>0</v>
      </c>
      <c r="U104" s="87" t="b">
        <v>0</v>
      </c>
      <c r="V104" s="87" t="b">
        <v>0</v>
      </c>
      <c r="W104" s="87" t="b">
        <v>0</v>
      </c>
      <c r="X104" s="87" t="b">
        <v>0</v>
      </c>
      <c r="Y104" s="87" t="b">
        <v>0</v>
      </c>
      <c r="Z104" s="87" t="b">
        <v>0</v>
      </c>
      <c r="AA104" s="87" t="b">
        <v>0</v>
      </c>
      <c r="AB104" s="87" t="b">
        <v>0</v>
      </c>
      <c r="AC104" s="87" t="b">
        <v>0</v>
      </c>
      <c r="AD104" s="87" t="b">
        <v>0</v>
      </c>
      <c r="AE104" s="87" t="b">
        <v>0</v>
      </c>
      <c r="AF104" s="87" t="b">
        <v>0</v>
      </c>
      <c r="AG104" s="87" t="b">
        <v>0</v>
      </c>
      <c r="AH104" s="87" t="b">
        <v>0</v>
      </c>
      <c r="AI104" s="87" t="b">
        <v>0</v>
      </c>
      <c r="AJ104" s="87" t="b">
        <v>0</v>
      </c>
      <c r="AK104" s="87" t="b">
        <v>0</v>
      </c>
      <c r="AL104" s="89" t="str">
        <f t="shared" si="1"/>
        <v>0 dari 31 (0%)</v>
      </c>
    </row>
    <row r="105" ht="22.5" customHeight="1">
      <c r="A105" s="10">
        <v>104.0</v>
      </c>
      <c r="B105" s="11"/>
      <c r="C105" s="20">
        <v>61079.0</v>
      </c>
      <c r="D105" s="12" t="s">
        <v>89</v>
      </c>
      <c r="E105" s="12" t="s">
        <v>95</v>
      </c>
      <c r="F105" s="15" t="s">
        <v>50</v>
      </c>
      <c r="G105" s="6" t="b">
        <v>1</v>
      </c>
      <c r="H105" s="6" t="b">
        <v>0</v>
      </c>
      <c r="I105" s="6" t="b">
        <v>0</v>
      </c>
      <c r="J105" s="6" t="b">
        <v>0</v>
      </c>
      <c r="K105" s="6" t="b">
        <v>0</v>
      </c>
      <c r="L105" s="6" t="b">
        <v>0</v>
      </c>
      <c r="M105" s="6" t="b">
        <v>0</v>
      </c>
      <c r="N105" s="6" t="b">
        <v>0</v>
      </c>
      <c r="O105" s="6" t="b">
        <v>0</v>
      </c>
      <c r="P105" s="6" t="b">
        <v>0</v>
      </c>
      <c r="Q105" s="6" t="b">
        <v>0</v>
      </c>
      <c r="R105" s="6" t="b">
        <v>0</v>
      </c>
      <c r="S105" s="6" t="b">
        <v>0</v>
      </c>
      <c r="T105" s="6" t="b">
        <v>0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17" t="str">
        <f t="shared" si="1"/>
        <v>1 dari 31 (3%)</v>
      </c>
    </row>
    <row r="106" ht="22.5" customHeight="1">
      <c r="A106" s="2">
        <v>105.0</v>
      </c>
      <c r="B106" s="11"/>
      <c r="C106" s="20">
        <v>47823.0</v>
      </c>
      <c r="D106" s="12" t="s">
        <v>89</v>
      </c>
      <c r="E106" s="12" t="s">
        <v>95</v>
      </c>
      <c r="F106" s="15" t="s">
        <v>50</v>
      </c>
      <c r="G106" s="6" t="b">
        <v>1</v>
      </c>
      <c r="H106" s="6" t="b">
        <v>0</v>
      </c>
      <c r="I106" s="6" t="b">
        <v>0</v>
      </c>
      <c r="J106" s="6" t="b">
        <v>0</v>
      </c>
      <c r="K106" s="6" t="b">
        <v>0</v>
      </c>
      <c r="L106" s="6" t="b">
        <v>0</v>
      </c>
      <c r="M106" s="6" t="b">
        <v>0</v>
      </c>
      <c r="N106" s="6" t="b">
        <v>0</v>
      </c>
      <c r="O106" s="6" t="b">
        <v>0</v>
      </c>
      <c r="P106" s="6" t="b">
        <v>0</v>
      </c>
      <c r="Q106" s="6" t="b">
        <v>0</v>
      </c>
      <c r="R106" s="6" t="b">
        <v>0</v>
      </c>
      <c r="S106" s="6" t="b">
        <v>0</v>
      </c>
      <c r="T106" s="6" t="b">
        <v>0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0</v>
      </c>
      <c r="AJ106" s="6" t="b">
        <v>0</v>
      </c>
      <c r="AK106" s="6" t="b">
        <v>0</v>
      </c>
      <c r="AL106" s="9" t="str">
        <f t="shared" si="1"/>
        <v>1 dari 31 (3%)</v>
      </c>
    </row>
    <row r="107" ht="22.5" customHeight="1">
      <c r="A107" s="10">
        <v>106.0</v>
      </c>
      <c r="B107" s="11"/>
      <c r="C107" s="22">
        <v>61081.0</v>
      </c>
      <c r="D107" s="12" t="s">
        <v>89</v>
      </c>
      <c r="E107" s="12" t="s">
        <v>95</v>
      </c>
      <c r="F107" s="15" t="s">
        <v>50</v>
      </c>
      <c r="G107" s="6" t="b">
        <v>1</v>
      </c>
      <c r="H107" s="6" t="b">
        <v>0</v>
      </c>
      <c r="I107" s="6" t="b">
        <v>0</v>
      </c>
      <c r="J107" s="6" t="b">
        <v>0</v>
      </c>
      <c r="K107" s="6" t="b">
        <v>0</v>
      </c>
      <c r="L107" s="6" t="b">
        <v>0</v>
      </c>
      <c r="M107" s="6" t="b">
        <v>0</v>
      </c>
      <c r="N107" s="6" t="b">
        <v>0</v>
      </c>
      <c r="O107" s="6" t="b">
        <v>0</v>
      </c>
      <c r="P107" s="6" t="b">
        <v>0</v>
      </c>
      <c r="Q107" s="6" t="b">
        <v>0</v>
      </c>
      <c r="R107" s="6" t="b">
        <v>0</v>
      </c>
      <c r="S107" s="6" t="b">
        <v>0</v>
      </c>
      <c r="T107" s="6" t="b">
        <v>0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0</v>
      </c>
      <c r="AJ107" s="6" t="b">
        <v>0</v>
      </c>
      <c r="AK107" s="6" t="b">
        <v>0</v>
      </c>
      <c r="AL107" s="9" t="str">
        <f t="shared" si="1"/>
        <v>1 dari 31 (3%)</v>
      </c>
    </row>
    <row r="108" ht="22.5" customHeight="1">
      <c r="A108" s="82">
        <v>107.0</v>
      </c>
      <c r="B108" s="83"/>
      <c r="C108" s="84">
        <v>26060.0</v>
      </c>
      <c r="D108" s="85" t="s">
        <v>89</v>
      </c>
      <c r="E108" s="85" t="s">
        <v>95</v>
      </c>
      <c r="F108" s="86" t="s">
        <v>67</v>
      </c>
      <c r="G108" s="87" t="b">
        <v>0</v>
      </c>
      <c r="H108" s="87" t="b">
        <v>0</v>
      </c>
      <c r="I108" s="87" t="b">
        <v>0</v>
      </c>
      <c r="J108" s="87" t="b">
        <v>0</v>
      </c>
      <c r="K108" s="87" t="b">
        <v>0</v>
      </c>
      <c r="L108" s="87" t="b">
        <v>0</v>
      </c>
      <c r="M108" s="87" t="b">
        <v>0</v>
      </c>
      <c r="N108" s="87" t="b">
        <v>0</v>
      </c>
      <c r="O108" s="87" t="b">
        <v>0</v>
      </c>
      <c r="P108" s="87" t="b">
        <v>0</v>
      </c>
      <c r="Q108" s="87" t="b">
        <v>0</v>
      </c>
      <c r="R108" s="87" t="b">
        <v>0</v>
      </c>
      <c r="S108" s="87" t="b">
        <v>0</v>
      </c>
      <c r="T108" s="87" t="b">
        <v>0</v>
      </c>
      <c r="U108" s="87" t="b">
        <v>0</v>
      </c>
      <c r="V108" s="87" t="b">
        <v>0</v>
      </c>
      <c r="W108" s="87" t="b">
        <v>0</v>
      </c>
      <c r="X108" s="87" t="b">
        <v>0</v>
      </c>
      <c r="Y108" s="87" t="b">
        <v>0</v>
      </c>
      <c r="Z108" s="87" t="b">
        <v>0</v>
      </c>
      <c r="AA108" s="87" t="b">
        <v>0</v>
      </c>
      <c r="AB108" s="87" t="b">
        <v>0</v>
      </c>
      <c r="AC108" s="87" t="b">
        <v>0</v>
      </c>
      <c r="AD108" s="87" t="b">
        <v>0</v>
      </c>
      <c r="AE108" s="87" t="b">
        <v>0</v>
      </c>
      <c r="AF108" s="87" t="b">
        <v>0</v>
      </c>
      <c r="AG108" s="87" t="b">
        <v>0</v>
      </c>
      <c r="AH108" s="87" t="b">
        <v>0</v>
      </c>
      <c r="AI108" s="87" t="b">
        <v>0</v>
      </c>
      <c r="AJ108" s="87" t="b">
        <v>0</v>
      </c>
      <c r="AK108" s="87" t="b">
        <v>0</v>
      </c>
      <c r="AL108" s="88" t="str">
        <f t="shared" si="1"/>
        <v>0 dari 31 (0%)</v>
      </c>
    </row>
    <row r="109" ht="22.5" customHeight="1">
      <c r="A109" s="92">
        <v>108.0</v>
      </c>
      <c r="B109" s="83"/>
      <c r="C109" s="84">
        <v>61082.0</v>
      </c>
      <c r="D109" s="85" t="s">
        <v>89</v>
      </c>
      <c r="E109" s="85" t="s">
        <v>95</v>
      </c>
      <c r="F109" s="86" t="s">
        <v>67</v>
      </c>
      <c r="G109" s="87" t="b">
        <v>0</v>
      </c>
      <c r="H109" s="87" t="b">
        <v>0</v>
      </c>
      <c r="I109" s="87" t="b">
        <v>0</v>
      </c>
      <c r="J109" s="87" t="b">
        <v>0</v>
      </c>
      <c r="K109" s="87" t="b">
        <v>0</v>
      </c>
      <c r="L109" s="87" t="b">
        <v>0</v>
      </c>
      <c r="M109" s="87" t="b">
        <v>0</v>
      </c>
      <c r="N109" s="87" t="b">
        <v>0</v>
      </c>
      <c r="O109" s="87" t="b">
        <v>0</v>
      </c>
      <c r="P109" s="87" t="b">
        <v>0</v>
      </c>
      <c r="Q109" s="87" t="b">
        <v>0</v>
      </c>
      <c r="R109" s="87" t="b">
        <v>0</v>
      </c>
      <c r="S109" s="87" t="b">
        <v>0</v>
      </c>
      <c r="T109" s="87" t="b">
        <v>0</v>
      </c>
      <c r="U109" s="87" t="b">
        <v>0</v>
      </c>
      <c r="V109" s="87" t="b">
        <v>0</v>
      </c>
      <c r="W109" s="87" t="b">
        <v>0</v>
      </c>
      <c r="X109" s="87" t="b">
        <v>0</v>
      </c>
      <c r="Y109" s="87" t="b">
        <v>0</v>
      </c>
      <c r="Z109" s="87" t="b">
        <v>0</v>
      </c>
      <c r="AA109" s="87" t="b">
        <v>0</v>
      </c>
      <c r="AB109" s="87" t="b">
        <v>0</v>
      </c>
      <c r="AC109" s="87" t="b">
        <v>0</v>
      </c>
      <c r="AD109" s="87" t="b">
        <v>0</v>
      </c>
      <c r="AE109" s="87" t="b">
        <v>0</v>
      </c>
      <c r="AF109" s="87" t="b">
        <v>0</v>
      </c>
      <c r="AG109" s="87" t="b">
        <v>0</v>
      </c>
      <c r="AH109" s="87" t="b">
        <v>0</v>
      </c>
      <c r="AI109" s="87" t="b">
        <v>0</v>
      </c>
      <c r="AJ109" s="87" t="b">
        <v>0</v>
      </c>
      <c r="AK109" s="87" t="b">
        <v>0</v>
      </c>
      <c r="AL109" s="89" t="str">
        <f t="shared" si="1"/>
        <v>0 dari 31 (0%)</v>
      </c>
    </row>
    <row r="110" ht="22.5" customHeight="1">
      <c r="A110" s="10">
        <v>109.0</v>
      </c>
      <c r="B110" s="11"/>
      <c r="C110" s="22">
        <v>61085.0</v>
      </c>
      <c r="D110" s="12" t="s">
        <v>89</v>
      </c>
      <c r="E110" s="12" t="s">
        <v>95</v>
      </c>
      <c r="F110" s="15" t="s">
        <v>50</v>
      </c>
      <c r="G110" s="6" t="b">
        <v>1</v>
      </c>
      <c r="H110" s="6" t="b">
        <v>0</v>
      </c>
      <c r="I110" s="6" t="b">
        <v>0</v>
      </c>
      <c r="J110" s="6" t="b">
        <v>0</v>
      </c>
      <c r="K110" s="6" t="b">
        <v>0</v>
      </c>
      <c r="L110" s="6" t="b">
        <v>0</v>
      </c>
      <c r="M110" s="6" t="b">
        <v>0</v>
      </c>
      <c r="N110" s="6" t="b">
        <v>0</v>
      </c>
      <c r="O110" s="6" t="b">
        <v>0</v>
      </c>
      <c r="P110" s="6" t="b">
        <v>0</v>
      </c>
      <c r="Q110" s="6" t="b">
        <v>0</v>
      </c>
      <c r="R110" s="6" t="b">
        <v>0</v>
      </c>
      <c r="S110" s="6" t="b">
        <v>0</v>
      </c>
      <c r="T110" s="6" t="b">
        <v>0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0</v>
      </c>
      <c r="AJ110" s="6" t="b">
        <v>0</v>
      </c>
      <c r="AK110" s="6" t="b">
        <v>0</v>
      </c>
      <c r="AL110" s="9" t="str">
        <f t="shared" si="1"/>
        <v>1 dari 31 (3%)</v>
      </c>
    </row>
    <row r="111" ht="22.5" customHeight="1">
      <c r="A111" s="10">
        <v>110.0</v>
      </c>
      <c r="B111" s="11"/>
      <c r="C111" s="22">
        <v>61061.0</v>
      </c>
      <c r="D111" s="12" t="s">
        <v>89</v>
      </c>
      <c r="E111" s="12" t="s">
        <v>95</v>
      </c>
      <c r="F111" s="15" t="s">
        <v>50</v>
      </c>
      <c r="G111" s="6" t="b">
        <v>1</v>
      </c>
      <c r="H111" s="6" t="b">
        <v>0</v>
      </c>
      <c r="I111" s="6" t="b">
        <v>0</v>
      </c>
      <c r="J111" s="6" t="b">
        <v>0</v>
      </c>
      <c r="K111" s="6" t="b">
        <v>0</v>
      </c>
      <c r="L111" s="6" t="b">
        <v>0</v>
      </c>
      <c r="M111" s="6" t="b">
        <v>0</v>
      </c>
      <c r="N111" s="6" t="b">
        <v>0</v>
      </c>
      <c r="O111" s="6" t="b">
        <v>0</v>
      </c>
      <c r="P111" s="6" t="b">
        <v>0</v>
      </c>
      <c r="Q111" s="6" t="b">
        <v>0</v>
      </c>
      <c r="R111" s="6" t="b">
        <v>0</v>
      </c>
      <c r="S111" s="6" t="b">
        <v>0</v>
      </c>
      <c r="T111" s="6" t="b">
        <v>0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0</v>
      </c>
      <c r="AJ111" s="6" t="b">
        <v>0</v>
      </c>
      <c r="AK111" s="6" t="b">
        <v>0</v>
      </c>
      <c r="AL111" s="17" t="str">
        <f t="shared" si="1"/>
        <v>1 dari 31 (3%)</v>
      </c>
    </row>
    <row r="113">
      <c r="B113" s="71" t="s">
        <v>38</v>
      </c>
      <c r="C113" s="72"/>
      <c r="D113" s="72"/>
      <c r="E113" s="72"/>
      <c r="F113" s="73"/>
      <c r="G113" s="74">
        <f>COUNTIF(JULI_4[ID Encounter], TRUE)</f>
        <v>100</v>
      </c>
      <c r="H113" s="74">
        <f>COUNTIF(JULI_4[ID Condition], TRUE)</f>
        <v>88</v>
      </c>
      <c r="I113" s="74">
        <f>COUNTIF(JULI_4[ID Clinical Impression], TRUE)</f>
        <v>58</v>
      </c>
      <c r="J113" s="74">
        <f>COUNTIF(JULI_4[ID Observation Tensi], TRUE)</f>
        <v>91</v>
      </c>
      <c r="K113" s="74">
        <f>COUNTIF(JULI_4[ID Observation Nadi], TRUE)</f>
        <v>91</v>
      </c>
      <c r="L113" s="74">
        <f>COUNTIF(JULI_4[ID Observation RR], TRUE)</f>
        <v>91</v>
      </c>
      <c r="M113" s="74">
        <f>COUNTIF(JULI_4[ID Observation Suhu], TRUE)</f>
        <v>91</v>
      </c>
      <c r="N113" s="74">
        <f>COUNTIF(JULI_4[ID Observation SPO2], TRUE)</f>
        <v>90</v>
      </c>
      <c r="O113" s="74">
        <f>COUNTIF(JULI_4[ID Observation GCS], TRUE)</f>
        <v>91</v>
      </c>
      <c r="P113" s="74">
        <f>COUNTIF(JULI_4[ID Observation Tinggi], TRUE)</f>
        <v>90</v>
      </c>
      <c r="Q113" s="74">
        <f>COUNTIF(JULI_4[ID Observation Berat], TRUE)</f>
        <v>90</v>
      </c>
      <c r="R113" s="74">
        <f>COUNTIF(JULI_4[ID Observation Perut], TRUE)</f>
        <v>83</v>
      </c>
      <c r="S113" s="74">
        <f>COUNTIF(JULI_4[ID Observation Kesadaran], TRUE)</f>
        <v>86</v>
      </c>
      <c r="T113" s="74">
        <f>COUNTIF(JULI_4[ID Procedure], TRUE)</f>
        <v>58</v>
      </c>
      <c r="U113" s="74">
        <f>COUNTIF(JULI_4[ID Composition], TRUE)</f>
        <v>0</v>
      </c>
      <c r="V113" s="74">
        <f>COUNTIF(JULI_4[ID Vaksin/Imunisasi], TRUE)</f>
        <v>0</v>
      </c>
      <c r="W113" s="74">
        <f>COUNTIF(JULI_4[ID Medication Request], TRUE)</f>
        <v>7</v>
      </c>
      <c r="X113" s="74">
        <f>COUNTIF(JULI_4[ID Medication Dispense], TRUE)</f>
        <v>7</v>
      </c>
      <c r="Y113" s="74">
        <f>COUNTIF(JULI_4[ID Medication Statement], TRUE)</f>
        <v>7</v>
      </c>
      <c r="Z113" s="74">
        <f>COUNTIF(JULI_4[ID Service Request Radiologi], TRUE)</f>
        <v>6</v>
      </c>
      <c r="AA113" s="74">
        <f>COUNTIF(JULI_4[ID Specimen Radiologi], TRUE)</f>
        <v>6</v>
      </c>
      <c r="AB113" s="74">
        <f>COUNTIF(JULI_4[ID Observation Radiologi], TRUE)</f>
        <v>6</v>
      </c>
      <c r="AC113" s="74">
        <f>COUNTIF(JULI_4[ID Diagnostic Report Radiologi], TRUE)</f>
        <v>6</v>
      </c>
      <c r="AD113" s="74">
        <f>COUNTIF(JULI_4[Image Study], TRUE)</f>
        <v>5</v>
      </c>
      <c r="AE113" s="74">
        <f>COUNTIF(JULI_4[ID Service Request Lab PK], TRUE)</f>
        <v>0</v>
      </c>
      <c r="AF113" s="74">
        <f>COUNTIF(JULI_4[ID Specimen Lab PK], TRUE)</f>
        <v>0</v>
      </c>
      <c r="AG113" s="74">
        <f>COUNTIF(JULI_4[ID Observation Lab PK], TRUE)</f>
        <v>0</v>
      </c>
      <c r="AH113" s="74">
        <f>COUNTIF(JULI_4[ID Diagnostic Report Lab PK], TRUE)</f>
        <v>0</v>
      </c>
      <c r="AI113" s="74">
        <f>COUNTIF(JULI_4[ID Care Plan], TRUE)</f>
        <v>67</v>
      </c>
      <c r="AJ113" s="74">
        <f>COUNTIF(JULI_4[ID Allergy], TRUE)</f>
        <v>0</v>
      </c>
      <c r="AK113" s="74">
        <f>COUNTIF(JULI_4[ID Questionnaire], TRUE)</f>
        <v>0</v>
      </c>
      <c r="AL113" s="75" t="str">
        <f>COUNTIF(JULI_4[[ID Encounter]:[ID Questionnaire]], TRUE()) &amp; " dari " &amp; (ROWS(JULI_4[[ID Encounter]:[ID Questionnaire]])*COLUMNS(JULI_4[[ID Encounter]:[ID Questionnaire]])) &amp; " (" &amp; TEXT(COUNTIF(JULI_4[[ID Encounter]:[ID Questionnaire]], TRUE())/(ROWS(JULI_4[[ID Encounter]:[ID Questionnaire]])*COLUMNS(JULI_4[[ID Encounter]:[ID Questionnaire]])),"0%") &amp; ")"</f>
        <v>1315 dari 3410 (39%)</v>
      </c>
    </row>
    <row r="114">
      <c r="B114" s="76"/>
      <c r="C114" s="77"/>
      <c r="D114" s="77"/>
      <c r="E114" s="77"/>
      <c r="F114" s="78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</row>
  </sheetData>
  <mergeCells count="33">
    <mergeCell ref="B113:F114"/>
    <mergeCell ref="G113:G114"/>
    <mergeCell ref="H113:H114"/>
    <mergeCell ref="I113:I114"/>
    <mergeCell ref="J113:J114"/>
    <mergeCell ref="K113:K114"/>
    <mergeCell ref="L113:L114"/>
    <mergeCell ref="M113:M114"/>
    <mergeCell ref="N113:N114"/>
    <mergeCell ref="O113:O114"/>
    <mergeCell ref="P113:P114"/>
    <mergeCell ref="Q113:Q114"/>
    <mergeCell ref="R113:R114"/>
    <mergeCell ref="S113:S114"/>
    <mergeCell ref="T113:T114"/>
    <mergeCell ref="U113:U114"/>
    <mergeCell ref="V113:V114"/>
    <mergeCell ref="W113:W114"/>
    <mergeCell ref="X113:X114"/>
    <mergeCell ref="Y113:Y114"/>
    <mergeCell ref="Z113:Z114"/>
    <mergeCell ref="AH113:AH114"/>
    <mergeCell ref="AI113:AI114"/>
    <mergeCell ref="AJ113:AJ114"/>
    <mergeCell ref="AK113:AK114"/>
    <mergeCell ref="AL113:AL114"/>
    <mergeCell ref="AA113:AA114"/>
    <mergeCell ref="AB113:AB114"/>
    <mergeCell ref="AC113:AC114"/>
    <mergeCell ref="AD113:AD114"/>
    <mergeCell ref="AE113:AE114"/>
    <mergeCell ref="AF113:AF114"/>
    <mergeCell ref="AG113:AG114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9" max="19" width="24.88"/>
    <col customWidth="1" min="38" max="38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46208.0</v>
      </c>
      <c r="C2" s="22">
        <v>61089.0</v>
      </c>
      <c r="D2" s="4" t="s">
        <v>93</v>
      </c>
      <c r="E2" s="4" t="s">
        <v>103</v>
      </c>
      <c r="F2" s="5"/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6" si="1">COUNTIF(G2:AK2, TRUE()) &amp; " dari " &amp; COLUMNS(G2:AK2) &amp; " (" &amp; TEXT(COUNTIF(G2:AK2, TRUE())/COLUMNS(G2:AK2),"0%") &amp; ")"</f>
        <v>14 dari 31 (45%)</v>
      </c>
    </row>
    <row r="3" ht="22.5" customHeight="1">
      <c r="A3" s="10">
        <v>2.0</v>
      </c>
      <c r="B3" s="11"/>
      <c r="C3" s="20">
        <v>61088.0</v>
      </c>
      <c r="D3" s="12" t="s">
        <v>89</v>
      </c>
      <c r="E3" s="12" t="s">
        <v>95</v>
      </c>
      <c r="F3" s="14" t="s">
        <v>50</v>
      </c>
      <c r="G3" s="16" t="b">
        <v>1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6" t="b">
        <v>0</v>
      </c>
      <c r="O3" s="16" t="b">
        <v>0</v>
      </c>
      <c r="P3" s="16" t="b">
        <v>0</v>
      </c>
      <c r="Q3" s="16" t="b">
        <v>0</v>
      </c>
      <c r="R3" s="16" t="b">
        <v>0</v>
      </c>
      <c r="S3" s="16" t="b">
        <v>0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1 dari 31 (3%)</v>
      </c>
    </row>
    <row r="4" ht="22.5" customHeight="1">
      <c r="A4" s="2">
        <v>3.0</v>
      </c>
      <c r="B4" s="18"/>
      <c r="C4" s="20">
        <v>61089.0</v>
      </c>
      <c r="D4" s="4" t="s">
        <v>89</v>
      </c>
      <c r="E4" s="4" t="s">
        <v>95</v>
      </c>
      <c r="F4" s="14" t="s">
        <v>50</v>
      </c>
      <c r="G4" s="6" t="b">
        <v>1</v>
      </c>
      <c r="H4" s="6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1 dari 31 (3%)</v>
      </c>
    </row>
    <row r="5" ht="22.5" customHeight="1">
      <c r="A5" s="10">
        <v>4.0</v>
      </c>
      <c r="B5" s="11"/>
      <c r="C5" s="22">
        <v>61086.0</v>
      </c>
      <c r="D5" s="12" t="s">
        <v>89</v>
      </c>
      <c r="E5" s="12" t="s">
        <v>95</v>
      </c>
      <c r="F5" s="14" t="s">
        <v>50</v>
      </c>
      <c r="G5" s="16" t="b">
        <v>1</v>
      </c>
      <c r="H5" s="16" t="b">
        <v>0</v>
      </c>
      <c r="I5" s="16" t="b">
        <v>0</v>
      </c>
      <c r="J5" s="16" t="b">
        <v>0</v>
      </c>
      <c r="K5" s="16" t="b">
        <v>0</v>
      </c>
      <c r="L5" s="16" t="b">
        <v>0</v>
      </c>
      <c r="M5" s="16" t="b">
        <v>0</v>
      </c>
      <c r="N5" s="16" t="b">
        <v>0</v>
      </c>
      <c r="O5" s="16" t="b">
        <v>0</v>
      </c>
      <c r="P5" s="16" t="b">
        <v>0</v>
      </c>
      <c r="Q5" s="16" t="b">
        <v>0</v>
      </c>
      <c r="R5" s="16" t="b">
        <v>0</v>
      </c>
      <c r="S5" s="16" t="b">
        <v>0</v>
      </c>
      <c r="T5" s="16" t="b">
        <v>0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0</v>
      </c>
      <c r="AJ5" s="16" t="b">
        <v>0</v>
      </c>
      <c r="AK5" s="16" t="b">
        <v>0</v>
      </c>
      <c r="AL5" s="17" t="str">
        <f t="shared" si="1"/>
        <v>1 dari 31 (3%)</v>
      </c>
    </row>
    <row r="6" ht="22.5" customHeight="1">
      <c r="A6" s="23">
        <v>5.0</v>
      </c>
      <c r="B6" s="24"/>
      <c r="C6" s="80">
        <v>61087.0</v>
      </c>
      <c r="D6" s="81" t="s">
        <v>89</v>
      </c>
      <c r="E6" s="81" t="s">
        <v>95</v>
      </c>
      <c r="F6" s="27" t="s">
        <v>105</v>
      </c>
      <c r="G6" s="28" t="b">
        <v>0</v>
      </c>
      <c r="H6" s="28" t="b">
        <v>0</v>
      </c>
      <c r="I6" s="28" t="b">
        <v>0</v>
      </c>
      <c r="J6" s="28" t="b">
        <v>0</v>
      </c>
      <c r="K6" s="28" t="b">
        <v>0</v>
      </c>
      <c r="L6" s="28" t="b">
        <v>0</v>
      </c>
      <c r="M6" s="28" t="b">
        <v>0</v>
      </c>
      <c r="N6" s="28" t="b">
        <v>0</v>
      </c>
      <c r="O6" s="28" t="b">
        <v>0</v>
      </c>
      <c r="P6" s="28" t="b">
        <v>0</v>
      </c>
      <c r="Q6" s="28" t="b">
        <v>0</v>
      </c>
      <c r="R6" s="28" t="b">
        <v>0</v>
      </c>
      <c r="S6" s="28" t="b">
        <v>0</v>
      </c>
      <c r="T6" s="28" t="b">
        <v>0</v>
      </c>
      <c r="U6" s="28" t="b">
        <v>0</v>
      </c>
      <c r="V6" s="28" t="b">
        <v>0</v>
      </c>
      <c r="W6" s="28" t="b">
        <v>0</v>
      </c>
      <c r="X6" s="28" t="b">
        <v>0</v>
      </c>
      <c r="Y6" s="28" t="b">
        <v>0</v>
      </c>
      <c r="Z6" s="28" t="b">
        <v>0</v>
      </c>
      <c r="AA6" s="28" t="b">
        <v>0</v>
      </c>
      <c r="AB6" s="28" t="b">
        <v>0</v>
      </c>
      <c r="AC6" s="28" t="b">
        <v>0</v>
      </c>
      <c r="AD6" s="28" t="b">
        <v>0</v>
      </c>
      <c r="AE6" s="28" t="b">
        <v>0</v>
      </c>
      <c r="AF6" s="28" t="b">
        <v>0</v>
      </c>
      <c r="AG6" s="28" t="b">
        <v>0</v>
      </c>
      <c r="AH6" s="28" t="b">
        <v>0</v>
      </c>
      <c r="AI6" s="28" t="b">
        <v>0</v>
      </c>
      <c r="AJ6" s="28" t="b">
        <v>0</v>
      </c>
      <c r="AK6" s="28" t="b">
        <v>0</v>
      </c>
      <c r="AL6" s="29" t="str">
        <f t="shared" si="1"/>
        <v>0 dari 31 (0%)</v>
      </c>
    </row>
    <row r="8">
      <c r="B8" s="71" t="s">
        <v>38</v>
      </c>
      <c r="C8" s="72"/>
      <c r="D8" s="72"/>
      <c r="E8" s="72"/>
      <c r="F8" s="73"/>
      <c r="G8" s="74">
        <f>COUNTIF(JULI_5[ID Encounter], TRUE)</f>
        <v>4</v>
      </c>
      <c r="H8" s="74">
        <f>COUNTIF(JULI_5[ID Condition], TRUE)</f>
        <v>1</v>
      </c>
      <c r="I8" s="74">
        <f>COUNTIF(JULI_5[ID Clinical Impression], TRUE)</f>
        <v>1</v>
      </c>
      <c r="J8" s="74">
        <f>COUNTIF(JULI_5[ID Observation Tensi], TRUE)</f>
        <v>1</v>
      </c>
      <c r="K8" s="74">
        <f>COUNTIF(JULI_5[ID Observation Nadi], TRUE)</f>
        <v>1</v>
      </c>
      <c r="L8" s="74">
        <f>COUNTIF(JULI_5[ID Observation RR], TRUE)</f>
        <v>1</v>
      </c>
      <c r="M8" s="74">
        <f>COUNTIF(JULI_5[ID Observation Suhu], TRUE)</f>
        <v>1</v>
      </c>
      <c r="N8" s="74">
        <f>COUNTIF(JULI_5[ID Observation SPO2], TRUE)</f>
        <v>1</v>
      </c>
      <c r="O8" s="74">
        <f>COUNTIF(JULI_5[ID Observation GCS], TRUE)</f>
        <v>1</v>
      </c>
      <c r="P8" s="74">
        <f>COUNTIF(JULI_5[ID Observation Tinggi], TRUE)</f>
        <v>1</v>
      </c>
      <c r="Q8" s="74">
        <f>COUNTIF(JULI_5[ID Observation Berat], TRUE)</f>
        <v>1</v>
      </c>
      <c r="R8" s="74">
        <f>COUNTIF(JULI_5[ID Observation Perut], TRUE)</f>
        <v>1</v>
      </c>
      <c r="S8" s="74">
        <f>COUNTIF(JULI_5[ID Observation Kesadaran], TRUE)</f>
        <v>1</v>
      </c>
      <c r="T8" s="74">
        <f>COUNTIF(JULI_5[ID Procedure], TRUE)</f>
        <v>0</v>
      </c>
      <c r="U8" s="74">
        <f>COUNTIF(JULI_5[ID Composition], TRUE)</f>
        <v>0</v>
      </c>
      <c r="V8" s="74">
        <f>COUNTIF(JULI_5[ID Vaksin/Imunisasi], TRUE)</f>
        <v>0</v>
      </c>
      <c r="W8" s="74">
        <f>COUNTIF(JULI_5[ID Medication Request], TRUE)</f>
        <v>0</v>
      </c>
      <c r="X8" s="74">
        <f>COUNTIF(JULI_5[ID Medication Dispense], TRUE)</f>
        <v>0</v>
      </c>
      <c r="Y8" s="74">
        <f>COUNTIF(JULI_5[ID Medication Statement], TRUE)</f>
        <v>0</v>
      </c>
      <c r="Z8" s="74">
        <f>COUNTIF(JULI_5[ID Service Request Radiologi], TRUE)</f>
        <v>0</v>
      </c>
      <c r="AA8" s="74">
        <f>COUNTIF(JULI_5[ID Specimen Radiologi], TRUE)</f>
        <v>0</v>
      </c>
      <c r="AB8" s="74">
        <f>COUNTIF(JULI_5[ID Observation Radiologi], TRUE)</f>
        <v>0</v>
      </c>
      <c r="AC8" s="74">
        <f>COUNTIF(JULI_5[ID Diagnostic Report Radiologi], TRUE)</f>
        <v>0</v>
      </c>
      <c r="AD8" s="74">
        <f>COUNTIF(JULI_5[Image Study], TRUE)</f>
        <v>0</v>
      </c>
      <c r="AE8" s="74">
        <f>COUNTIF(JULI_5[ID Service Request Lab PK], TRUE)</f>
        <v>0</v>
      </c>
      <c r="AF8" s="74">
        <f>COUNTIF(JULI_5[ID Specimen Lab PK], TRUE)</f>
        <v>0</v>
      </c>
      <c r="AG8" s="74">
        <f>COUNTIF(JULI_5[ID Observation Lab PK], TRUE)</f>
        <v>0</v>
      </c>
      <c r="AH8" s="74">
        <f>COUNTIF(JULI_5[ID Diagnostic Report Lab PK], TRUE)</f>
        <v>0</v>
      </c>
      <c r="AI8" s="74">
        <f>COUNTIF(JULI_5[ID Care Plan], TRUE)</f>
        <v>1</v>
      </c>
      <c r="AJ8" s="74">
        <f>COUNTIF(JULI_5[ID Allergy], TRUE)</f>
        <v>0</v>
      </c>
      <c r="AK8" s="74">
        <f>COUNTIF(JULI_5[ID Questionnaire], TRUE)</f>
        <v>0</v>
      </c>
      <c r="AL8" s="75" t="str">
        <f>COUNTIF(JULI_5[[ID Encounter]:[ID Questionnaire]], TRUE()) &amp; " dari " &amp; (ROWS(JULI_5[[ID Encounter]:[ID Questionnaire]])*COLUMNS(JULI_5[[ID Encounter]:[ID Questionnaire]])) &amp; " (" &amp; TEXT(COUNTIF(JULI_5[[ID Encounter]:[ID Questionnaire]], TRUE())/(ROWS(JULI_5[[ID Encounter]:[ID Questionnaire]])*COLUMNS(JULI_5[[ID Encounter]:[ID Questionnaire]])),"0%") &amp; ")"</f>
        <v>17 dari 155 (11%)</v>
      </c>
    </row>
    <row r="9">
      <c r="B9" s="76"/>
      <c r="C9" s="77"/>
      <c r="D9" s="77"/>
      <c r="E9" s="77"/>
      <c r="F9" s="78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</row>
  </sheetData>
  <mergeCells count="33">
    <mergeCell ref="B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H8:AH9"/>
    <mergeCell ref="AI8:AI9"/>
    <mergeCell ref="AJ8:AJ9"/>
    <mergeCell ref="AK8:AK9"/>
    <mergeCell ref="AL8:AL9"/>
    <mergeCell ref="AA8:AA9"/>
    <mergeCell ref="AB8:AB9"/>
    <mergeCell ref="AC8:AC9"/>
    <mergeCell ref="AD8:AD9"/>
    <mergeCell ref="AE8:AE9"/>
    <mergeCell ref="AF8:AF9"/>
    <mergeCell ref="AG8:AG9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0" max="20" width="15.25"/>
    <col customWidth="1" min="23" max="23" width="22.38"/>
    <col customWidth="1" min="24" max="24" width="23.13"/>
    <col customWidth="1" min="25" max="25" width="24.0"/>
    <col customWidth="1" min="26" max="26" width="27.13"/>
    <col customWidth="1" min="31" max="31" width="25.38"/>
    <col customWidth="1" min="35" max="35" width="14.75"/>
    <col customWidth="1" min="38" max="38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46209.0</v>
      </c>
      <c r="C2" s="20">
        <v>80793.0</v>
      </c>
      <c r="D2" s="12" t="s">
        <v>63</v>
      </c>
      <c r="E2" s="12" t="s">
        <v>87</v>
      </c>
      <c r="F2" s="13"/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196" si="1">COUNTIF(G2:AK2, TRUE()) &amp; " dari " &amp; COLUMNS(G2:AK2) &amp; " (" &amp; TEXT(COUNTIF(G2:AK2, TRUE())/COLUMNS(G2:AK2),"0%") &amp; ")"</f>
        <v>15 dari 31 (48%)</v>
      </c>
    </row>
    <row r="3" ht="22.5" customHeight="1">
      <c r="A3" s="10">
        <v>2.0</v>
      </c>
      <c r="B3" s="11"/>
      <c r="C3" s="20">
        <v>60971.0</v>
      </c>
      <c r="D3" s="12" t="s">
        <v>63</v>
      </c>
      <c r="E3" s="12" t="s">
        <v>87</v>
      </c>
      <c r="F3" s="13"/>
      <c r="G3" s="16" t="b">
        <v>1</v>
      </c>
      <c r="H3" s="16" t="b">
        <v>1</v>
      </c>
      <c r="I3" s="16" t="b">
        <v>1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15 dari 31 (48%)</v>
      </c>
    </row>
    <row r="4" ht="22.5" customHeight="1">
      <c r="A4" s="2">
        <v>3.0</v>
      </c>
      <c r="B4" s="18"/>
      <c r="C4" s="20">
        <v>60284.0</v>
      </c>
      <c r="D4" s="12" t="s">
        <v>63</v>
      </c>
      <c r="E4" s="12" t="s">
        <v>87</v>
      </c>
      <c r="F4" s="13"/>
      <c r="G4" s="6" t="b">
        <v>1</v>
      </c>
      <c r="H4" s="6" t="b">
        <v>1</v>
      </c>
      <c r="I4" s="6" t="b">
        <v>0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1</v>
      </c>
      <c r="AJ4" s="6" t="b">
        <v>0</v>
      </c>
      <c r="AK4" s="6" t="b">
        <v>0</v>
      </c>
      <c r="AL4" s="9" t="str">
        <f t="shared" si="1"/>
        <v>14 dari 31 (45%)</v>
      </c>
    </row>
    <row r="5" ht="22.5" customHeight="1">
      <c r="A5" s="10">
        <v>4.0</v>
      </c>
      <c r="B5" s="11"/>
      <c r="C5" s="22">
        <v>57125.0</v>
      </c>
      <c r="D5" s="12" t="s">
        <v>63</v>
      </c>
      <c r="E5" s="12" t="s">
        <v>87</v>
      </c>
      <c r="F5" s="13"/>
      <c r="G5" s="16" t="b">
        <v>1</v>
      </c>
      <c r="H5" s="16" t="b">
        <v>1</v>
      </c>
      <c r="I5" s="16" t="b">
        <v>1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15 dari 31 (48%)</v>
      </c>
    </row>
    <row r="6" ht="22.5" customHeight="1">
      <c r="A6" s="2">
        <v>5.0</v>
      </c>
      <c r="B6" s="18"/>
      <c r="C6" s="20">
        <v>59813.0</v>
      </c>
      <c r="D6" s="12" t="s">
        <v>63</v>
      </c>
      <c r="E6" s="12" t="s">
        <v>87</v>
      </c>
      <c r="F6" s="13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15 dari 31 (48%)</v>
      </c>
    </row>
    <row r="7" ht="22.5" customHeight="1">
      <c r="A7" s="10">
        <v>6.0</v>
      </c>
      <c r="B7" s="11"/>
      <c r="C7" s="20">
        <v>60123.0</v>
      </c>
      <c r="D7" s="12" t="s">
        <v>63</v>
      </c>
      <c r="E7" s="12" t="s">
        <v>87</v>
      </c>
      <c r="F7" s="13"/>
      <c r="G7" s="16" t="b">
        <v>1</v>
      </c>
      <c r="H7" s="16" t="b">
        <v>1</v>
      </c>
      <c r="I7" s="16" t="b">
        <v>1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15 dari 31 (48%)</v>
      </c>
    </row>
    <row r="8" ht="22.5" customHeight="1">
      <c r="A8" s="2">
        <v>7.0</v>
      </c>
      <c r="B8" s="18"/>
      <c r="C8" s="20">
        <v>57443.0</v>
      </c>
      <c r="D8" s="12" t="s">
        <v>63</v>
      </c>
      <c r="E8" s="12" t="s">
        <v>87</v>
      </c>
      <c r="F8" s="13"/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0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1</v>
      </c>
      <c r="AJ8" s="6" t="b">
        <v>0</v>
      </c>
      <c r="AK8" s="6" t="b">
        <v>0</v>
      </c>
      <c r="AL8" s="9" t="str">
        <f t="shared" si="1"/>
        <v>14 dari 31 (45%)</v>
      </c>
    </row>
    <row r="9" ht="22.5" customHeight="1">
      <c r="A9" s="10">
        <v>8.0</v>
      </c>
      <c r="B9" s="11"/>
      <c r="C9" s="22">
        <v>46506.0</v>
      </c>
      <c r="D9" s="12" t="s">
        <v>63</v>
      </c>
      <c r="E9" s="12" t="s">
        <v>87</v>
      </c>
      <c r="F9" s="13"/>
      <c r="G9" s="16" t="b">
        <v>1</v>
      </c>
      <c r="H9" s="16" t="b">
        <v>1</v>
      </c>
      <c r="I9" s="16" t="b">
        <v>1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0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1</v>
      </c>
      <c r="AJ9" s="16" t="b">
        <v>0</v>
      </c>
      <c r="AK9" s="16" t="b">
        <v>0</v>
      </c>
      <c r="AL9" s="17" t="str">
        <f t="shared" si="1"/>
        <v>14 dari 31 (45%)</v>
      </c>
    </row>
    <row r="10" ht="22.5" customHeight="1">
      <c r="A10" s="2">
        <v>9.0</v>
      </c>
      <c r="B10" s="18"/>
      <c r="C10" s="20">
        <v>60050.0</v>
      </c>
      <c r="D10" s="12" t="s">
        <v>63</v>
      </c>
      <c r="E10" s="12" t="s">
        <v>87</v>
      </c>
      <c r="F10" s="13"/>
      <c r="G10" s="6" t="b">
        <v>1</v>
      </c>
      <c r="H10" s="6" t="b">
        <v>1</v>
      </c>
      <c r="I10" s="6" t="b">
        <v>1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0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1</v>
      </c>
      <c r="AJ10" s="6" t="b">
        <v>0</v>
      </c>
      <c r="AK10" s="6" t="b">
        <v>0</v>
      </c>
      <c r="AL10" s="9" t="str">
        <f t="shared" si="1"/>
        <v>14 dari 31 (45%)</v>
      </c>
    </row>
    <row r="11" ht="22.5" customHeight="1">
      <c r="A11" s="10">
        <v>10.0</v>
      </c>
      <c r="B11" s="11"/>
      <c r="C11" s="20">
        <v>51483.0</v>
      </c>
      <c r="D11" s="12" t="s">
        <v>63</v>
      </c>
      <c r="E11" s="12" t="s">
        <v>87</v>
      </c>
      <c r="F11" s="13"/>
      <c r="G11" s="16" t="b">
        <v>1</v>
      </c>
      <c r="H11" s="16" t="b">
        <v>1</v>
      </c>
      <c r="I11" s="16" t="b">
        <v>1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15 dari 31 (48%)</v>
      </c>
    </row>
    <row r="12" ht="22.5" customHeight="1">
      <c r="A12" s="2">
        <v>11.0</v>
      </c>
      <c r="B12" s="18"/>
      <c r="C12" s="20">
        <v>59780.0</v>
      </c>
      <c r="D12" s="12" t="s">
        <v>63</v>
      </c>
      <c r="E12" s="12" t="s">
        <v>87</v>
      </c>
      <c r="F12" s="13"/>
      <c r="G12" s="6" t="b">
        <v>1</v>
      </c>
      <c r="H12" s="6" t="b">
        <v>1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1</v>
      </c>
      <c r="AJ12" s="6" t="b">
        <v>0</v>
      </c>
      <c r="AK12" s="6" t="b">
        <v>0</v>
      </c>
      <c r="AL12" s="9" t="str">
        <f t="shared" si="1"/>
        <v>15 dari 31 (48%)</v>
      </c>
    </row>
    <row r="13" ht="22.5" customHeight="1">
      <c r="A13" s="10">
        <v>12.0</v>
      </c>
      <c r="B13" s="11"/>
      <c r="C13" s="20">
        <v>57811.0</v>
      </c>
      <c r="D13" s="12" t="s">
        <v>63</v>
      </c>
      <c r="E13" s="12" t="s">
        <v>87</v>
      </c>
      <c r="F13" s="13"/>
      <c r="G13" s="16" t="b">
        <v>1</v>
      </c>
      <c r="H13" s="16" t="b">
        <v>1</v>
      </c>
      <c r="I13" s="16" t="b">
        <v>1</v>
      </c>
      <c r="J13" s="16" t="b">
        <v>1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0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1"/>
        <v>14 dari 31 (45%)</v>
      </c>
    </row>
    <row r="14" ht="22.5" customHeight="1">
      <c r="A14" s="2">
        <v>13.0</v>
      </c>
      <c r="B14" s="18"/>
      <c r="C14" s="20">
        <v>54008.0</v>
      </c>
      <c r="D14" s="12" t="s">
        <v>63</v>
      </c>
      <c r="E14" s="12" t="s">
        <v>87</v>
      </c>
      <c r="F14" s="13"/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1</v>
      </c>
      <c r="AJ14" s="6" t="b">
        <v>0</v>
      </c>
      <c r="AK14" s="6" t="b">
        <v>0</v>
      </c>
      <c r="AL14" s="9" t="str">
        <f t="shared" si="1"/>
        <v>15 dari 31 (48%)</v>
      </c>
    </row>
    <row r="15" ht="22.5" customHeight="1">
      <c r="A15" s="10">
        <v>14.0</v>
      </c>
      <c r="B15" s="11"/>
      <c r="C15" s="20">
        <v>60002.0</v>
      </c>
      <c r="D15" s="12" t="s">
        <v>63</v>
      </c>
      <c r="E15" s="12" t="s">
        <v>87</v>
      </c>
      <c r="F15" s="13"/>
      <c r="G15" s="16" t="b">
        <v>1</v>
      </c>
      <c r="H15" s="16" t="b">
        <v>1</v>
      </c>
      <c r="I15" s="16" t="b">
        <v>1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0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1</v>
      </c>
      <c r="AJ15" s="16" t="b">
        <v>0</v>
      </c>
      <c r="AK15" s="16" t="b">
        <v>0</v>
      </c>
      <c r="AL15" s="17" t="str">
        <f t="shared" si="1"/>
        <v>14 dari 31 (45%)</v>
      </c>
    </row>
    <row r="16" ht="22.5" customHeight="1">
      <c r="A16" s="2">
        <v>15.0</v>
      </c>
      <c r="B16" s="18"/>
      <c r="C16" s="20">
        <v>60784.0</v>
      </c>
      <c r="D16" s="12" t="s">
        <v>63</v>
      </c>
      <c r="E16" s="12" t="s">
        <v>114</v>
      </c>
      <c r="F16" s="13"/>
      <c r="G16" s="6" t="b">
        <v>1</v>
      </c>
      <c r="H16" s="6" t="b">
        <v>1</v>
      </c>
      <c r="I16" s="6" t="b">
        <v>1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0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1</v>
      </c>
      <c r="AJ16" s="6" t="b">
        <v>0</v>
      </c>
      <c r="AK16" s="6" t="b">
        <v>0</v>
      </c>
      <c r="AL16" s="9" t="str">
        <f t="shared" si="1"/>
        <v>14 dari 31 (45%)</v>
      </c>
    </row>
    <row r="17" ht="22.5" customHeight="1">
      <c r="A17" s="10">
        <v>16.0</v>
      </c>
      <c r="B17" s="11"/>
      <c r="C17" s="20">
        <v>59991.0</v>
      </c>
      <c r="D17" s="12" t="s">
        <v>63</v>
      </c>
      <c r="E17" s="12" t="s">
        <v>87</v>
      </c>
      <c r="F17" s="13"/>
      <c r="G17" s="16" t="b">
        <v>1</v>
      </c>
      <c r="H17" s="16" t="b">
        <v>1</v>
      </c>
      <c r="I17" s="16" t="b">
        <v>1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1</v>
      </c>
      <c r="AJ17" s="16" t="b">
        <v>0</v>
      </c>
      <c r="AK17" s="16" t="b">
        <v>0</v>
      </c>
      <c r="AL17" s="17" t="str">
        <f t="shared" si="1"/>
        <v>15 dari 31 (48%)</v>
      </c>
    </row>
    <row r="18" ht="22.5" customHeight="1">
      <c r="A18" s="2">
        <v>17.0</v>
      </c>
      <c r="B18" s="18"/>
      <c r="C18" s="22">
        <v>56766.0</v>
      </c>
      <c r="D18" s="12" t="s">
        <v>63</v>
      </c>
      <c r="E18" s="90" t="s">
        <v>115</v>
      </c>
      <c r="F18" s="13"/>
      <c r="G18" s="6" t="b">
        <v>1</v>
      </c>
      <c r="H18" s="6" t="b">
        <v>1</v>
      </c>
      <c r="I18" s="6" t="b">
        <v>1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1</v>
      </c>
      <c r="AJ18" s="6" t="b">
        <v>0</v>
      </c>
      <c r="AK18" s="6" t="b">
        <v>0</v>
      </c>
      <c r="AL18" s="9" t="str">
        <f t="shared" si="1"/>
        <v>15 dari 31 (48%)</v>
      </c>
    </row>
    <row r="19" ht="22.5" customHeight="1">
      <c r="A19" s="10">
        <v>18.0</v>
      </c>
      <c r="B19" s="11"/>
      <c r="C19" s="20">
        <v>37859.0</v>
      </c>
      <c r="D19" s="12" t="s">
        <v>63</v>
      </c>
      <c r="E19" s="12" t="s">
        <v>87</v>
      </c>
      <c r="F19" s="13"/>
      <c r="G19" s="16" t="b">
        <v>1</v>
      </c>
      <c r="H19" s="16" t="b">
        <v>1</v>
      </c>
      <c r="I19" s="16" t="b">
        <v>1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1</v>
      </c>
      <c r="AJ19" s="16" t="b">
        <v>0</v>
      </c>
      <c r="AK19" s="16" t="b">
        <v>0</v>
      </c>
      <c r="AL19" s="17" t="str">
        <f t="shared" si="1"/>
        <v>15 dari 31 (48%)</v>
      </c>
    </row>
    <row r="20" ht="22.5" customHeight="1">
      <c r="A20" s="2">
        <v>19.0</v>
      </c>
      <c r="B20" s="18"/>
      <c r="C20" s="20">
        <v>55122.0</v>
      </c>
      <c r="D20" s="12" t="s">
        <v>63</v>
      </c>
      <c r="E20" s="12" t="s">
        <v>114</v>
      </c>
      <c r="F20" s="13"/>
      <c r="G20" s="6" t="b">
        <v>1</v>
      </c>
      <c r="H20" s="6" t="b">
        <v>1</v>
      </c>
      <c r="I20" s="6" t="b">
        <v>1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1</v>
      </c>
      <c r="AJ20" s="6" t="b">
        <v>0</v>
      </c>
      <c r="AK20" s="6" t="b">
        <v>0</v>
      </c>
      <c r="AL20" s="9" t="str">
        <f t="shared" si="1"/>
        <v>15 dari 31 (48%)</v>
      </c>
    </row>
    <row r="21" ht="22.5" customHeight="1">
      <c r="A21" s="10">
        <v>20.0</v>
      </c>
      <c r="B21" s="11"/>
      <c r="C21" s="20">
        <v>34462.0</v>
      </c>
      <c r="D21" s="12" t="s">
        <v>63</v>
      </c>
      <c r="E21" s="12" t="s">
        <v>87</v>
      </c>
      <c r="F21" s="13"/>
      <c r="G21" s="16" t="b">
        <v>1</v>
      </c>
      <c r="H21" s="16" t="b">
        <v>1</v>
      </c>
      <c r="I21" s="16" t="b">
        <v>1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1</v>
      </c>
      <c r="AJ21" s="16" t="b">
        <v>0</v>
      </c>
      <c r="AK21" s="16" t="b">
        <v>0</v>
      </c>
      <c r="AL21" s="17" t="str">
        <f t="shared" si="1"/>
        <v>15 dari 31 (48%)</v>
      </c>
    </row>
    <row r="22" ht="22.5" customHeight="1">
      <c r="A22" s="2">
        <v>21.0</v>
      </c>
      <c r="B22" s="18"/>
      <c r="C22" s="20">
        <v>34658.0</v>
      </c>
      <c r="D22" s="12" t="s">
        <v>63</v>
      </c>
      <c r="E22" s="12" t="s">
        <v>64</v>
      </c>
      <c r="F22" s="13"/>
      <c r="G22" s="6" t="b">
        <v>1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1</v>
      </c>
      <c r="AJ22" s="6" t="b">
        <v>0</v>
      </c>
      <c r="AK22" s="6" t="b">
        <v>0</v>
      </c>
      <c r="AL22" s="9" t="str">
        <f t="shared" si="1"/>
        <v>15 dari 31 (48%)</v>
      </c>
    </row>
    <row r="23" ht="22.5" customHeight="1">
      <c r="A23" s="10">
        <v>22.0</v>
      </c>
      <c r="B23" s="11"/>
      <c r="C23" s="22">
        <v>50313.0</v>
      </c>
      <c r="D23" s="12" t="s">
        <v>63</v>
      </c>
      <c r="E23" s="12" t="s">
        <v>64</v>
      </c>
      <c r="F23" s="13"/>
      <c r="G23" s="16" t="b">
        <v>1</v>
      </c>
      <c r="H23" s="16" t="b">
        <v>1</v>
      </c>
      <c r="I23" s="16" t="b">
        <v>1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1</v>
      </c>
      <c r="AJ23" s="16" t="b">
        <v>0</v>
      </c>
      <c r="AK23" s="16" t="b">
        <v>0</v>
      </c>
      <c r="AL23" s="17" t="str">
        <f t="shared" si="1"/>
        <v>15 dari 31 (48%)</v>
      </c>
    </row>
    <row r="24" ht="22.5" customHeight="1">
      <c r="A24" s="36">
        <v>23.0</v>
      </c>
      <c r="B24" s="37"/>
      <c r="C24" s="66">
        <v>58042.0</v>
      </c>
      <c r="D24" s="47" t="s">
        <v>63</v>
      </c>
      <c r="E24" s="47" t="s">
        <v>64</v>
      </c>
      <c r="F24" s="48"/>
      <c r="G24" s="42" t="b">
        <v>0</v>
      </c>
      <c r="H24" s="42" t="b">
        <v>0</v>
      </c>
      <c r="I24" s="42" t="b">
        <v>0</v>
      </c>
      <c r="J24" s="42" t="b">
        <v>0</v>
      </c>
      <c r="K24" s="42" t="b">
        <v>0</v>
      </c>
      <c r="L24" s="42" t="b">
        <v>0</v>
      </c>
      <c r="M24" s="42" t="b">
        <v>0</v>
      </c>
      <c r="N24" s="42" t="b">
        <v>0</v>
      </c>
      <c r="O24" s="42" t="b">
        <v>0</v>
      </c>
      <c r="P24" s="42" t="b">
        <v>0</v>
      </c>
      <c r="Q24" s="42" t="b">
        <v>0</v>
      </c>
      <c r="R24" s="42" t="b">
        <v>0</v>
      </c>
      <c r="S24" s="42" t="b">
        <v>0</v>
      </c>
      <c r="T24" s="42" t="b">
        <v>0</v>
      </c>
      <c r="U24" s="42" t="b">
        <v>0</v>
      </c>
      <c r="V24" s="42" t="b">
        <v>0</v>
      </c>
      <c r="W24" s="42" t="b">
        <v>0</v>
      </c>
      <c r="X24" s="42" t="b">
        <v>0</v>
      </c>
      <c r="Y24" s="42" t="b">
        <v>0</v>
      </c>
      <c r="Z24" s="42" t="b">
        <v>0</v>
      </c>
      <c r="AA24" s="42" t="b">
        <v>0</v>
      </c>
      <c r="AB24" s="42" t="b">
        <v>0</v>
      </c>
      <c r="AC24" s="42" t="b">
        <v>0</v>
      </c>
      <c r="AD24" s="42" t="b">
        <v>0</v>
      </c>
      <c r="AE24" s="42" t="b">
        <v>0</v>
      </c>
      <c r="AF24" s="42" t="b">
        <v>0</v>
      </c>
      <c r="AG24" s="42" t="b">
        <v>0</v>
      </c>
      <c r="AH24" s="42" t="b">
        <v>0</v>
      </c>
      <c r="AI24" s="42" t="b">
        <v>0</v>
      </c>
      <c r="AJ24" s="42" t="b">
        <v>0</v>
      </c>
      <c r="AK24" s="42" t="b">
        <v>0</v>
      </c>
      <c r="AL24" s="43" t="str">
        <f t="shared" si="1"/>
        <v>0 dari 31 (0%)</v>
      </c>
    </row>
    <row r="25" ht="22.5" customHeight="1">
      <c r="A25" s="10">
        <v>24.0</v>
      </c>
      <c r="B25" s="11"/>
      <c r="C25" s="22">
        <v>60120.0</v>
      </c>
      <c r="D25" s="12" t="s">
        <v>63</v>
      </c>
      <c r="E25" s="12" t="s">
        <v>64</v>
      </c>
      <c r="F25" s="13"/>
      <c r="G25" s="16" t="b">
        <v>1</v>
      </c>
      <c r="H25" s="16" t="b">
        <v>1</v>
      </c>
      <c r="I25" s="16" t="b">
        <v>1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14 dari 31 (45%)</v>
      </c>
    </row>
    <row r="26" ht="22.5" customHeight="1">
      <c r="A26" s="2">
        <v>25.0</v>
      </c>
      <c r="B26" s="18"/>
      <c r="C26" s="20">
        <v>20730.0</v>
      </c>
      <c r="D26" s="12" t="s">
        <v>63</v>
      </c>
      <c r="E26" s="12" t="s">
        <v>118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1</v>
      </c>
      <c r="AJ26" s="6" t="b">
        <v>0</v>
      </c>
      <c r="AK26" s="6" t="b">
        <v>0</v>
      </c>
      <c r="AL26" s="9" t="str">
        <f t="shared" si="1"/>
        <v>15 dari 31 (48%)</v>
      </c>
    </row>
    <row r="27" ht="22.5" customHeight="1">
      <c r="A27" s="10">
        <v>26.0</v>
      </c>
      <c r="B27" s="11"/>
      <c r="C27" s="22">
        <v>10199.0</v>
      </c>
      <c r="D27" s="12" t="s">
        <v>63</v>
      </c>
      <c r="E27" s="12" t="s">
        <v>64</v>
      </c>
      <c r="F27" s="13"/>
      <c r="G27" s="16" t="b">
        <v>1</v>
      </c>
      <c r="H27" s="16" t="b">
        <v>1</v>
      </c>
      <c r="I27" s="16" t="b">
        <v>1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1</v>
      </c>
      <c r="AJ27" s="16" t="b">
        <v>0</v>
      </c>
      <c r="AK27" s="16" t="b">
        <v>0</v>
      </c>
      <c r="AL27" s="17" t="str">
        <f t="shared" si="1"/>
        <v>15 dari 31 (48%)</v>
      </c>
    </row>
    <row r="28" ht="22.5" customHeight="1">
      <c r="A28" s="36">
        <v>27.0</v>
      </c>
      <c r="B28" s="37"/>
      <c r="C28" s="46">
        <v>52091.0</v>
      </c>
      <c r="D28" s="47" t="s">
        <v>63</v>
      </c>
      <c r="E28" s="47" t="s">
        <v>64</v>
      </c>
      <c r="F28" s="48"/>
      <c r="G28" s="42" t="b">
        <v>0</v>
      </c>
      <c r="H28" s="42" t="b">
        <v>0</v>
      </c>
      <c r="I28" s="42" t="b">
        <v>0</v>
      </c>
      <c r="J28" s="42" t="b">
        <v>0</v>
      </c>
      <c r="K28" s="42" t="b">
        <v>0</v>
      </c>
      <c r="L28" s="42" t="b">
        <v>0</v>
      </c>
      <c r="M28" s="42" t="b">
        <v>0</v>
      </c>
      <c r="N28" s="42" t="b">
        <v>0</v>
      </c>
      <c r="O28" s="42" t="b">
        <v>0</v>
      </c>
      <c r="P28" s="42" t="b">
        <v>0</v>
      </c>
      <c r="Q28" s="42" t="b">
        <v>0</v>
      </c>
      <c r="R28" s="42" t="b">
        <v>0</v>
      </c>
      <c r="S28" s="42" t="b">
        <v>0</v>
      </c>
      <c r="T28" s="42" t="b">
        <v>0</v>
      </c>
      <c r="U28" s="42" t="b">
        <v>0</v>
      </c>
      <c r="V28" s="42" t="b">
        <v>0</v>
      </c>
      <c r="W28" s="42" t="b">
        <v>0</v>
      </c>
      <c r="X28" s="42" t="b">
        <v>0</v>
      </c>
      <c r="Y28" s="42" t="b">
        <v>0</v>
      </c>
      <c r="Z28" s="42" t="b">
        <v>0</v>
      </c>
      <c r="AA28" s="42" t="b">
        <v>0</v>
      </c>
      <c r="AB28" s="42" t="b">
        <v>0</v>
      </c>
      <c r="AC28" s="42" t="b">
        <v>0</v>
      </c>
      <c r="AD28" s="42" t="b">
        <v>0</v>
      </c>
      <c r="AE28" s="42" t="b">
        <v>0</v>
      </c>
      <c r="AF28" s="42" t="b">
        <v>0</v>
      </c>
      <c r="AG28" s="42" t="b">
        <v>0</v>
      </c>
      <c r="AH28" s="42" t="b">
        <v>0</v>
      </c>
      <c r="AI28" s="42" t="b">
        <v>0</v>
      </c>
      <c r="AJ28" s="42" t="b">
        <v>0</v>
      </c>
      <c r="AK28" s="42" t="b">
        <v>0</v>
      </c>
      <c r="AL28" s="43" t="str">
        <f t="shared" si="1"/>
        <v>0 dari 31 (0%)</v>
      </c>
    </row>
    <row r="29" ht="22.5" customHeight="1">
      <c r="A29" s="10">
        <v>28.0</v>
      </c>
      <c r="B29" s="11"/>
      <c r="C29" s="22">
        <v>59811.0</v>
      </c>
      <c r="D29" s="12" t="s">
        <v>63</v>
      </c>
      <c r="E29" s="12" t="s">
        <v>64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1</v>
      </c>
      <c r="AJ29" s="16" t="b">
        <v>0</v>
      </c>
      <c r="AK29" s="16" t="b">
        <v>0</v>
      </c>
      <c r="AL29" s="17" t="str">
        <f t="shared" si="1"/>
        <v>15 dari 31 (48%)</v>
      </c>
    </row>
    <row r="30" ht="22.5" customHeight="1">
      <c r="A30" s="2">
        <v>29.0</v>
      </c>
      <c r="B30" s="18"/>
      <c r="C30" s="22">
        <v>60804.0</v>
      </c>
      <c r="D30" s="12" t="s">
        <v>63</v>
      </c>
      <c r="E30" s="12" t="s">
        <v>64</v>
      </c>
      <c r="F30" s="13"/>
      <c r="G30" s="6" t="b">
        <v>1</v>
      </c>
      <c r="H30" s="6" t="b">
        <v>1</v>
      </c>
      <c r="I30" s="6" t="b">
        <v>1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1</v>
      </c>
      <c r="AJ30" s="6" t="b">
        <v>0</v>
      </c>
      <c r="AK30" s="6" t="b">
        <v>0</v>
      </c>
      <c r="AL30" s="9" t="str">
        <f t="shared" si="1"/>
        <v>15 dari 31 (48%)</v>
      </c>
    </row>
    <row r="31" ht="22.5" customHeight="1">
      <c r="A31" s="10">
        <v>30.0</v>
      </c>
      <c r="B31" s="11"/>
      <c r="C31" s="22">
        <v>60497.0</v>
      </c>
      <c r="D31" s="12" t="s">
        <v>63</v>
      </c>
      <c r="E31" s="12" t="s">
        <v>64</v>
      </c>
      <c r="F31" s="13"/>
      <c r="G31" s="16" t="b">
        <v>1</v>
      </c>
      <c r="H31" s="16" t="b">
        <v>1</v>
      </c>
      <c r="I31" s="16" t="b">
        <v>1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15 dari 31 (48%)</v>
      </c>
    </row>
    <row r="32" ht="22.5" customHeight="1">
      <c r="A32" s="2">
        <v>31.0</v>
      </c>
      <c r="B32" s="18"/>
      <c r="C32" s="20">
        <v>60505.0</v>
      </c>
      <c r="D32" s="12" t="s">
        <v>63</v>
      </c>
      <c r="E32" s="12" t="s">
        <v>64</v>
      </c>
      <c r="F32" s="13"/>
      <c r="G32" s="6" t="b">
        <v>1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14 dari 31 (45%)</v>
      </c>
    </row>
    <row r="33" ht="22.5" customHeight="1">
      <c r="A33" s="93">
        <v>32.0</v>
      </c>
      <c r="B33" s="94"/>
      <c r="C33" s="95">
        <v>57942.0</v>
      </c>
      <c r="D33" s="96" t="s">
        <v>63</v>
      </c>
      <c r="E33" s="96" t="s">
        <v>64</v>
      </c>
      <c r="F33" s="97"/>
      <c r="G33" s="98" t="b">
        <v>0</v>
      </c>
      <c r="H33" s="98" t="b">
        <v>0</v>
      </c>
      <c r="I33" s="98" t="b">
        <v>0</v>
      </c>
      <c r="J33" s="98" t="b">
        <v>0</v>
      </c>
      <c r="K33" s="98" t="b">
        <v>0</v>
      </c>
      <c r="L33" s="98" t="b">
        <v>0</v>
      </c>
      <c r="M33" s="98" t="b">
        <v>0</v>
      </c>
      <c r="N33" s="98" t="b">
        <v>0</v>
      </c>
      <c r="O33" s="98" t="b">
        <v>0</v>
      </c>
      <c r="P33" s="98" t="b">
        <v>0</v>
      </c>
      <c r="Q33" s="98" t="b">
        <v>0</v>
      </c>
      <c r="R33" s="98" t="b">
        <v>0</v>
      </c>
      <c r="S33" s="98" t="b">
        <v>0</v>
      </c>
      <c r="T33" s="98" t="b">
        <v>0</v>
      </c>
      <c r="U33" s="98" t="b">
        <v>0</v>
      </c>
      <c r="V33" s="98" t="b">
        <v>0</v>
      </c>
      <c r="W33" s="98" t="b">
        <v>0</v>
      </c>
      <c r="X33" s="98" t="b">
        <v>0</v>
      </c>
      <c r="Y33" s="98" t="b">
        <v>0</v>
      </c>
      <c r="Z33" s="98" t="b">
        <v>0</v>
      </c>
      <c r="AA33" s="98" t="b">
        <v>0</v>
      </c>
      <c r="AB33" s="98" t="b">
        <v>0</v>
      </c>
      <c r="AC33" s="98" t="b">
        <v>0</v>
      </c>
      <c r="AD33" s="98" t="b">
        <v>0</v>
      </c>
      <c r="AE33" s="98" t="b">
        <v>0</v>
      </c>
      <c r="AF33" s="98" t="b">
        <v>0</v>
      </c>
      <c r="AG33" s="98" t="b">
        <v>0</v>
      </c>
      <c r="AH33" s="98" t="b">
        <v>0</v>
      </c>
      <c r="AI33" s="98" t="b">
        <v>0</v>
      </c>
      <c r="AJ33" s="98" t="b">
        <v>0</v>
      </c>
      <c r="AK33" s="98" t="b">
        <v>0</v>
      </c>
      <c r="AL33" s="99" t="str">
        <f t="shared" si="1"/>
        <v>0 dari 31 (0%)</v>
      </c>
    </row>
    <row r="34" ht="22.5" customHeight="1">
      <c r="A34" s="2">
        <v>33.0</v>
      </c>
      <c r="B34" s="18"/>
      <c r="C34" s="22">
        <v>57036.0</v>
      </c>
      <c r="D34" s="12" t="s">
        <v>63</v>
      </c>
      <c r="E34" s="12" t="s">
        <v>64</v>
      </c>
      <c r="F34" s="13"/>
      <c r="G34" s="6" t="b">
        <v>1</v>
      </c>
      <c r="H34" s="6" t="b">
        <v>1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1"/>
        <v>15 dari 31 (48%)</v>
      </c>
    </row>
    <row r="35" ht="22.5" customHeight="1">
      <c r="A35" s="10">
        <v>34.0</v>
      </c>
      <c r="B35" s="11"/>
      <c r="C35" s="22">
        <v>60079.0</v>
      </c>
      <c r="D35" s="12" t="s">
        <v>63</v>
      </c>
      <c r="E35" s="12" t="s">
        <v>64</v>
      </c>
      <c r="F35" s="14" t="s">
        <v>50</v>
      </c>
      <c r="G35" s="16" t="b">
        <v>1</v>
      </c>
      <c r="H35" s="16" t="b">
        <v>0</v>
      </c>
      <c r="I35" s="16" t="b">
        <v>0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7" t="str">
        <f t="shared" si="1"/>
        <v>11 dari 31 (35%)</v>
      </c>
    </row>
    <row r="36" ht="22.5" customHeight="1">
      <c r="A36" s="2">
        <v>35.0</v>
      </c>
      <c r="B36" s="18"/>
      <c r="C36" s="22">
        <v>33599.0</v>
      </c>
      <c r="D36" s="12" t="s">
        <v>63</v>
      </c>
      <c r="E36" s="12" t="s">
        <v>64</v>
      </c>
      <c r="F36" s="13"/>
      <c r="G36" s="6" t="b">
        <v>1</v>
      </c>
      <c r="H36" s="6" t="b">
        <v>1</v>
      </c>
      <c r="I36" s="6" t="b">
        <v>1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0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14 dari 31 (45%)</v>
      </c>
    </row>
    <row r="37" ht="22.5" customHeight="1">
      <c r="A37" s="10">
        <v>36.0</v>
      </c>
      <c r="B37" s="11"/>
      <c r="C37" s="22">
        <v>59704.0</v>
      </c>
      <c r="D37" s="12" t="s">
        <v>63</v>
      </c>
      <c r="E37" s="12" t="s">
        <v>64</v>
      </c>
      <c r="F37" s="13"/>
      <c r="G37" s="16" t="b">
        <v>1</v>
      </c>
      <c r="H37" s="16" t="b">
        <v>1</v>
      </c>
      <c r="I37" s="16" t="b">
        <v>1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15 dari 31 (48%)</v>
      </c>
    </row>
    <row r="38" ht="22.5" customHeight="1">
      <c r="A38" s="36">
        <v>37.0</v>
      </c>
      <c r="B38" s="37"/>
      <c r="C38" s="46">
        <v>50958.0</v>
      </c>
      <c r="D38" s="47" t="s">
        <v>63</v>
      </c>
      <c r="E38" s="47" t="s">
        <v>64</v>
      </c>
      <c r="F38" s="48"/>
      <c r="G38" s="42" t="b">
        <v>0</v>
      </c>
      <c r="H38" s="42" t="b">
        <v>0</v>
      </c>
      <c r="I38" s="42" t="b">
        <v>0</v>
      </c>
      <c r="J38" s="42" t="b">
        <v>0</v>
      </c>
      <c r="K38" s="42" t="b">
        <v>0</v>
      </c>
      <c r="L38" s="42" t="b">
        <v>0</v>
      </c>
      <c r="M38" s="42" t="b">
        <v>0</v>
      </c>
      <c r="N38" s="42" t="b">
        <v>0</v>
      </c>
      <c r="O38" s="42" t="b">
        <v>0</v>
      </c>
      <c r="P38" s="42" t="b">
        <v>0</v>
      </c>
      <c r="Q38" s="42" t="b">
        <v>0</v>
      </c>
      <c r="R38" s="42" t="b">
        <v>0</v>
      </c>
      <c r="S38" s="42" t="b">
        <v>0</v>
      </c>
      <c r="T38" s="42" t="b">
        <v>0</v>
      </c>
      <c r="U38" s="42" t="b">
        <v>0</v>
      </c>
      <c r="V38" s="42" t="b">
        <v>0</v>
      </c>
      <c r="W38" s="42" t="b">
        <v>0</v>
      </c>
      <c r="X38" s="42" t="b">
        <v>0</v>
      </c>
      <c r="Y38" s="42" t="b">
        <v>0</v>
      </c>
      <c r="Z38" s="42" t="b">
        <v>0</v>
      </c>
      <c r="AA38" s="42" t="b">
        <v>0</v>
      </c>
      <c r="AB38" s="42" t="b">
        <v>0</v>
      </c>
      <c r="AC38" s="42" t="b">
        <v>0</v>
      </c>
      <c r="AD38" s="42" t="b">
        <v>0</v>
      </c>
      <c r="AE38" s="42" t="b">
        <v>0</v>
      </c>
      <c r="AF38" s="42" t="b">
        <v>0</v>
      </c>
      <c r="AG38" s="42" t="b">
        <v>0</v>
      </c>
      <c r="AH38" s="42" t="b">
        <v>0</v>
      </c>
      <c r="AI38" s="42" t="b">
        <v>0</v>
      </c>
      <c r="AJ38" s="42" t="b">
        <v>0</v>
      </c>
      <c r="AK38" s="42" t="b">
        <v>0</v>
      </c>
      <c r="AL38" s="43" t="str">
        <f t="shared" si="1"/>
        <v>0 dari 31 (0%)</v>
      </c>
    </row>
    <row r="39" ht="22.5" customHeight="1">
      <c r="A39" s="10">
        <v>38.0</v>
      </c>
      <c r="B39" s="11"/>
      <c r="C39" s="22">
        <v>60960.0</v>
      </c>
      <c r="D39" s="12" t="s">
        <v>63</v>
      </c>
      <c r="E39" s="12" t="s">
        <v>64</v>
      </c>
      <c r="F39" s="15" t="s">
        <v>50</v>
      </c>
      <c r="G39" s="16" t="b">
        <v>1</v>
      </c>
      <c r="H39" s="16" t="b">
        <v>0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0</v>
      </c>
      <c r="O39" s="16" t="b">
        <v>0</v>
      </c>
      <c r="P39" s="16" t="b">
        <v>0</v>
      </c>
      <c r="Q39" s="16" t="b">
        <v>0</v>
      </c>
      <c r="R39" s="16" t="b">
        <v>0</v>
      </c>
      <c r="S39" s="16" t="b">
        <v>0</v>
      </c>
      <c r="T39" s="16" t="b">
        <v>1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2 dari 31 (6%)</v>
      </c>
    </row>
    <row r="40" ht="22.5" customHeight="1">
      <c r="A40" s="2">
        <v>39.0</v>
      </c>
      <c r="B40" s="18"/>
      <c r="C40" s="22">
        <v>46894.0</v>
      </c>
      <c r="D40" s="12" t="s">
        <v>63</v>
      </c>
      <c r="E40" s="12" t="s">
        <v>64</v>
      </c>
      <c r="F40" s="13"/>
      <c r="G40" s="6" t="b">
        <v>1</v>
      </c>
      <c r="H40" s="6" t="b">
        <v>1</v>
      </c>
      <c r="I40" s="6" t="b">
        <v>1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1</v>
      </c>
      <c r="U40" s="6" t="b">
        <v>0</v>
      </c>
      <c r="V40" s="6" t="b">
        <v>0</v>
      </c>
      <c r="W40" s="6" t="b">
        <v>1</v>
      </c>
      <c r="X40" s="6" t="b">
        <v>1</v>
      </c>
      <c r="Y40" s="6" t="b">
        <v>1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18 dari 31 (58%)</v>
      </c>
    </row>
    <row r="41" ht="22.5" customHeight="1">
      <c r="A41" s="10">
        <v>40.0</v>
      </c>
      <c r="B41" s="11"/>
      <c r="C41" s="22">
        <v>54334.0</v>
      </c>
      <c r="D41" s="12" t="s">
        <v>63</v>
      </c>
      <c r="E41" s="12" t="s">
        <v>64</v>
      </c>
      <c r="F41" s="13"/>
      <c r="G41" s="16" t="b">
        <v>1</v>
      </c>
      <c r="H41" s="16" t="b">
        <v>1</v>
      </c>
      <c r="I41" s="16" t="b">
        <v>1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7" t="str">
        <f t="shared" si="1"/>
        <v>14 dari 31 (45%)</v>
      </c>
    </row>
    <row r="42" ht="22.5" customHeight="1">
      <c r="A42" s="2">
        <v>41.0</v>
      </c>
      <c r="B42" s="18"/>
      <c r="C42" s="22">
        <v>60956.0</v>
      </c>
      <c r="D42" s="12" t="s">
        <v>120</v>
      </c>
      <c r="E42" s="12" t="s">
        <v>64</v>
      </c>
      <c r="F42" s="13"/>
      <c r="G42" s="6" t="b">
        <v>1</v>
      </c>
      <c r="H42" s="6" t="b">
        <v>1</v>
      </c>
      <c r="I42" s="6" t="b">
        <v>1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1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1</v>
      </c>
      <c r="AJ42" s="6" t="b">
        <v>0</v>
      </c>
      <c r="AK42" s="6" t="b">
        <v>0</v>
      </c>
      <c r="AL42" s="9" t="str">
        <f t="shared" si="1"/>
        <v>15 dari 31 (48%)</v>
      </c>
    </row>
    <row r="43" ht="22.5" customHeight="1">
      <c r="A43" s="44">
        <v>42.0</v>
      </c>
      <c r="B43" s="45"/>
      <c r="C43" s="66">
        <v>57335.0</v>
      </c>
      <c r="D43" s="47" t="s">
        <v>63</v>
      </c>
      <c r="E43" s="47" t="s">
        <v>64</v>
      </c>
      <c r="F43" s="48"/>
      <c r="G43" s="49" t="b">
        <v>0</v>
      </c>
      <c r="H43" s="49" t="b">
        <v>0</v>
      </c>
      <c r="I43" s="49" t="b">
        <v>0</v>
      </c>
      <c r="J43" s="49" t="b">
        <v>0</v>
      </c>
      <c r="K43" s="49" t="b">
        <v>0</v>
      </c>
      <c r="L43" s="49" t="b">
        <v>0</v>
      </c>
      <c r="M43" s="49" t="b">
        <v>0</v>
      </c>
      <c r="N43" s="49" t="b">
        <v>0</v>
      </c>
      <c r="O43" s="49" t="b">
        <v>0</v>
      </c>
      <c r="P43" s="49" t="b">
        <v>0</v>
      </c>
      <c r="Q43" s="49" t="b">
        <v>0</v>
      </c>
      <c r="R43" s="49" t="b">
        <v>0</v>
      </c>
      <c r="S43" s="49" t="b">
        <v>0</v>
      </c>
      <c r="T43" s="49" t="b">
        <v>0</v>
      </c>
      <c r="U43" s="49" t="b">
        <v>0</v>
      </c>
      <c r="V43" s="49" t="b">
        <v>0</v>
      </c>
      <c r="W43" s="49" t="b">
        <v>0</v>
      </c>
      <c r="X43" s="49" t="b">
        <v>0</v>
      </c>
      <c r="Y43" s="49" t="b">
        <v>0</v>
      </c>
      <c r="Z43" s="49" t="b">
        <v>0</v>
      </c>
      <c r="AA43" s="49" t="b">
        <v>0</v>
      </c>
      <c r="AB43" s="49" t="b">
        <v>0</v>
      </c>
      <c r="AC43" s="49" t="b">
        <v>0</v>
      </c>
      <c r="AD43" s="49" t="b">
        <v>0</v>
      </c>
      <c r="AE43" s="49" t="b">
        <v>0</v>
      </c>
      <c r="AF43" s="49" t="b">
        <v>0</v>
      </c>
      <c r="AG43" s="49" t="b">
        <v>0</v>
      </c>
      <c r="AH43" s="49" t="b">
        <v>0</v>
      </c>
      <c r="AI43" s="49" t="b">
        <v>0</v>
      </c>
      <c r="AJ43" s="49" t="b">
        <v>0</v>
      </c>
      <c r="AK43" s="49" t="b">
        <v>0</v>
      </c>
      <c r="AL43" s="50" t="str">
        <f t="shared" si="1"/>
        <v>0 dari 31 (0%)</v>
      </c>
    </row>
    <row r="44" ht="22.5" customHeight="1">
      <c r="A44" s="2">
        <v>43.0</v>
      </c>
      <c r="B44" s="18"/>
      <c r="C44" s="22">
        <v>80210.0</v>
      </c>
      <c r="D44" s="12" t="s">
        <v>63</v>
      </c>
      <c r="E44" s="12" t="s">
        <v>64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14 dari 31 (45%)</v>
      </c>
    </row>
    <row r="45" ht="22.5" customHeight="1">
      <c r="A45" s="10">
        <v>44.0</v>
      </c>
      <c r="B45" s="11"/>
      <c r="C45" s="22">
        <v>58202.0</v>
      </c>
      <c r="D45" s="12" t="s">
        <v>63</v>
      </c>
      <c r="E45" s="12" t="s">
        <v>64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7" t="str">
        <f t="shared" si="1"/>
        <v>14 dari 31 (45%)</v>
      </c>
    </row>
    <row r="46" ht="22.5" customHeight="1">
      <c r="A46" s="2">
        <v>45.0</v>
      </c>
      <c r="B46" s="18"/>
      <c r="C46" s="22">
        <v>60495.0</v>
      </c>
      <c r="D46" s="12" t="s">
        <v>63</v>
      </c>
      <c r="E46" s="12" t="s">
        <v>64</v>
      </c>
      <c r="F46" s="13"/>
      <c r="G46" s="6" t="b">
        <v>1</v>
      </c>
      <c r="H46" s="6" t="b">
        <v>1</v>
      </c>
      <c r="I46" s="6" t="b">
        <v>1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1</v>
      </c>
      <c r="AJ46" s="6" t="b">
        <v>0</v>
      </c>
      <c r="AK46" s="6" t="b">
        <v>0</v>
      </c>
      <c r="AL46" s="9" t="str">
        <f t="shared" si="1"/>
        <v>15 dari 31 (48%)</v>
      </c>
    </row>
    <row r="47" ht="22.5" customHeight="1">
      <c r="A47" s="10">
        <v>46.0</v>
      </c>
      <c r="B47" s="11"/>
      <c r="C47" s="22">
        <v>60975.0</v>
      </c>
      <c r="D47" s="12" t="s">
        <v>63</v>
      </c>
      <c r="E47" s="12" t="s">
        <v>64</v>
      </c>
      <c r="F47" s="14" t="s">
        <v>50</v>
      </c>
      <c r="G47" s="16" t="b">
        <v>1</v>
      </c>
      <c r="H47" s="16" t="b">
        <v>0</v>
      </c>
      <c r="I47" s="16" t="b">
        <v>0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1</v>
      </c>
      <c r="S47" s="16" t="b">
        <v>1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7" t="str">
        <f t="shared" si="1"/>
        <v>11 dari 31 (35%)</v>
      </c>
    </row>
    <row r="48" ht="22.5" customHeight="1">
      <c r="A48" s="10">
        <v>47.0</v>
      </c>
      <c r="B48" s="18"/>
      <c r="C48" s="22">
        <v>59460.0</v>
      </c>
      <c r="D48" s="12" t="s">
        <v>63</v>
      </c>
      <c r="E48" s="12" t="s">
        <v>64</v>
      </c>
      <c r="F48" s="13"/>
      <c r="G48" s="6" t="b">
        <v>1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1</v>
      </c>
      <c r="AJ48" s="6" t="b">
        <v>0</v>
      </c>
      <c r="AK48" s="6" t="b">
        <v>0</v>
      </c>
      <c r="AL48" s="9" t="str">
        <f t="shared" si="1"/>
        <v>15 dari 31 (48%)</v>
      </c>
    </row>
    <row r="49" ht="22.5" customHeight="1">
      <c r="A49" s="2">
        <v>48.0</v>
      </c>
      <c r="B49" s="11"/>
      <c r="C49" s="22">
        <v>60670.0</v>
      </c>
      <c r="D49" s="12" t="s">
        <v>63</v>
      </c>
      <c r="E49" s="12" t="s">
        <v>64</v>
      </c>
      <c r="F49" s="13"/>
      <c r="G49" s="16" t="b">
        <v>1</v>
      </c>
      <c r="H49" s="16" t="b">
        <v>1</v>
      </c>
      <c r="I49" s="16" t="b">
        <v>1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7" t="str">
        <f t="shared" si="1"/>
        <v>14 dari 31 (45%)</v>
      </c>
    </row>
    <row r="50" ht="22.5" customHeight="1">
      <c r="A50" s="10">
        <v>49.0</v>
      </c>
      <c r="B50" s="11"/>
      <c r="C50" s="22">
        <v>60078.0</v>
      </c>
      <c r="D50" s="12" t="s">
        <v>120</v>
      </c>
      <c r="E50" s="12" t="s">
        <v>64</v>
      </c>
      <c r="F50" s="13"/>
      <c r="G50" s="6" t="b">
        <v>1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1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0</v>
      </c>
      <c r="AJ50" s="6" t="b">
        <v>0</v>
      </c>
      <c r="AK50" s="6" t="b">
        <v>0</v>
      </c>
      <c r="AL50" s="9" t="str">
        <f t="shared" si="1"/>
        <v>14 dari 31 (45%)</v>
      </c>
    </row>
    <row r="51" ht="22.5" customHeight="1">
      <c r="A51" s="10">
        <v>50.0</v>
      </c>
      <c r="B51" s="11"/>
      <c r="C51" s="22">
        <v>52650.0</v>
      </c>
      <c r="D51" s="12" t="s">
        <v>63</v>
      </c>
      <c r="E51" s="12" t="s">
        <v>64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14 dari 31 (45%)</v>
      </c>
    </row>
    <row r="52" ht="22.5" customHeight="1">
      <c r="A52" s="2">
        <v>51.0</v>
      </c>
      <c r="B52" s="11"/>
      <c r="C52" s="22">
        <v>61090.0</v>
      </c>
      <c r="D52" s="12" t="s">
        <v>39</v>
      </c>
      <c r="E52" s="12" t="s">
        <v>42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15 dari 31 (48%)</v>
      </c>
    </row>
    <row r="53" ht="22.5" customHeight="1">
      <c r="A53" s="10">
        <v>52.0</v>
      </c>
      <c r="B53" s="11"/>
      <c r="C53" s="22">
        <v>60805.0</v>
      </c>
      <c r="D53" s="12" t="s">
        <v>63</v>
      </c>
      <c r="E53" s="12" t="s">
        <v>64</v>
      </c>
      <c r="F53" s="13"/>
      <c r="G53" s="6" t="b">
        <v>1</v>
      </c>
      <c r="H53" s="6" t="b">
        <v>1</v>
      </c>
      <c r="I53" s="6" t="b">
        <v>1</v>
      </c>
      <c r="J53" s="6" t="b">
        <v>1</v>
      </c>
      <c r="K53" s="6" t="b">
        <v>1</v>
      </c>
      <c r="L53" s="6" t="b">
        <v>1</v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b">
        <v>1</v>
      </c>
      <c r="T53" s="6" t="b">
        <v>1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14 dari 31 (45%)</v>
      </c>
    </row>
    <row r="54" ht="22.5" customHeight="1">
      <c r="A54" s="10">
        <v>53.0</v>
      </c>
      <c r="B54" s="11"/>
      <c r="C54" s="22">
        <v>50200.0</v>
      </c>
      <c r="D54" s="12" t="s">
        <v>63</v>
      </c>
      <c r="E54" s="12" t="s">
        <v>64</v>
      </c>
      <c r="F54" s="13"/>
      <c r="G54" s="6" t="b">
        <v>1</v>
      </c>
      <c r="H54" s="6" t="b">
        <v>1</v>
      </c>
      <c r="I54" s="6" t="b">
        <v>1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15 dari 31 (48%)</v>
      </c>
    </row>
    <row r="55" ht="22.5" customHeight="1">
      <c r="A55" s="2">
        <v>54.0</v>
      </c>
      <c r="B55" s="11"/>
      <c r="C55" s="22">
        <v>56728.0</v>
      </c>
      <c r="D55" s="12" t="s">
        <v>63</v>
      </c>
      <c r="E55" s="12" t="s">
        <v>87</v>
      </c>
      <c r="F55" s="15" t="s">
        <v>50</v>
      </c>
      <c r="G55" s="6" t="b">
        <v>1</v>
      </c>
      <c r="H55" s="6" t="b">
        <v>0</v>
      </c>
      <c r="I55" s="6" t="b">
        <v>0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1</v>
      </c>
      <c r="AJ55" s="6" t="b">
        <v>0</v>
      </c>
      <c r="AK55" s="6" t="b">
        <v>0</v>
      </c>
      <c r="AL55" s="9" t="str">
        <f t="shared" si="1"/>
        <v>12 dari 31 (39%)</v>
      </c>
    </row>
    <row r="56" ht="22.5" customHeight="1">
      <c r="A56" s="10">
        <v>55.0</v>
      </c>
      <c r="B56" s="11"/>
      <c r="C56" s="22">
        <v>60809.0</v>
      </c>
      <c r="D56" s="12" t="s">
        <v>63</v>
      </c>
      <c r="E56" s="12" t="s">
        <v>87</v>
      </c>
      <c r="F56" s="15" t="s">
        <v>50</v>
      </c>
      <c r="G56" s="6" t="b">
        <v>1</v>
      </c>
      <c r="H56" s="6" t="b">
        <v>0</v>
      </c>
      <c r="I56" s="6" t="b">
        <v>0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0</v>
      </c>
      <c r="S56" s="6" t="b">
        <v>1</v>
      </c>
      <c r="T56" s="6" t="b">
        <v>0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1"/>
        <v>11 dari 31 (35%)</v>
      </c>
    </row>
    <row r="57" ht="22.5" customHeight="1">
      <c r="A57" s="10">
        <v>56.0</v>
      </c>
      <c r="B57" s="11"/>
      <c r="C57" s="22">
        <v>60291.0</v>
      </c>
      <c r="D57" s="12" t="s">
        <v>63</v>
      </c>
      <c r="E57" s="12" t="s">
        <v>112</v>
      </c>
      <c r="F57" s="13"/>
      <c r="G57" s="6" t="b">
        <v>1</v>
      </c>
      <c r="H57" s="6" t="b">
        <v>1</v>
      </c>
      <c r="I57" s="6" t="b">
        <v>1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1</v>
      </c>
      <c r="AJ57" s="6" t="b">
        <v>0</v>
      </c>
      <c r="AK57" s="6" t="b">
        <v>0</v>
      </c>
      <c r="AL57" s="17" t="str">
        <f t="shared" si="1"/>
        <v>15 dari 31 (48%)</v>
      </c>
    </row>
    <row r="58" ht="22.5" customHeight="1">
      <c r="A58" s="2">
        <v>57.0</v>
      </c>
      <c r="B58" s="11"/>
      <c r="C58" s="22">
        <v>59373.0</v>
      </c>
      <c r="D58" s="12" t="s">
        <v>63</v>
      </c>
      <c r="E58" s="12" t="s">
        <v>87</v>
      </c>
      <c r="F58" s="13"/>
      <c r="G58" s="6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0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1"/>
        <v>14 dari 31 (45%)</v>
      </c>
    </row>
    <row r="59" ht="22.5" customHeight="1">
      <c r="A59" s="10">
        <v>58.0</v>
      </c>
      <c r="B59" s="11"/>
      <c r="C59" s="22">
        <v>59833.0</v>
      </c>
      <c r="D59" s="12" t="s">
        <v>63</v>
      </c>
      <c r="E59" s="12" t="s">
        <v>87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1</v>
      </c>
      <c r="AJ59" s="6" t="b">
        <v>0</v>
      </c>
      <c r="AK59" s="6" t="b">
        <v>0</v>
      </c>
      <c r="AL59" s="9" t="str">
        <f t="shared" si="1"/>
        <v>15 dari 31 (48%)</v>
      </c>
    </row>
    <row r="60" ht="22.5" customHeight="1">
      <c r="A60" s="44">
        <v>59.0</v>
      </c>
      <c r="B60" s="45"/>
      <c r="C60" s="46">
        <v>25647.0</v>
      </c>
      <c r="D60" s="47" t="s">
        <v>63</v>
      </c>
      <c r="E60" s="47" t="s">
        <v>123</v>
      </c>
      <c r="F60" s="48"/>
      <c r="G60" s="42" t="b">
        <v>0</v>
      </c>
      <c r="H60" s="42" t="b">
        <v>0</v>
      </c>
      <c r="I60" s="42" t="b">
        <v>0</v>
      </c>
      <c r="J60" s="42" t="b">
        <v>0</v>
      </c>
      <c r="K60" s="42" t="b">
        <v>0</v>
      </c>
      <c r="L60" s="42" t="b">
        <v>0</v>
      </c>
      <c r="M60" s="42" t="b">
        <v>0</v>
      </c>
      <c r="N60" s="42" t="b">
        <v>0</v>
      </c>
      <c r="O60" s="42" t="b">
        <v>0</v>
      </c>
      <c r="P60" s="42" t="b">
        <v>0</v>
      </c>
      <c r="Q60" s="42" t="b">
        <v>0</v>
      </c>
      <c r="R60" s="42" t="b">
        <v>0</v>
      </c>
      <c r="S60" s="42" t="b">
        <v>0</v>
      </c>
      <c r="T60" s="42" t="b">
        <v>0</v>
      </c>
      <c r="U60" s="42" t="b">
        <v>0</v>
      </c>
      <c r="V60" s="42" t="b">
        <v>0</v>
      </c>
      <c r="W60" s="42" t="b">
        <v>0</v>
      </c>
      <c r="X60" s="42" t="b">
        <v>0</v>
      </c>
      <c r="Y60" s="42" t="b">
        <v>0</v>
      </c>
      <c r="Z60" s="42" t="b">
        <v>0</v>
      </c>
      <c r="AA60" s="42" t="b">
        <v>0</v>
      </c>
      <c r="AB60" s="42" t="b">
        <v>0</v>
      </c>
      <c r="AC60" s="42" t="b">
        <v>0</v>
      </c>
      <c r="AD60" s="42" t="b">
        <v>0</v>
      </c>
      <c r="AE60" s="42" t="b">
        <v>0</v>
      </c>
      <c r="AF60" s="42" t="b">
        <v>0</v>
      </c>
      <c r="AG60" s="42" t="b">
        <v>0</v>
      </c>
      <c r="AH60" s="42" t="b">
        <v>0</v>
      </c>
      <c r="AI60" s="42" t="b">
        <v>0</v>
      </c>
      <c r="AJ60" s="42" t="b">
        <v>0</v>
      </c>
      <c r="AK60" s="42" t="b">
        <v>0</v>
      </c>
      <c r="AL60" s="50" t="str">
        <f t="shared" si="1"/>
        <v>0 dari 31 (0%)</v>
      </c>
    </row>
    <row r="61" ht="22.5" customHeight="1">
      <c r="A61" s="2">
        <v>60.0</v>
      </c>
      <c r="B61" s="11"/>
      <c r="C61" s="22">
        <v>31608.0</v>
      </c>
      <c r="D61" s="12" t="s">
        <v>63</v>
      </c>
      <c r="E61" s="12" t="s">
        <v>123</v>
      </c>
      <c r="F61" s="13"/>
      <c r="G61" s="6" t="b">
        <v>1</v>
      </c>
      <c r="H61" s="6" t="b">
        <v>1</v>
      </c>
      <c r="I61" s="6" t="b">
        <v>1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0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1</v>
      </c>
      <c r="AJ61" s="6" t="b">
        <v>0</v>
      </c>
      <c r="AK61" s="6" t="b">
        <v>0</v>
      </c>
      <c r="AL61" s="9" t="str">
        <f t="shared" si="1"/>
        <v>14 dari 31 (45%)</v>
      </c>
    </row>
    <row r="62" ht="22.5" customHeight="1">
      <c r="A62" s="10">
        <v>61.0</v>
      </c>
      <c r="B62" s="11"/>
      <c r="C62" s="20">
        <v>60677.0</v>
      </c>
      <c r="D62" s="12" t="s">
        <v>63</v>
      </c>
      <c r="E62" s="12" t="s">
        <v>87</v>
      </c>
      <c r="F62" s="13"/>
      <c r="G62" s="6" t="b">
        <v>1</v>
      </c>
      <c r="H62" s="6" t="b">
        <v>1</v>
      </c>
      <c r="I62" s="6" t="b">
        <v>1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1</v>
      </c>
      <c r="AJ62" s="6" t="b">
        <v>0</v>
      </c>
      <c r="AK62" s="6" t="b">
        <v>0</v>
      </c>
      <c r="AL62" s="9" t="str">
        <f t="shared" si="1"/>
        <v>15 dari 31 (48%)</v>
      </c>
    </row>
    <row r="63" ht="22.5" customHeight="1">
      <c r="A63" s="10">
        <v>62.0</v>
      </c>
      <c r="B63" s="11"/>
      <c r="C63" s="20">
        <v>80501.0</v>
      </c>
      <c r="D63" s="12" t="s">
        <v>63</v>
      </c>
      <c r="E63" s="12" t="s">
        <v>87</v>
      </c>
      <c r="F63" s="13"/>
      <c r="G63" s="6" t="b">
        <v>1</v>
      </c>
      <c r="H63" s="6" t="b">
        <v>1</v>
      </c>
      <c r="I63" s="6" t="b">
        <v>1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1</v>
      </c>
      <c r="AJ63" s="6" t="b">
        <v>0</v>
      </c>
      <c r="AK63" s="6" t="b">
        <v>0</v>
      </c>
      <c r="AL63" s="17" t="str">
        <f t="shared" si="1"/>
        <v>15 dari 31 (48%)</v>
      </c>
    </row>
    <row r="64" ht="22.5" customHeight="1">
      <c r="A64" s="2">
        <v>63.0</v>
      </c>
      <c r="B64" s="11"/>
      <c r="C64" s="20">
        <v>59054.0</v>
      </c>
      <c r="D64" s="12" t="s">
        <v>39</v>
      </c>
      <c r="E64" s="12" t="s">
        <v>42</v>
      </c>
      <c r="F64" s="13"/>
      <c r="G64" s="6" t="b">
        <v>1</v>
      </c>
      <c r="H64" s="6" t="b">
        <v>1</v>
      </c>
      <c r="I64" s="6" t="b">
        <v>1</v>
      </c>
      <c r="J64" s="6" t="b">
        <v>0</v>
      </c>
      <c r="K64" s="6" t="b">
        <v>0</v>
      </c>
      <c r="L64" s="6" t="b">
        <v>0</v>
      </c>
      <c r="M64" s="6" t="b">
        <v>0</v>
      </c>
      <c r="N64" s="6" t="b">
        <v>0</v>
      </c>
      <c r="O64" s="6" t="b">
        <v>0</v>
      </c>
      <c r="P64" s="6" t="b">
        <v>0</v>
      </c>
      <c r="Q64" s="6" t="b">
        <v>1</v>
      </c>
      <c r="R64" s="6" t="b">
        <v>1</v>
      </c>
      <c r="S64" s="6" t="b">
        <v>1</v>
      </c>
      <c r="T64" s="6" t="b">
        <v>1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1</v>
      </c>
      <c r="AA64" s="6" t="b">
        <v>1</v>
      </c>
      <c r="AB64" s="6" t="b">
        <v>1</v>
      </c>
      <c r="AC64" s="6" t="b">
        <v>1</v>
      </c>
      <c r="AD64" s="6" t="b">
        <v>1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1"/>
        <v>12 dari 31 (39%)</v>
      </c>
    </row>
    <row r="65" ht="22.5" customHeight="1">
      <c r="A65" s="10">
        <v>64.0</v>
      </c>
      <c r="B65" s="11"/>
      <c r="C65" s="20">
        <v>80520.0</v>
      </c>
      <c r="D65" s="12" t="s">
        <v>39</v>
      </c>
      <c r="E65" s="12" t="s">
        <v>127</v>
      </c>
      <c r="F65" s="13"/>
      <c r="G65" s="6" t="b">
        <v>1</v>
      </c>
      <c r="H65" s="6" t="b">
        <v>1</v>
      </c>
      <c r="I65" s="6" t="b">
        <v>0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1</v>
      </c>
      <c r="U65" s="6" t="b">
        <v>0</v>
      </c>
      <c r="V65" s="6" t="b">
        <v>0</v>
      </c>
      <c r="W65" s="6" t="b">
        <v>1</v>
      </c>
      <c r="X65" s="6" t="b">
        <v>1</v>
      </c>
      <c r="Y65" s="6" t="b">
        <v>1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1</v>
      </c>
      <c r="AJ65" s="6" t="b">
        <v>0</v>
      </c>
      <c r="AK65" s="6" t="b">
        <v>0</v>
      </c>
      <c r="AL65" s="9" t="str">
        <f t="shared" si="1"/>
        <v>17 dari 31 (55%)</v>
      </c>
    </row>
    <row r="66" ht="22.5" customHeight="1">
      <c r="A66" s="10">
        <v>65.0</v>
      </c>
      <c r="B66" s="11"/>
      <c r="C66" s="22">
        <v>60942.0</v>
      </c>
      <c r="D66" s="12" t="s">
        <v>39</v>
      </c>
      <c r="E66" s="12" t="s">
        <v>42</v>
      </c>
      <c r="F66" s="13"/>
      <c r="G66" s="6" t="b">
        <v>1</v>
      </c>
      <c r="H66" s="6" t="b">
        <v>1</v>
      </c>
      <c r="I66" s="6" t="b">
        <v>0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14 dari 31 (45%)</v>
      </c>
    </row>
    <row r="67" ht="22.5" customHeight="1">
      <c r="A67" s="2">
        <v>66.0</v>
      </c>
      <c r="B67" s="11"/>
      <c r="C67" s="22">
        <v>38890.0</v>
      </c>
      <c r="D67" s="12" t="s">
        <v>39</v>
      </c>
      <c r="E67" s="12" t="s">
        <v>42</v>
      </c>
      <c r="F67" s="13"/>
      <c r="G67" s="6" t="b">
        <v>1</v>
      </c>
      <c r="H67" s="6" t="b">
        <v>1</v>
      </c>
      <c r="I67" s="6" t="b">
        <v>0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1"/>
        <v>13 dari 31 (42%)</v>
      </c>
    </row>
    <row r="68" ht="22.5" customHeight="1">
      <c r="A68" s="10">
        <v>67.0</v>
      </c>
      <c r="B68" s="11"/>
      <c r="C68" s="22">
        <v>60088.0</v>
      </c>
      <c r="D68" s="12" t="s">
        <v>39</v>
      </c>
      <c r="E68" s="12" t="s">
        <v>42</v>
      </c>
      <c r="F68" s="13"/>
      <c r="G68" s="6" t="b">
        <v>1</v>
      </c>
      <c r="H68" s="6" t="b">
        <v>1</v>
      </c>
      <c r="I68" s="6" t="b">
        <v>0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13 dari 31 (42%)</v>
      </c>
    </row>
    <row r="69" ht="22.5" customHeight="1">
      <c r="A69" s="10">
        <v>68.0</v>
      </c>
      <c r="B69" s="11"/>
      <c r="C69" s="22">
        <v>60933.0</v>
      </c>
      <c r="D69" s="12" t="s">
        <v>39</v>
      </c>
      <c r="E69" s="12" t="s">
        <v>129</v>
      </c>
      <c r="F69" s="13"/>
      <c r="G69" s="6" t="b">
        <v>1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1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0</v>
      </c>
      <c r="AL69" s="17" t="str">
        <f t="shared" si="1"/>
        <v>15 dari 31 (48%)</v>
      </c>
    </row>
    <row r="70" ht="22.5" customHeight="1">
      <c r="A70" s="2">
        <v>69.0</v>
      </c>
      <c r="B70" s="11"/>
      <c r="C70" s="22">
        <v>60928.0</v>
      </c>
      <c r="D70" s="12" t="s">
        <v>39</v>
      </c>
      <c r="E70" s="12" t="s">
        <v>129</v>
      </c>
      <c r="F70" s="13"/>
      <c r="G70" s="6" t="b">
        <v>1</v>
      </c>
      <c r="H70" s="6" t="b">
        <v>1</v>
      </c>
      <c r="I70" s="6" t="b">
        <v>1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1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1</v>
      </c>
      <c r="AJ70" s="6" t="b">
        <v>0</v>
      </c>
      <c r="AK70" s="6" t="b">
        <v>0</v>
      </c>
      <c r="AL70" s="9" t="str">
        <f t="shared" si="1"/>
        <v>15 dari 31 (48%)</v>
      </c>
    </row>
    <row r="71" ht="22.5" customHeight="1">
      <c r="A71" s="10">
        <v>70.0</v>
      </c>
      <c r="B71" s="11"/>
      <c r="C71" s="22">
        <v>44523.0</v>
      </c>
      <c r="D71" s="12" t="s">
        <v>63</v>
      </c>
      <c r="E71" s="12" t="s">
        <v>114</v>
      </c>
      <c r="F71" s="13"/>
      <c r="G71" s="6" t="b">
        <v>1</v>
      </c>
      <c r="H71" s="6" t="b">
        <v>1</v>
      </c>
      <c r="I71" s="6" t="b">
        <v>0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1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13 dari 31 (42%)</v>
      </c>
    </row>
    <row r="72" ht="22.5" customHeight="1">
      <c r="A72" s="10">
        <v>71.0</v>
      </c>
      <c r="B72" s="11"/>
      <c r="C72" s="20">
        <v>56633.0</v>
      </c>
      <c r="D72" s="12" t="s">
        <v>63</v>
      </c>
      <c r="E72" s="12" t="s">
        <v>87</v>
      </c>
      <c r="F72" s="13"/>
      <c r="G72" s="6" t="b">
        <v>1</v>
      </c>
      <c r="H72" s="6" t="b">
        <v>1</v>
      </c>
      <c r="I72" s="6" t="b">
        <v>0</v>
      </c>
      <c r="J72" s="6" t="b">
        <v>1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1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1</v>
      </c>
      <c r="AJ72" s="6" t="b">
        <v>0</v>
      </c>
      <c r="AK72" s="6" t="b">
        <v>0</v>
      </c>
      <c r="AL72" s="17" t="str">
        <f t="shared" si="1"/>
        <v>14 dari 31 (45%)</v>
      </c>
    </row>
    <row r="73" ht="22.5" customHeight="1">
      <c r="A73" s="2">
        <v>72.0</v>
      </c>
      <c r="B73" s="11"/>
      <c r="C73" s="20">
        <v>54912.0</v>
      </c>
      <c r="D73" s="12" t="s">
        <v>63</v>
      </c>
      <c r="E73" s="12" t="s">
        <v>87</v>
      </c>
      <c r="F73" s="13"/>
      <c r="G73" s="6" t="b">
        <v>1</v>
      </c>
      <c r="H73" s="6" t="b">
        <v>1</v>
      </c>
      <c r="I73" s="6" t="b">
        <v>0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1</v>
      </c>
      <c r="AJ73" s="6" t="b">
        <v>0</v>
      </c>
      <c r="AK73" s="6" t="b">
        <v>0</v>
      </c>
      <c r="AL73" s="9" t="str">
        <f t="shared" si="1"/>
        <v>14 dari 31 (45%)</v>
      </c>
    </row>
    <row r="74" ht="22.5" customHeight="1">
      <c r="A74" s="10">
        <v>73.0</v>
      </c>
      <c r="B74" s="11"/>
      <c r="C74" s="20">
        <v>60054.0</v>
      </c>
      <c r="D74" s="12" t="s">
        <v>63</v>
      </c>
      <c r="E74" s="12" t="s">
        <v>114</v>
      </c>
      <c r="F74" s="13"/>
      <c r="G74" s="6" t="b">
        <v>1</v>
      </c>
      <c r="H74" s="6" t="b">
        <v>1</v>
      </c>
      <c r="I74" s="6" t="b">
        <v>0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0</v>
      </c>
      <c r="S74" s="6" t="b">
        <v>1</v>
      </c>
      <c r="T74" s="6" t="b">
        <v>1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1</v>
      </c>
      <c r="AJ74" s="6" t="b">
        <v>0</v>
      </c>
      <c r="AK74" s="6" t="b">
        <v>0</v>
      </c>
      <c r="AL74" s="9" t="str">
        <f t="shared" si="1"/>
        <v>13 dari 31 (42%)</v>
      </c>
    </row>
    <row r="75" ht="22.5" customHeight="1">
      <c r="A75" s="10">
        <v>74.0</v>
      </c>
      <c r="B75" s="11"/>
      <c r="C75" s="20">
        <v>60783.0</v>
      </c>
      <c r="D75" s="12" t="s">
        <v>41</v>
      </c>
      <c r="E75" s="12" t="s">
        <v>125</v>
      </c>
      <c r="F75" s="13"/>
      <c r="G75" s="6" t="b">
        <v>1</v>
      </c>
      <c r="H75" s="6" t="b">
        <v>1</v>
      </c>
      <c r="I75" s="6" t="b">
        <v>0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13 dari 31 (42%)</v>
      </c>
    </row>
    <row r="76" ht="22.5" customHeight="1">
      <c r="A76" s="2">
        <v>75.0</v>
      </c>
      <c r="B76" s="11"/>
      <c r="C76" s="20">
        <v>61078.0</v>
      </c>
      <c r="D76" s="12" t="s">
        <v>39</v>
      </c>
      <c r="E76" s="12" t="s">
        <v>132</v>
      </c>
      <c r="F76" s="13"/>
      <c r="G76" s="6" t="b">
        <v>1</v>
      </c>
      <c r="H76" s="6" t="b">
        <v>1</v>
      </c>
      <c r="I76" s="6" t="b">
        <v>0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1</v>
      </c>
      <c r="X76" s="6" t="b">
        <v>1</v>
      </c>
      <c r="Y76" s="6" t="b">
        <v>1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1</v>
      </c>
      <c r="AJ76" s="6" t="b">
        <v>0</v>
      </c>
      <c r="AK76" s="6" t="b">
        <v>0</v>
      </c>
      <c r="AL76" s="9" t="str">
        <f t="shared" si="1"/>
        <v>17 dari 31 (55%)</v>
      </c>
    </row>
    <row r="77" ht="22.5" customHeight="1">
      <c r="A77" s="10">
        <v>76.0</v>
      </c>
      <c r="B77" s="11"/>
      <c r="C77" s="22">
        <v>52430.0</v>
      </c>
      <c r="D77" s="12" t="s">
        <v>39</v>
      </c>
      <c r="E77" s="12" t="s">
        <v>134</v>
      </c>
      <c r="F77" s="13"/>
      <c r="G77" s="6" t="b">
        <v>1</v>
      </c>
      <c r="H77" s="6" t="b">
        <v>1</v>
      </c>
      <c r="I77" s="6" t="b">
        <v>0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1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13 dari 31 (42%)</v>
      </c>
    </row>
    <row r="78" ht="22.5" customHeight="1">
      <c r="A78" s="10">
        <v>77.0</v>
      </c>
      <c r="B78" s="11"/>
      <c r="C78" s="22">
        <v>37794.0</v>
      </c>
      <c r="D78" s="12" t="s">
        <v>39</v>
      </c>
      <c r="E78" s="12" t="s">
        <v>135</v>
      </c>
      <c r="F78" s="14" t="s">
        <v>50</v>
      </c>
      <c r="G78" s="6" t="b">
        <v>1</v>
      </c>
      <c r="H78" s="6" t="b">
        <v>0</v>
      </c>
      <c r="I78" s="6" t="b">
        <v>0</v>
      </c>
      <c r="J78" s="6" t="b">
        <v>1</v>
      </c>
      <c r="K78" s="6" t="b">
        <v>1</v>
      </c>
      <c r="L78" s="6" t="b">
        <v>1</v>
      </c>
      <c r="M78" s="6" t="b">
        <v>1</v>
      </c>
      <c r="N78" s="6" t="b">
        <v>1</v>
      </c>
      <c r="O78" s="6" t="b">
        <v>1</v>
      </c>
      <c r="P78" s="6" t="b">
        <v>1</v>
      </c>
      <c r="Q78" s="6" t="b">
        <v>1</v>
      </c>
      <c r="R78" s="6" t="b">
        <v>1</v>
      </c>
      <c r="S78" s="6" t="b">
        <v>1</v>
      </c>
      <c r="T78" s="6" t="b">
        <v>1</v>
      </c>
      <c r="U78" s="6" t="b">
        <v>0</v>
      </c>
      <c r="V78" s="6" t="b">
        <v>0</v>
      </c>
      <c r="W78" s="6" t="b">
        <v>1</v>
      </c>
      <c r="X78" s="6" t="b">
        <v>1</v>
      </c>
      <c r="Y78" s="6" t="b">
        <v>1</v>
      </c>
      <c r="Z78" s="6" t="b">
        <v>1</v>
      </c>
      <c r="AA78" s="6" t="b">
        <v>1</v>
      </c>
      <c r="AB78" s="6" t="b">
        <v>1</v>
      </c>
      <c r="AC78" s="6" t="b">
        <v>1</v>
      </c>
      <c r="AD78" s="6" t="b">
        <v>1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0</v>
      </c>
      <c r="AJ78" s="6" t="b">
        <v>0</v>
      </c>
      <c r="AK78" s="6" t="b">
        <v>0</v>
      </c>
      <c r="AL78" s="17" t="str">
        <f t="shared" si="1"/>
        <v>20 dari 31 (65%)</v>
      </c>
    </row>
    <row r="79" ht="22.5" customHeight="1">
      <c r="A79" s="2">
        <v>78.0</v>
      </c>
      <c r="B79" s="11"/>
      <c r="C79" s="22">
        <v>33525.0</v>
      </c>
      <c r="D79" s="12" t="s">
        <v>39</v>
      </c>
      <c r="E79" s="12" t="s">
        <v>135</v>
      </c>
      <c r="F79" s="13"/>
      <c r="G79" s="6" t="b">
        <v>1</v>
      </c>
      <c r="H79" s="6" t="b">
        <v>1</v>
      </c>
      <c r="I79" s="6" t="b">
        <v>0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1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13 dari 31 (42%)</v>
      </c>
    </row>
    <row r="80" ht="22.5" customHeight="1">
      <c r="A80" s="10">
        <v>79.0</v>
      </c>
      <c r="B80" s="11"/>
      <c r="C80" s="22">
        <v>80453.0</v>
      </c>
      <c r="D80" s="12" t="s">
        <v>39</v>
      </c>
      <c r="E80" s="12" t="s">
        <v>135</v>
      </c>
      <c r="F80" s="13"/>
      <c r="G80" s="6" t="b">
        <v>1</v>
      </c>
      <c r="H80" s="6" t="b">
        <v>1</v>
      </c>
      <c r="I80" s="6" t="b">
        <v>0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1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0</v>
      </c>
      <c r="AJ80" s="6" t="b">
        <v>0</v>
      </c>
      <c r="AK80" s="6" t="b">
        <v>0</v>
      </c>
      <c r="AL80" s="9" t="str">
        <f t="shared" si="1"/>
        <v>13 dari 31 (42%)</v>
      </c>
    </row>
    <row r="81" ht="22.5" customHeight="1">
      <c r="A81" s="10">
        <v>80.0</v>
      </c>
      <c r="B81" s="11"/>
      <c r="C81" s="22">
        <v>80794.0</v>
      </c>
      <c r="D81" s="12" t="s">
        <v>51</v>
      </c>
      <c r="E81" s="12" t="s">
        <v>61</v>
      </c>
      <c r="F81" s="13"/>
      <c r="G81" s="6" t="b">
        <v>1</v>
      </c>
      <c r="H81" s="6" t="b">
        <v>1</v>
      </c>
      <c r="I81" s="6" t="b">
        <v>0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0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12 dari 31 (39%)</v>
      </c>
    </row>
    <row r="82" ht="22.5" customHeight="1">
      <c r="A82" s="2">
        <v>81.0</v>
      </c>
      <c r="B82" s="11"/>
      <c r="C82" s="20">
        <v>58554.0</v>
      </c>
      <c r="D82" s="12" t="s">
        <v>53</v>
      </c>
      <c r="E82" s="12" t="s">
        <v>77</v>
      </c>
      <c r="F82" s="13"/>
      <c r="G82" s="6" t="b">
        <v>1</v>
      </c>
      <c r="H82" s="6" t="b">
        <v>1</v>
      </c>
      <c r="I82" s="6" t="b">
        <v>1</v>
      </c>
      <c r="J82" s="6" t="b">
        <v>0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1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1</v>
      </c>
      <c r="AJ82" s="6" t="b">
        <v>0</v>
      </c>
      <c r="AK82" s="6" t="b">
        <v>0</v>
      </c>
      <c r="AL82" s="9" t="str">
        <f t="shared" si="1"/>
        <v>14 dari 31 (45%)</v>
      </c>
    </row>
    <row r="83" ht="22.5" customHeight="1">
      <c r="A83" s="10">
        <v>82.0</v>
      </c>
      <c r="B83" s="11"/>
      <c r="C83" s="20">
        <v>50724.0</v>
      </c>
      <c r="D83" s="12" t="s">
        <v>53</v>
      </c>
      <c r="E83" s="12" t="s">
        <v>125</v>
      </c>
      <c r="F83" s="13"/>
      <c r="G83" s="6" t="b">
        <v>1</v>
      </c>
      <c r="H83" s="6" t="b">
        <v>1</v>
      </c>
      <c r="I83" s="6" t="b">
        <v>1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0</v>
      </c>
      <c r="S83" s="6" t="b">
        <v>1</v>
      </c>
      <c r="T83" s="6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1</v>
      </c>
      <c r="AJ83" s="6" t="b">
        <v>0</v>
      </c>
      <c r="AK83" s="6" t="b">
        <v>0</v>
      </c>
      <c r="AL83" s="9" t="str">
        <f t="shared" si="1"/>
        <v>14 dari 31 (45%)</v>
      </c>
    </row>
    <row r="84" ht="22.5" customHeight="1">
      <c r="A84" s="44">
        <v>83.0</v>
      </c>
      <c r="B84" s="45"/>
      <c r="C84" s="66">
        <v>60179.0</v>
      </c>
      <c r="D84" s="47" t="s">
        <v>53</v>
      </c>
      <c r="E84" s="47" t="s">
        <v>136</v>
      </c>
      <c r="F84" s="48"/>
      <c r="G84" s="42" t="b">
        <v>0</v>
      </c>
      <c r="H84" s="42" t="b">
        <v>0</v>
      </c>
      <c r="I84" s="42" t="b">
        <v>0</v>
      </c>
      <c r="J84" s="42" t="b">
        <v>0</v>
      </c>
      <c r="K84" s="42" t="b">
        <v>0</v>
      </c>
      <c r="L84" s="42" t="b">
        <v>0</v>
      </c>
      <c r="M84" s="42" t="b">
        <v>0</v>
      </c>
      <c r="N84" s="42" t="b">
        <v>0</v>
      </c>
      <c r="O84" s="42" t="b">
        <v>0</v>
      </c>
      <c r="P84" s="42" t="b">
        <v>0</v>
      </c>
      <c r="Q84" s="42" t="b">
        <v>0</v>
      </c>
      <c r="R84" s="42" t="b">
        <v>0</v>
      </c>
      <c r="S84" s="42" t="b">
        <v>0</v>
      </c>
      <c r="T84" s="42" t="b">
        <v>0</v>
      </c>
      <c r="U84" s="42" t="b">
        <v>0</v>
      </c>
      <c r="V84" s="42" t="b">
        <v>0</v>
      </c>
      <c r="W84" s="42" t="b">
        <v>0</v>
      </c>
      <c r="X84" s="42" t="b">
        <v>0</v>
      </c>
      <c r="Y84" s="42" t="b">
        <v>0</v>
      </c>
      <c r="Z84" s="42" t="b">
        <v>0</v>
      </c>
      <c r="AA84" s="42" t="b">
        <v>0</v>
      </c>
      <c r="AB84" s="42" t="b">
        <v>0</v>
      </c>
      <c r="AC84" s="42" t="b">
        <v>0</v>
      </c>
      <c r="AD84" s="42" t="b">
        <v>0</v>
      </c>
      <c r="AE84" s="42" t="b">
        <v>0</v>
      </c>
      <c r="AF84" s="42" t="b">
        <v>0</v>
      </c>
      <c r="AG84" s="42" t="b">
        <v>0</v>
      </c>
      <c r="AH84" s="42" t="b">
        <v>0</v>
      </c>
      <c r="AI84" s="42" t="b">
        <v>0</v>
      </c>
      <c r="AJ84" s="42" t="b">
        <v>0</v>
      </c>
      <c r="AK84" s="42" t="b">
        <v>0</v>
      </c>
      <c r="AL84" s="50" t="str">
        <f t="shared" si="1"/>
        <v>0 dari 31 (0%)</v>
      </c>
    </row>
    <row r="85" ht="22.5" customHeight="1">
      <c r="A85" s="36">
        <v>84.0</v>
      </c>
      <c r="B85" s="45"/>
      <c r="C85" s="46">
        <v>58700.0</v>
      </c>
      <c r="D85" s="47" t="s">
        <v>53</v>
      </c>
      <c r="E85" s="47" t="s">
        <v>77</v>
      </c>
      <c r="F85" s="48"/>
      <c r="G85" s="42" t="b">
        <v>0</v>
      </c>
      <c r="H85" s="42" t="b">
        <v>0</v>
      </c>
      <c r="I85" s="42" t="b">
        <v>0</v>
      </c>
      <c r="J85" s="42" t="b">
        <v>0</v>
      </c>
      <c r="K85" s="42" t="b">
        <v>0</v>
      </c>
      <c r="L85" s="42" t="b">
        <v>0</v>
      </c>
      <c r="M85" s="42" t="b">
        <v>0</v>
      </c>
      <c r="N85" s="42" t="b">
        <v>0</v>
      </c>
      <c r="O85" s="42" t="b">
        <v>0</v>
      </c>
      <c r="P85" s="42" t="b">
        <v>0</v>
      </c>
      <c r="Q85" s="42" t="b">
        <v>0</v>
      </c>
      <c r="R85" s="42" t="b">
        <v>0</v>
      </c>
      <c r="S85" s="42" t="b">
        <v>0</v>
      </c>
      <c r="T85" s="42" t="b">
        <v>0</v>
      </c>
      <c r="U85" s="42" t="b">
        <v>0</v>
      </c>
      <c r="V85" s="42" t="b">
        <v>0</v>
      </c>
      <c r="W85" s="42" t="b">
        <v>0</v>
      </c>
      <c r="X85" s="42" t="b">
        <v>0</v>
      </c>
      <c r="Y85" s="42" t="b">
        <v>0</v>
      </c>
      <c r="Z85" s="42" t="b">
        <v>0</v>
      </c>
      <c r="AA85" s="42" t="b">
        <v>0</v>
      </c>
      <c r="AB85" s="42" t="b">
        <v>0</v>
      </c>
      <c r="AC85" s="42" t="b">
        <v>0</v>
      </c>
      <c r="AD85" s="42" t="b">
        <v>0</v>
      </c>
      <c r="AE85" s="42" t="b">
        <v>0</v>
      </c>
      <c r="AF85" s="42" t="b">
        <v>0</v>
      </c>
      <c r="AG85" s="42" t="b">
        <v>0</v>
      </c>
      <c r="AH85" s="42" t="b">
        <v>0</v>
      </c>
      <c r="AI85" s="42" t="b">
        <v>0</v>
      </c>
      <c r="AJ85" s="42" t="b">
        <v>0</v>
      </c>
      <c r="AK85" s="42" t="b">
        <v>0</v>
      </c>
      <c r="AL85" s="43" t="str">
        <f t="shared" si="1"/>
        <v>0 dari 31 (0%)</v>
      </c>
    </row>
    <row r="86" ht="22.5" customHeight="1">
      <c r="A86" s="10">
        <v>85.0</v>
      </c>
      <c r="B86" s="11"/>
      <c r="C86" s="22">
        <v>59246.0</v>
      </c>
      <c r="D86" s="12" t="s">
        <v>53</v>
      </c>
      <c r="E86" s="12" t="s">
        <v>136</v>
      </c>
      <c r="F86" s="13"/>
      <c r="G86" s="6" t="b">
        <v>1</v>
      </c>
      <c r="H86" s="6" t="b">
        <v>1</v>
      </c>
      <c r="I86" s="6" t="b">
        <v>1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1</v>
      </c>
      <c r="AJ86" s="6" t="b">
        <v>0</v>
      </c>
      <c r="AK86" s="6" t="b">
        <v>0</v>
      </c>
      <c r="AL86" s="9" t="str">
        <f t="shared" si="1"/>
        <v>15 dari 31 (48%)</v>
      </c>
    </row>
    <row r="87" ht="22.5" customHeight="1">
      <c r="A87" s="10">
        <v>86.0</v>
      </c>
      <c r="B87" s="11"/>
      <c r="C87" s="20">
        <v>22303.0</v>
      </c>
      <c r="D87" s="12" t="s">
        <v>53</v>
      </c>
      <c r="E87" s="12" t="s">
        <v>139</v>
      </c>
      <c r="F87" s="13"/>
      <c r="G87" s="6" t="b">
        <v>1</v>
      </c>
      <c r="H87" s="6" t="b">
        <v>1</v>
      </c>
      <c r="I87" s="6" t="b">
        <v>1</v>
      </c>
      <c r="J87" s="6" t="b">
        <v>0</v>
      </c>
      <c r="K87" s="6" t="b">
        <v>1</v>
      </c>
      <c r="L87" s="6" t="b">
        <v>1</v>
      </c>
      <c r="M87" s="6" t="b">
        <v>1</v>
      </c>
      <c r="N87" s="6" t="b">
        <v>0</v>
      </c>
      <c r="O87" s="6" t="b">
        <v>0</v>
      </c>
      <c r="P87" s="6" t="b">
        <v>1</v>
      </c>
      <c r="Q87" s="6" t="b">
        <v>1</v>
      </c>
      <c r="R87" s="6" t="b">
        <v>0</v>
      </c>
      <c r="S87" s="6" t="b">
        <v>1</v>
      </c>
      <c r="T87" s="6" t="b">
        <v>1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1</v>
      </c>
      <c r="AJ87" s="6" t="b">
        <v>0</v>
      </c>
      <c r="AK87" s="6" t="b">
        <v>0</v>
      </c>
      <c r="AL87" s="17" t="str">
        <f t="shared" si="1"/>
        <v>11 dari 31 (35%)</v>
      </c>
    </row>
    <row r="88" ht="22.5" customHeight="1">
      <c r="A88" s="2">
        <v>87.0</v>
      </c>
      <c r="B88" s="11"/>
      <c r="C88" s="22">
        <v>58366.0</v>
      </c>
      <c r="D88" s="12" t="s">
        <v>53</v>
      </c>
      <c r="E88" s="12" t="s">
        <v>139</v>
      </c>
      <c r="F88" s="13"/>
      <c r="G88" s="6" t="b">
        <v>1</v>
      </c>
      <c r="H88" s="6" t="b">
        <v>1</v>
      </c>
      <c r="I88" s="6" t="b">
        <v>1</v>
      </c>
      <c r="J88" s="6" t="b">
        <v>1</v>
      </c>
      <c r="K88" s="6" t="b">
        <v>1</v>
      </c>
      <c r="L88" s="6" t="b">
        <v>1</v>
      </c>
      <c r="M88" s="6" t="b">
        <v>1</v>
      </c>
      <c r="N88" s="6" t="b">
        <v>1</v>
      </c>
      <c r="O88" s="6" t="b">
        <v>1</v>
      </c>
      <c r="P88" s="6" t="b">
        <v>1</v>
      </c>
      <c r="Q88" s="6" t="b">
        <v>1</v>
      </c>
      <c r="R88" s="6" t="b">
        <v>1</v>
      </c>
      <c r="S88" s="6" t="b">
        <v>1</v>
      </c>
      <c r="T88" s="6" t="b">
        <v>1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1</v>
      </c>
      <c r="AJ88" s="6" t="b">
        <v>0</v>
      </c>
      <c r="AK88" s="6" t="b">
        <v>0</v>
      </c>
      <c r="AL88" s="9" t="str">
        <f t="shared" si="1"/>
        <v>15 dari 31 (48%)</v>
      </c>
    </row>
    <row r="89" ht="22.5" customHeight="1">
      <c r="A89" s="10">
        <v>88.0</v>
      </c>
      <c r="B89" s="11"/>
      <c r="C89" s="22">
        <v>59748.0</v>
      </c>
      <c r="D89" s="12" t="s">
        <v>63</v>
      </c>
      <c r="E89" s="12" t="s">
        <v>87</v>
      </c>
      <c r="F89" s="13"/>
      <c r="G89" s="6" t="b">
        <v>1</v>
      </c>
      <c r="H89" s="6" t="b">
        <v>1</v>
      </c>
      <c r="I89" s="6" t="b">
        <v>0</v>
      </c>
      <c r="J89" s="6" t="b">
        <v>1</v>
      </c>
      <c r="K89" s="6" t="b">
        <v>1</v>
      </c>
      <c r="L89" s="6" t="b">
        <v>1</v>
      </c>
      <c r="M89" s="6" t="b">
        <v>1</v>
      </c>
      <c r="N89" s="6" t="b">
        <v>1</v>
      </c>
      <c r="O89" s="6" t="b">
        <v>1</v>
      </c>
      <c r="P89" s="6" t="b">
        <v>1</v>
      </c>
      <c r="Q89" s="6" t="b">
        <v>1</v>
      </c>
      <c r="R89" s="6" t="b">
        <v>1</v>
      </c>
      <c r="S89" s="6" t="b">
        <v>1</v>
      </c>
      <c r="T89" s="6" t="b">
        <v>1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13 dari 31 (42%)</v>
      </c>
    </row>
    <row r="90" ht="22.5" customHeight="1">
      <c r="A90" s="10">
        <v>89.0</v>
      </c>
      <c r="B90" s="11"/>
      <c r="C90" s="22">
        <v>47260.0</v>
      </c>
      <c r="D90" s="12" t="s">
        <v>53</v>
      </c>
      <c r="E90" s="12" t="s">
        <v>139</v>
      </c>
      <c r="F90" s="13"/>
      <c r="G90" s="6" t="b">
        <v>1</v>
      </c>
      <c r="H90" s="6" t="b">
        <v>1</v>
      </c>
      <c r="I90" s="6" t="b">
        <v>1</v>
      </c>
      <c r="J90" s="6" t="b">
        <v>1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1</v>
      </c>
      <c r="S90" s="6" t="b">
        <v>1</v>
      </c>
      <c r="T90" s="6" t="b">
        <v>1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1</v>
      </c>
      <c r="AJ90" s="6" t="b">
        <v>0</v>
      </c>
      <c r="AK90" s="6" t="b">
        <v>0</v>
      </c>
      <c r="AL90" s="17" t="str">
        <f t="shared" si="1"/>
        <v>15 dari 31 (48%)</v>
      </c>
    </row>
    <row r="91" ht="22.5" customHeight="1">
      <c r="A91" s="2">
        <v>90.0</v>
      </c>
      <c r="B91" s="11"/>
      <c r="C91" s="22">
        <v>58498.0</v>
      </c>
      <c r="D91" s="12" t="s">
        <v>68</v>
      </c>
      <c r="E91" s="12" t="s">
        <v>55</v>
      </c>
      <c r="F91" s="13"/>
      <c r="G91" s="6" t="b">
        <v>1</v>
      </c>
      <c r="H91" s="6" t="b">
        <v>1</v>
      </c>
      <c r="I91" s="6" t="b">
        <v>1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1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1</v>
      </c>
      <c r="AJ91" s="6" t="b">
        <v>0</v>
      </c>
      <c r="AK91" s="6" t="b">
        <v>0</v>
      </c>
      <c r="AL91" s="9" t="str">
        <f t="shared" si="1"/>
        <v>15 dari 31 (48%)</v>
      </c>
    </row>
    <row r="92" ht="22.5" customHeight="1">
      <c r="A92" s="10">
        <v>91.0</v>
      </c>
      <c r="B92" s="11"/>
      <c r="C92" s="20">
        <v>60785.0</v>
      </c>
      <c r="D92" s="12" t="s">
        <v>68</v>
      </c>
      <c r="E92" s="12" t="s">
        <v>70</v>
      </c>
      <c r="F92" s="13"/>
      <c r="G92" s="6" t="b">
        <v>1</v>
      </c>
      <c r="H92" s="6" t="b">
        <v>1</v>
      </c>
      <c r="I92" s="6" t="b">
        <v>1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1</v>
      </c>
      <c r="S92" s="6" t="b">
        <v>1</v>
      </c>
      <c r="T92" s="6" t="b">
        <v>1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1</v>
      </c>
      <c r="AJ92" s="6" t="b">
        <v>0</v>
      </c>
      <c r="AK92" s="6" t="b">
        <v>0</v>
      </c>
      <c r="AL92" s="9" t="str">
        <f t="shared" si="1"/>
        <v>15 dari 31 (48%)</v>
      </c>
    </row>
    <row r="93" ht="22.5" customHeight="1">
      <c r="A93" s="10">
        <v>92.0</v>
      </c>
      <c r="B93" s="11"/>
      <c r="C93" s="20">
        <v>60786.0</v>
      </c>
      <c r="D93" s="20" t="s">
        <v>68</v>
      </c>
      <c r="E93" s="12" t="s">
        <v>55</v>
      </c>
      <c r="F93" s="13"/>
      <c r="G93" s="6" t="b">
        <v>1</v>
      </c>
      <c r="H93" s="6" t="b">
        <v>1</v>
      </c>
      <c r="I93" s="6" t="b">
        <v>1</v>
      </c>
      <c r="J93" s="6" t="b">
        <v>1</v>
      </c>
      <c r="K93" s="6" t="b">
        <v>1</v>
      </c>
      <c r="L93" s="6" t="b">
        <v>1</v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1</v>
      </c>
      <c r="S93" s="6" t="b">
        <v>1</v>
      </c>
      <c r="T93" s="6" t="b">
        <v>1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1</v>
      </c>
      <c r="AJ93" s="6" t="b">
        <v>0</v>
      </c>
      <c r="AK93" s="6" t="b">
        <v>0</v>
      </c>
      <c r="AL93" s="17" t="str">
        <f t="shared" si="1"/>
        <v>15 dari 31 (48%)</v>
      </c>
    </row>
    <row r="94" ht="22.5" customHeight="1">
      <c r="A94" s="2">
        <v>93.0</v>
      </c>
      <c r="B94" s="11"/>
      <c r="C94" s="22">
        <v>59731.0</v>
      </c>
      <c r="D94" s="12" t="s">
        <v>68</v>
      </c>
      <c r="E94" s="12" t="s">
        <v>55</v>
      </c>
      <c r="F94" s="13"/>
      <c r="G94" s="6" t="b">
        <v>1</v>
      </c>
      <c r="H94" s="6" t="b">
        <v>1</v>
      </c>
      <c r="I94" s="6" t="b">
        <v>1</v>
      </c>
      <c r="J94" s="6" t="b">
        <v>1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1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1</v>
      </c>
      <c r="AJ94" s="6" t="b">
        <v>0</v>
      </c>
      <c r="AK94" s="6" t="b">
        <v>0</v>
      </c>
      <c r="AL94" s="9" t="str">
        <f t="shared" si="1"/>
        <v>15 dari 31 (48%)</v>
      </c>
    </row>
    <row r="95" ht="22.5" customHeight="1">
      <c r="A95" s="10">
        <v>94.0</v>
      </c>
      <c r="B95" s="11"/>
      <c r="C95" s="22">
        <v>59323.0</v>
      </c>
      <c r="D95" s="12" t="s">
        <v>68</v>
      </c>
      <c r="E95" s="12" t="s">
        <v>55</v>
      </c>
      <c r="F95" s="13"/>
      <c r="G95" s="6" t="b">
        <v>1</v>
      </c>
      <c r="H95" s="6" t="b">
        <v>1</v>
      </c>
      <c r="I95" s="6" t="b">
        <v>1</v>
      </c>
      <c r="J95" s="6" t="b">
        <v>1</v>
      </c>
      <c r="K95" s="6" t="b">
        <v>1</v>
      </c>
      <c r="L95" s="6" t="b">
        <v>1</v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1</v>
      </c>
      <c r="S95" s="6" t="b">
        <v>1</v>
      </c>
      <c r="T95" s="6" t="b">
        <v>1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1</v>
      </c>
      <c r="AJ95" s="6" t="b">
        <v>0</v>
      </c>
      <c r="AK95" s="6" t="b">
        <v>0</v>
      </c>
      <c r="AL95" s="9" t="str">
        <f t="shared" si="1"/>
        <v>15 dari 31 (48%)</v>
      </c>
    </row>
    <row r="96" ht="22.5" customHeight="1">
      <c r="A96" s="10">
        <v>95.0</v>
      </c>
      <c r="B96" s="11"/>
      <c r="C96" s="22">
        <v>59492.0</v>
      </c>
      <c r="D96" s="12" t="s">
        <v>68</v>
      </c>
      <c r="E96" s="12" t="s">
        <v>55</v>
      </c>
      <c r="F96" s="13"/>
      <c r="G96" s="6" t="b">
        <v>1</v>
      </c>
      <c r="H96" s="6" t="b">
        <v>1</v>
      </c>
      <c r="I96" s="6" t="b">
        <v>1</v>
      </c>
      <c r="J96" s="6" t="b">
        <v>1</v>
      </c>
      <c r="K96" s="6" t="b">
        <v>1</v>
      </c>
      <c r="L96" s="6" t="b">
        <v>1</v>
      </c>
      <c r="M96" s="6" t="b">
        <v>1</v>
      </c>
      <c r="N96" s="6" t="b">
        <v>1</v>
      </c>
      <c r="O96" s="6" t="b">
        <v>1</v>
      </c>
      <c r="P96" s="6" t="b">
        <v>1</v>
      </c>
      <c r="Q96" s="6" t="b">
        <v>1</v>
      </c>
      <c r="R96" s="6" t="b">
        <v>1</v>
      </c>
      <c r="S96" s="6" t="b">
        <v>1</v>
      </c>
      <c r="T96" s="6" t="b">
        <v>1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1</v>
      </c>
      <c r="AJ96" s="6" t="b">
        <v>0</v>
      </c>
      <c r="AK96" s="6" t="b">
        <v>0</v>
      </c>
      <c r="AL96" s="17" t="str">
        <f t="shared" si="1"/>
        <v>15 dari 31 (48%)</v>
      </c>
    </row>
    <row r="97" ht="22.5" customHeight="1">
      <c r="A97" s="2">
        <v>96.0</v>
      </c>
      <c r="B97" s="11"/>
      <c r="C97" s="22">
        <v>60121.0</v>
      </c>
      <c r="D97" s="12" t="s">
        <v>68</v>
      </c>
      <c r="E97" s="12" t="s">
        <v>55</v>
      </c>
      <c r="F97" s="13"/>
      <c r="G97" s="6" t="b">
        <v>1</v>
      </c>
      <c r="H97" s="6" t="b">
        <v>1</v>
      </c>
      <c r="I97" s="6" t="b">
        <v>1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1</v>
      </c>
      <c r="S97" s="6" t="b">
        <v>1</v>
      </c>
      <c r="T97" s="6" t="b">
        <v>1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1</v>
      </c>
      <c r="AJ97" s="6" t="b">
        <v>0</v>
      </c>
      <c r="AK97" s="6" t="b">
        <v>0</v>
      </c>
      <c r="AL97" s="9" t="str">
        <f t="shared" si="1"/>
        <v>15 dari 31 (48%)</v>
      </c>
    </row>
    <row r="98" ht="22.5" customHeight="1">
      <c r="A98" s="10">
        <v>97.0</v>
      </c>
      <c r="B98" s="11"/>
      <c r="C98" s="22">
        <v>57303.0</v>
      </c>
      <c r="D98" s="12" t="s">
        <v>80</v>
      </c>
      <c r="E98" s="12" t="s">
        <v>143</v>
      </c>
      <c r="F98" s="14" t="s">
        <v>50</v>
      </c>
      <c r="G98" s="6" t="b">
        <v>1</v>
      </c>
      <c r="H98" s="6" t="b">
        <v>0</v>
      </c>
      <c r="I98" s="6" t="b">
        <v>0</v>
      </c>
      <c r="J98" s="6" t="b">
        <v>0</v>
      </c>
      <c r="K98" s="6" t="b">
        <v>0</v>
      </c>
      <c r="L98" s="6" t="b">
        <v>0</v>
      </c>
      <c r="M98" s="6" t="b">
        <v>0</v>
      </c>
      <c r="N98" s="6" t="b">
        <v>0</v>
      </c>
      <c r="O98" s="6" t="b">
        <v>0</v>
      </c>
      <c r="P98" s="6" t="b">
        <v>0</v>
      </c>
      <c r="Q98" s="6" t="b">
        <v>0</v>
      </c>
      <c r="R98" s="6" t="b">
        <v>0</v>
      </c>
      <c r="S98" s="6" t="b">
        <v>0</v>
      </c>
      <c r="T98" s="6" t="b">
        <v>0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1 dari 31 (3%)</v>
      </c>
    </row>
    <row r="99" ht="22.5" customHeight="1">
      <c r="A99" s="10">
        <v>98.0</v>
      </c>
      <c r="B99" s="11"/>
      <c r="C99" s="22">
        <v>50695.0</v>
      </c>
      <c r="D99" s="12" t="s">
        <v>80</v>
      </c>
      <c r="E99" s="12" t="s">
        <v>143</v>
      </c>
      <c r="F99" s="14" t="s">
        <v>50</v>
      </c>
      <c r="G99" s="6" t="b">
        <v>1</v>
      </c>
      <c r="H99" s="6" t="b">
        <v>0</v>
      </c>
      <c r="I99" s="6" t="b">
        <v>0</v>
      </c>
      <c r="J99" s="6" t="b">
        <v>0</v>
      </c>
      <c r="K99" s="6" t="b">
        <v>0</v>
      </c>
      <c r="L99" s="6" t="b">
        <v>0</v>
      </c>
      <c r="M99" s="6" t="b">
        <v>0</v>
      </c>
      <c r="N99" s="6" t="b">
        <v>0</v>
      </c>
      <c r="O99" s="6" t="b">
        <v>0</v>
      </c>
      <c r="P99" s="6" t="b">
        <v>0</v>
      </c>
      <c r="Q99" s="6" t="b">
        <v>0</v>
      </c>
      <c r="R99" s="6" t="b">
        <v>0</v>
      </c>
      <c r="S99" s="6" t="b">
        <v>0</v>
      </c>
      <c r="T99" s="6" t="b">
        <v>0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1 dari 31 (3%)</v>
      </c>
    </row>
    <row r="100" ht="22.5" customHeight="1">
      <c r="A100" s="2">
        <v>99.0</v>
      </c>
      <c r="B100" s="11"/>
      <c r="C100" s="22">
        <v>56433.0</v>
      </c>
      <c r="D100" s="12" t="s">
        <v>80</v>
      </c>
      <c r="E100" s="12" t="s">
        <v>143</v>
      </c>
      <c r="F100" s="13"/>
      <c r="G100" s="6" t="b">
        <v>1</v>
      </c>
      <c r="H100" s="6" t="b">
        <v>1</v>
      </c>
      <c r="I100" s="6" t="b">
        <v>0</v>
      </c>
      <c r="J100" s="6" t="b">
        <v>1</v>
      </c>
      <c r="K100" s="6" t="b">
        <v>1</v>
      </c>
      <c r="L100" s="6" t="b">
        <v>1</v>
      </c>
      <c r="M100" s="6" t="b">
        <v>1</v>
      </c>
      <c r="N100" s="6" t="b">
        <v>1</v>
      </c>
      <c r="O100" s="6" t="b">
        <v>1</v>
      </c>
      <c r="P100" s="6" t="b">
        <v>1</v>
      </c>
      <c r="Q100" s="6" t="b">
        <v>1</v>
      </c>
      <c r="R100" s="6" t="b">
        <v>1</v>
      </c>
      <c r="S100" s="6" t="b">
        <v>1</v>
      </c>
      <c r="T100" s="6" t="b">
        <v>1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1</v>
      </c>
      <c r="AJ100" s="6" t="b">
        <v>0</v>
      </c>
      <c r="AK100" s="6" t="b">
        <v>0</v>
      </c>
      <c r="AL100" s="9" t="str">
        <f t="shared" si="1"/>
        <v>14 dari 31 (45%)</v>
      </c>
    </row>
    <row r="101" ht="22.5" customHeight="1">
      <c r="A101" s="10">
        <v>100.0</v>
      </c>
      <c r="B101" s="11"/>
      <c r="C101" s="22">
        <v>56582.0</v>
      </c>
      <c r="D101" s="12" t="s">
        <v>80</v>
      </c>
      <c r="E101" s="12" t="s">
        <v>143</v>
      </c>
      <c r="F101" s="14" t="s">
        <v>50</v>
      </c>
      <c r="G101" s="6" t="b">
        <v>1</v>
      </c>
      <c r="H101" s="6" t="b">
        <v>0</v>
      </c>
      <c r="I101" s="6" t="b">
        <v>0</v>
      </c>
      <c r="J101" s="6" t="b">
        <v>0</v>
      </c>
      <c r="K101" s="6" t="b">
        <v>0</v>
      </c>
      <c r="L101" s="6" t="b">
        <v>0</v>
      </c>
      <c r="M101" s="6" t="b">
        <v>0</v>
      </c>
      <c r="N101" s="6" t="b">
        <v>0</v>
      </c>
      <c r="O101" s="6" t="b">
        <v>0</v>
      </c>
      <c r="P101" s="6" t="b">
        <v>0</v>
      </c>
      <c r="Q101" s="6" t="b">
        <v>0</v>
      </c>
      <c r="R101" s="6" t="b">
        <v>0</v>
      </c>
      <c r="S101" s="6" t="b">
        <v>0</v>
      </c>
      <c r="T101" s="6" t="b">
        <v>0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0</v>
      </c>
      <c r="AJ101" s="6" t="b">
        <v>0</v>
      </c>
      <c r="AK101" s="6" t="b">
        <v>0</v>
      </c>
      <c r="AL101" s="9" t="str">
        <f t="shared" si="1"/>
        <v>1 dari 31 (3%)</v>
      </c>
    </row>
    <row r="102" ht="22.5" customHeight="1">
      <c r="A102" s="10">
        <v>101.0</v>
      </c>
      <c r="B102" s="11"/>
      <c r="C102" s="22">
        <v>51057.0</v>
      </c>
      <c r="D102" s="12" t="s">
        <v>56</v>
      </c>
      <c r="E102" s="12" t="s">
        <v>60</v>
      </c>
      <c r="F102" s="13"/>
      <c r="G102" s="6" t="b">
        <v>1</v>
      </c>
      <c r="H102" s="6" t="b">
        <v>1</v>
      </c>
      <c r="I102" s="6" t="b">
        <v>1</v>
      </c>
      <c r="J102" s="6" t="b">
        <v>1</v>
      </c>
      <c r="K102" s="6" t="b">
        <v>1</v>
      </c>
      <c r="L102" s="6" t="b">
        <v>1</v>
      </c>
      <c r="M102" s="6" t="b">
        <v>1</v>
      </c>
      <c r="N102" s="6" t="b">
        <v>1</v>
      </c>
      <c r="O102" s="6" t="b">
        <v>1</v>
      </c>
      <c r="P102" s="6" t="b">
        <v>1</v>
      </c>
      <c r="Q102" s="6" t="b">
        <v>1</v>
      </c>
      <c r="R102" s="6" t="b">
        <v>1</v>
      </c>
      <c r="S102" s="6" t="b">
        <v>1</v>
      </c>
      <c r="T102" s="6" t="b">
        <v>1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1</v>
      </c>
      <c r="AJ102" s="6" t="b">
        <v>0</v>
      </c>
      <c r="AK102" s="6" t="b">
        <v>0</v>
      </c>
      <c r="AL102" s="17" t="str">
        <f t="shared" si="1"/>
        <v>15 dari 31 (48%)</v>
      </c>
    </row>
    <row r="103" ht="22.5" customHeight="1">
      <c r="A103" s="2">
        <v>102.0</v>
      </c>
      <c r="B103" s="11"/>
      <c r="C103" s="22">
        <v>51240.0</v>
      </c>
      <c r="D103" s="12" t="s">
        <v>56</v>
      </c>
      <c r="E103" s="12" t="s">
        <v>87</v>
      </c>
      <c r="F103" s="13"/>
      <c r="G103" s="6" t="b">
        <v>1</v>
      </c>
      <c r="H103" s="6" t="b">
        <v>1</v>
      </c>
      <c r="I103" s="6" t="b">
        <v>1</v>
      </c>
      <c r="J103" s="6" t="b">
        <v>1</v>
      </c>
      <c r="K103" s="6" t="b">
        <v>1</v>
      </c>
      <c r="L103" s="6" t="b">
        <v>1</v>
      </c>
      <c r="M103" s="6" t="b">
        <v>1</v>
      </c>
      <c r="N103" s="6" t="b">
        <v>1</v>
      </c>
      <c r="O103" s="6" t="b">
        <v>1</v>
      </c>
      <c r="P103" s="6" t="b">
        <v>1</v>
      </c>
      <c r="Q103" s="6" t="b">
        <v>1</v>
      </c>
      <c r="R103" s="6" t="b">
        <v>1</v>
      </c>
      <c r="S103" s="6" t="b">
        <v>1</v>
      </c>
      <c r="T103" s="6" t="b">
        <v>1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1</v>
      </c>
      <c r="AJ103" s="6" t="b">
        <v>0</v>
      </c>
      <c r="AK103" s="6" t="b">
        <v>0</v>
      </c>
      <c r="AL103" s="9" t="str">
        <f t="shared" si="1"/>
        <v>15 dari 31 (48%)</v>
      </c>
    </row>
    <row r="104" ht="22.5" customHeight="1">
      <c r="A104" s="10">
        <v>103.0</v>
      </c>
      <c r="B104" s="11"/>
      <c r="C104" s="22">
        <v>61091.0</v>
      </c>
      <c r="D104" s="12" t="s">
        <v>63</v>
      </c>
      <c r="E104" s="12" t="s">
        <v>64</v>
      </c>
      <c r="F104" s="13"/>
      <c r="G104" s="6" t="b">
        <v>1</v>
      </c>
      <c r="H104" s="6" t="b">
        <v>1</v>
      </c>
      <c r="I104" s="6" t="b">
        <v>1</v>
      </c>
      <c r="J104" s="6" t="b">
        <v>1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1</v>
      </c>
      <c r="AA104" s="6" t="b">
        <v>1</v>
      </c>
      <c r="AB104" s="6" t="b">
        <v>1</v>
      </c>
      <c r="AC104" s="6" t="b">
        <v>1</v>
      </c>
      <c r="AD104" s="6" t="b">
        <v>1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1</v>
      </c>
      <c r="AJ104" s="6" t="b">
        <v>0</v>
      </c>
      <c r="AK104" s="6" t="b">
        <v>0</v>
      </c>
      <c r="AL104" s="9" t="str">
        <f t="shared" si="1"/>
        <v>20 dari 31 (65%)</v>
      </c>
    </row>
    <row r="105" ht="22.5" customHeight="1">
      <c r="A105" s="10">
        <v>104.0</v>
      </c>
      <c r="B105" s="11"/>
      <c r="C105" s="22">
        <v>60954.0</v>
      </c>
      <c r="D105" s="12" t="s">
        <v>63</v>
      </c>
      <c r="E105" s="12" t="s">
        <v>87</v>
      </c>
      <c r="F105" s="13"/>
      <c r="G105" s="6" t="b">
        <v>1</v>
      </c>
      <c r="H105" s="6" t="b">
        <v>1</v>
      </c>
      <c r="I105" s="6" t="b">
        <v>1</v>
      </c>
      <c r="J105" s="6" t="b">
        <v>1</v>
      </c>
      <c r="K105" s="6" t="b">
        <v>1</v>
      </c>
      <c r="L105" s="6" t="b">
        <v>1</v>
      </c>
      <c r="M105" s="6" t="b">
        <v>1</v>
      </c>
      <c r="N105" s="6" t="b">
        <v>1</v>
      </c>
      <c r="O105" s="6" t="b">
        <v>1</v>
      </c>
      <c r="P105" s="6" t="b">
        <v>1</v>
      </c>
      <c r="Q105" s="6" t="b">
        <v>1</v>
      </c>
      <c r="R105" s="6" t="b">
        <v>1</v>
      </c>
      <c r="S105" s="6" t="b">
        <v>1</v>
      </c>
      <c r="T105" s="6" t="b">
        <v>1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1</v>
      </c>
      <c r="AJ105" s="6" t="b">
        <v>0</v>
      </c>
      <c r="AK105" s="6" t="b">
        <v>0</v>
      </c>
      <c r="AL105" s="17" t="str">
        <f t="shared" si="1"/>
        <v>15 dari 31 (48%)</v>
      </c>
    </row>
    <row r="106" ht="22.5" customHeight="1">
      <c r="A106" s="2">
        <v>105.0</v>
      </c>
      <c r="B106" s="11"/>
      <c r="C106" s="22">
        <v>60679.0</v>
      </c>
      <c r="D106" s="12" t="s">
        <v>63</v>
      </c>
      <c r="E106" s="12" t="s">
        <v>87</v>
      </c>
      <c r="F106" s="13"/>
      <c r="G106" s="6" t="b">
        <v>1</v>
      </c>
      <c r="H106" s="6" t="b">
        <v>1</v>
      </c>
      <c r="I106" s="6" t="b">
        <v>1</v>
      </c>
      <c r="J106" s="6" t="b">
        <v>1</v>
      </c>
      <c r="K106" s="6" t="b">
        <v>1</v>
      </c>
      <c r="L106" s="6" t="b">
        <v>1</v>
      </c>
      <c r="M106" s="6" t="b">
        <v>1</v>
      </c>
      <c r="N106" s="6" t="b">
        <v>1</v>
      </c>
      <c r="O106" s="6" t="b">
        <v>1</v>
      </c>
      <c r="P106" s="6" t="b">
        <v>1</v>
      </c>
      <c r="Q106" s="6" t="b">
        <v>1</v>
      </c>
      <c r="R106" s="6" t="b">
        <v>1</v>
      </c>
      <c r="S106" s="6" t="b">
        <v>1</v>
      </c>
      <c r="T106" s="6" t="b">
        <v>1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1</v>
      </c>
      <c r="AJ106" s="6" t="b">
        <v>0</v>
      </c>
      <c r="AK106" s="6" t="b">
        <v>0</v>
      </c>
      <c r="AL106" s="9" t="str">
        <f t="shared" si="1"/>
        <v>15 dari 31 (48%)</v>
      </c>
    </row>
    <row r="107" ht="22.5" customHeight="1">
      <c r="A107" s="10">
        <v>106.0</v>
      </c>
      <c r="B107" s="11"/>
      <c r="C107" s="22">
        <v>61092.0</v>
      </c>
      <c r="D107" s="12" t="s">
        <v>85</v>
      </c>
      <c r="E107" s="12" t="s">
        <v>91</v>
      </c>
      <c r="F107" s="13"/>
      <c r="G107" s="6" t="b">
        <v>1</v>
      </c>
      <c r="H107" s="6" t="b">
        <v>1</v>
      </c>
      <c r="I107" s="6" t="b">
        <v>1</v>
      </c>
      <c r="J107" s="6" t="b">
        <v>1</v>
      </c>
      <c r="K107" s="6" t="b">
        <v>1</v>
      </c>
      <c r="L107" s="6" t="b">
        <v>1</v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b">
        <v>1</v>
      </c>
      <c r="T107" s="6" t="b">
        <v>1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1</v>
      </c>
      <c r="AA107" s="6" t="b">
        <v>1</v>
      </c>
      <c r="AB107" s="6" t="b">
        <v>1</v>
      </c>
      <c r="AC107" s="6" t="b">
        <v>1</v>
      </c>
      <c r="AD107" s="6" t="b">
        <v>1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1</v>
      </c>
      <c r="AJ107" s="6" t="b">
        <v>0</v>
      </c>
      <c r="AK107" s="6" t="b">
        <v>0</v>
      </c>
      <c r="AL107" s="9" t="str">
        <f t="shared" si="1"/>
        <v>20 dari 31 (65%)</v>
      </c>
    </row>
    <row r="108" ht="22.5" customHeight="1">
      <c r="A108" s="10">
        <v>107.0</v>
      </c>
      <c r="B108" s="11"/>
      <c r="C108" s="22">
        <v>59905.0</v>
      </c>
      <c r="D108" s="12" t="s">
        <v>63</v>
      </c>
      <c r="E108" s="12" t="s">
        <v>64</v>
      </c>
      <c r="F108" s="13"/>
      <c r="G108" s="6" t="b">
        <v>1</v>
      </c>
      <c r="H108" s="6" t="b">
        <v>1</v>
      </c>
      <c r="I108" s="6" t="b">
        <v>1</v>
      </c>
      <c r="J108" s="6" t="b">
        <v>1</v>
      </c>
      <c r="K108" s="6" t="b">
        <v>1</v>
      </c>
      <c r="L108" s="6" t="b">
        <v>1</v>
      </c>
      <c r="M108" s="6" t="b">
        <v>1</v>
      </c>
      <c r="N108" s="6" t="b">
        <v>1</v>
      </c>
      <c r="O108" s="6" t="b">
        <v>1</v>
      </c>
      <c r="P108" s="6" t="b">
        <v>1</v>
      </c>
      <c r="Q108" s="6" t="b">
        <v>1</v>
      </c>
      <c r="R108" s="6" t="b">
        <v>1</v>
      </c>
      <c r="S108" s="6" t="b">
        <v>1</v>
      </c>
      <c r="T108" s="6" t="b">
        <v>1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0</v>
      </c>
      <c r="AJ108" s="6" t="b">
        <v>0</v>
      </c>
      <c r="AK108" s="6" t="b">
        <v>0</v>
      </c>
      <c r="AL108" s="17" t="str">
        <f t="shared" si="1"/>
        <v>14 dari 31 (45%)</v>
      </c>
    </row>
    <row r="109" ht="22.5" customHeight="1">
      <c r="A109" s="2">
        <v>108.0</v>
      </c>
      <c r="B109" s="11"/>
      <c r="C109" s="22">
        <v>60050.0</v>
      </c>
      <c r="D109" s="12" t="s">
        <v>63</v>
      </c>
      <c r="E109" s="12" t="s">
        <v>112</v>
      </c>
      <c r="F109" s="13"/>
      <c r="G109" s="6" t="b">
        <v>1</v>
      </c>
      <c r="H109" s="6" t="b">
        <v>1</v>
      </c>
      <c r="I109" s="6" t="b">
        <v>1</v>
      </c>
      <c r="J109" s="6" t="b">
        <v>1</v>
      </c>
      <c r="K109" s="6" t="b">
        <v>1</v>
      </c>
      <c r="L109" s="6" t="b">
        <v>1</v>
      </c>
      <c r="M109" s="6" t="b">
        <v>1</v>
      </c>
      <c r="N109" s="6" t="b">
        <v>1</v>
      </c>
      <c r="O109" s="6" t="b">
        <v>1</v>
      </c>
      <c r="P109" s="6" t="b">
        <v>1</v>
      </c>
      <c r="Q109" s="6" t="b">
        <v>1</v>
      </c>
      <c r="R109" s="6" t="b">
        <v>1</v>
      </c>
      <c r="S109" s="6" t="b">
        <v>1</v>
      </c>
      <c r="T109" s="6" t="b">
        <v>1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1</v>
      </c>
      <c r="AJ109" s="6" t="b">
        <v>0</v>
      </c>
      <c r="AK109" s="6" t="b">
        <v>0</v>
      </c>
      <c r="AL109" s="9" t="str">
        <f t="shared" si="1"/>
        <v>15 dari 31 (48%)</v>
      </c>
    </row>
    <row r="110" ht="22.5" customHeight="1">
      <c r="A110" s="10">
        <v>109.0</v>
      </c>
      <c r="B110" s="11"/>
      <c r="C110" s="22">
        <v>61093.0</v>
      </c>
      <c r="D110" s="12" t="s">
        <v>41</v>
      </c>
      <c r="E110" s="12" t="s">
        <v>146</v>
      </c>
      <c r="F110" s="13"/>
      <c r="G110" s="6" t="b">
        <v>1</v>
      </c>
      <c r="H110" s="6" t="b">
        <v>1</v>
      </c>
      <c r="I110" s="6" t="b">
        <v>1</v>
      </c>
      <c r="J110" s="6" t="b">
        <v>1</v>
      </c>
      <c r="K110" s="6" t="b">
        <v>1</v>
      </c>
      <c r="L110" s="6" t="b">
        <v>1</v>
      </c>
      <c r="M110" s="6" t="b">
        <v>1</v>
      </c>
      <c r="N110" s="6" t="b">
        <v>1</v>
      </c>
      <c r="O110" s="6" t="b">
        <v>1</v>
      </c>
      <c r="P110" s="6" t="b">
        <v>1</v>
      </c>
      <c r="Q110" s="6" t="b">
        <v>1</v>
      </c>
      <c r="R110" s="6" t="b">
        <v>1</v>
      </c>
      <c r="S110" s="6" t="b">
        <v>1</v>
      </c>
      <c r="T110" s="6" t="b">
        <v>0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1</v>
      </c>
      <c r="AJ110" s="6" t="b">
        <v>0</v>
      </c>
      <c r="AK110" s="6" t="b">
        <v>0</v>
      </c>
      <c r="AL110" s="9" t="str">
        <f t="shared" si="1"/>
        <v>14 dari 31 (45%)</v>
      </c>
    </row>
    <row r="111" ht="22.5" customHeight="1">
      <c r="A111" s="10">
        <v>110.0</v>
      </c>
      <c r="B111" s="11"/>
      <c r="C111" s="22">
        <v>60055.0</v>
      </c>
      <c r="D111" s="12" t="s">
        <v>63</v>
      </c>
      <c r="E111" s="12" t="s">
        <v>112</v>
      </c>
      <c r="F111" s="13"/>
      <c r="G111" s="6" t="b">
        <v>1</v>
      </c>
      <c r="H111" s="6" t="b">
        <v>1</v>
      </c>
      <c r="I111" s="6" t="b">
        <v>1</v>
      </c>
      <c r="J111" s="6" t="b">
        <v>1</v>
      </c>
      <c r="K111" s="6" t="b">
        <v>1</v>
      </c>
      <c r="L111" s="6" t="b">
        <v>1</v>
      </c>
      <c r="M111" s="6" t="b">
        <v>1</v>
      </c>
      <c r="N111" s="6" t="b">
        <v>1</v>
      </c>
      <c r="O111" s="6" t="b">
        <v>1</v>
      </c>
      <c r="P111" s="6" t="b">
        <v>1</v>
      </c>
      <c r="Q111" s="6" t="b">
        <v>1</v>
      </c>
      <c r="R111" s="6" t="b">
        <v>1</v>
      </c>
      <c r="S111" s="6" t="b">
        <v>1</v>
      </c>
      <c r="T111" s="6" t="b">
        <v>1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0</v>
      </c>
      <c r="AJ111" s="6" t="b">
        <v>0</v>
      </c>
      <c r="AK111" s="6" t="b">
        <v>0</v>
      </c>
      <c r="AL111" s="17" t="str">
        <f t="shared" si="1"/>
        <v>14 dari 31 (45%)</v>
      </c>
    </row>
    <row r="112" ht="22.5" customHeight="1">
      <c r="A112" s="2">
        <v>111.0</v>
      </c>
      <c r="B112" s="11"/>
      <c r="C112" s="20">
        <v>61095.0</v>
      </c>
      <c r="D112" s="12" t="s">
        <v>40</v>
      </c>
      <c r="E112" s="12" t="s">
        <v>49</v>
      </c>
      <c r="F112" s="13"/>
      <c r="G112" s="6" t="b">
        <v>1</v>
      </c>
      <c r="H112" s="6" t="b">
        <v>1</v>
      </c>
      <c r="I112" s="6" t="b">
        <v>1</v>
      </c>
      <c r="J112" s="6" t="b">
        <v>1</v>
      </c>
      <c r="K112" s="6" t="b">
        <v>1</v>
      </c>
      <c r="L112" s="6" t="b">
        <v>1</v>
      </c>
      <c r="M112" s="6" t="b">
        <v>1</v>
      </c>
      <c r="N112" s="6" t="b">
        <v>1</v>
      </c>
      <c r="O112" s="6" t="b">
        <v>1</v>
      </c>
      <c r="P112" s="6" t="b">
        <v>1</v>
      </c>
      <c r="Q112" s="6" t="b">
        <v>1</v>
      </c>
      <c r="R112" s="6" t="b">
        <v>1</v>
      </c>
      <c r="S112" s="6" t="b">
        <v>1</v>
      </c>
      <c r="T112" s="6" t="b">
        <v>1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1</v>
      </c>
      <c r="AA112" s="6" t="b">
        <v>1</v>
      </c>
      <c r="AB112" s="6" t="b">
        <v>1</v>
      </c>
      <c r="AC112" s="6" t="b">
        <v>1</v>
      </c>
      <c r="AD112" s="6" t="b">
        <v>1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1</v>
      </c>
      <c r="AJ112" s="6" t="b">
        <v>0</v>
      </c>
      <c r="AK112" s="6" t="b">
        <v>0</v>
      </c>
      <c r="AL112" s="9" t="str">
        <f t="shared" si="1"/>
        <v>20 dari 31 (65%)</v>
      </c>
    </row>
    <row r="113" ht="22.5" customHeight="1">
      <c r="A113" s="44">
        <v>112.0</v>
      </c>
      <c r="B113" s="45"/>
      <c r="C113" s="66">
        <v>61094.0</v>
      </c>
      <c r="D113" s="47" t="s">
        <v>41</v>
      </c>
      <c r="E113" s="47" t="s">
        <v>136</v>
      </c>
      <c r="F113" s="48"/>
      <c r="G113" s="42" t="b">
        <v>0</v>
      </c>
      <c r="H113" s="42" t="b">
        <v>0</v>
      </c>
      <c r="I113" s="42" t="b">
        <v>0</v>
      </c>
      <c r="J113" s="42" t="b">
        <v>0</v>
      </c>
      <c r="K113" s="42" t="b">
        <v>0</v>
      </c>
      <c r="L113" s="42" t="b">
        <v>0</v>
      </c>
      <c r="M113" s="42" t="b">
        <v>0</v>
      </c>
      <c r="N113" s="42" t="b">
        <v>0</v>
      </c>
      <c r="O113" s="42" t="b">
        <v>0</v>
      </c>
      <c r="P113" s="42" t="b">
        <v>0</v>
      </c>
      <c r="Q113" s="42" t="b">
        <v>0</v>
      </c>
      <c r="R113" s="42" t="b">
        <v>0</v>
      </c>
      <c r="S113" s="42" t="b">
        <v>0</v>
      </c>
      <c r="T113" s="42" t="b">
        <v>0</v>
      </c>
      <c r="U113" s="42" t="b">
        <v>0</v>
      </c>
      <c r="V113" s="42" t="b">
        <v>0</v>
      </c>
      <c r="W113" s="42" t="b">
        <v>0</v>
      </c>
      <c r="X113" s="42" t="b">
        <v>0</v>
      </c>
      <c r="Y113" s="42" t="b">
        <v>0</v>
      </c>
      <c r="Z113" s="42" t="b">
        <v>0</v>
      </c>
      <c r="AA113" s="42" t="b">
        <v>0</v>
      </c>
      <c r="AB113" s="42" t="b">
        <v>0</v>
      </c>
      <c r="AC113" s="42" t="b">
        <v>0</v>
      </c>
      <c r="AD113" s="42" t="b">
        <v>0</v>
      </c>
      <c r="AE113" s="42" t="b">
        <v>0</v>
      </c>
      <c r="AF113" s="42" t="b">
        <v>0</v>
      </c>
      <c r="AG113" s="42" t="b">
        <v>0</v>
      </c>
      <c r="AH113" s="42" t="b">
        <v>0</v>
      </c>
      <c r="AI113" s="42" t="b">
        <v>0</v>
      </c>
      <c r="AJ113" s="42" t="b">
        <v>0</v>
      </c>
      <c r="AK113" s="42" t="b">
        <v>0</v>
      </c>
      <c r="AL113" s="43" t="str">
        <f t="shared" si="1"/>
        <v>0 dari 31 (0%)</v>
      </c>
    </row>
    <row r="114" ht="22.5" customHeight="1">
      <c r="A114" s="10">
        <v>113.0</v>
      </c>
      <c r="B114" s="11"/>
      <c r="C114" s="22">
        <v>51096.0</v>
      </c>
      <c r="D114" s="12" t="s">
        <v>39</v>
      </c>
      <c r="E114" s="12" t="s">
        <v>42</v>
      </c>
      <c r="F114" s="13"/>
      <c r="G114" s="6" t="b">
        <v>1</v>
      </c>
      <c r="H114" s="6" t="b">
        <v>1</v>
      </c>
      <c r="I114" s="6" t="b">
        <v>1</v>
      </c>
      <c r="J114" s="6" t="b">
        <v>1</v>
      </c>
      <c r="K114" s="6" t="b">
        <v>1</v>
      </c>
      <c r="L114" s="6" t="b">
        <v>1</v>
      </c>
      <c r="M114" s="6" t="b">
        <v>1</v>
      </c>
      <c r="N114" s="6" t="b">
        <v>1</v>
      </c>
      <c r="O114" s="6" t="b">
        <v>1</v>
      </c>
      <c r="P114" s="6" t="b">
        <v>1</v>
      </c>
      <c r="Q114" s="6" t="b">
        <v>1</v>
      </c>
      <c r="R114" s="6" t="b">
        <v>1</v>
      </c>
      <c r="S114" s="6" t="b">
        <v>1</v>
      </c>
      <c r="T114" s="6" t="b">
        <v>1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1</v>
      </c>
      <c r="AA114" s="6" t="b">
        <v>1</v>
      </c>
      <c r="AB114" s="6" t="b">
        <v>0</v>
      </c>
      <c r="AC114" s="6" t="b">
        <v>0</v>
      </c>
      <c r="AD114" s="6" t="b">
        <v>1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1</v>
      </c>
      <c r="AJ114" s="6" t="b">
        <v>0</v>
      </c>
      <c r="AK114" s="6" t="b">
        <v>0</v>
      </c>
      <c r="AL114" s="17" t="str">
        <f t="shared" si="1"/>
        <v>18 dari 31 (58%)</v>
      </c>
    </row>
    <row r="115" ht="22.5" customHeight="1">
      <c r="A115" s="2">
        <v>114.0</v>
      </c>
      <c r="B115" s="11"/>
      <c r="C115" s="20">
        <v>57054.0</v>
      </c>
      <c r="D115" s="12" t="s">
        <v>101</v>
      </c>
      <c r="E115" s="12" t="s">
        <v>90</v>
      </c>
      <c r="F115" s="13"/>
      <c r="G115" s="6" t="b">
        <v>1</v>
      </c>
      <c r="H115" s="6" t="b">
        <v>1</v>
      </c>
      <c r="I115" s="6" t="b">
        <v>1</v>
      </c>
      <c r="J115" s="6" t="b">
        <v>1</v>
      </c>
      <c r="K115" s="6" t="b">
        <v>1</v>
      </c>
      <c r="L115" s="6" t="b">
        <v>1</v>
      </c>
      <c r="M115" s="6" t="b">
        <v>1</v>
      </c>
      <c r="N115" s="6" t="b">
        <v>1</v>
      </c>
      <c r="O115" s="6" t="b">
        <v>1</v>
      </c>
      <c r="P115" s="6" t="b">
        <v>1</v>
      </c>
      <c r="Q115" s="6" t="b">
        <v>1</v>
      </c>
      <c r="R115" s="6" t="b">
        <v>1</v>
      </c>
      <c r="S115" s="6" t="b">
        <v>1</v>
      </c>
      <c r="T115" s="6" t="b">
        <v>1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14 dari 31 (45%)</v>
      </c>
    </row>
    <row r="116" ht="22.5" customHeight="1">
      <c r="A116" s="10">
        <v>115.0</v>
      </c>
      <c r="B116" s="11"/>
      <c r="C116" s="20">
        <v>50967.0</v>
      </c>
      <c r="D116" s="12" t="s">
        <v>68</v>
      </c>
      <c r="E116" s="12" t="s">
        <v>55</v>
      </c>
      <c r="F116" s="13"/>
      <c r="G116" s="6" t="b">
        <v>1</v>
      </c>
      <c r="H116" s="6" t="b">
        <v>1</v>
      </c>
      <c r="I116" s="6" t="b">
        <v>1</v>
      </c>
      <c r="J116" s="6" t="b">
        <v>1</v>
      </c>
      <c r="K116" s="6" t="b">
        <v>1</v>
      </c>
      <c r="L116" s="6" t="b">
        <v>1</v>
      </c>
      <c r="M116" s="6" t="b">
        <v>1</v>
      </c>
      <c r="N116" s="6" t="b">
        <v>1</v>
      </c>
      <c r="O116" s="6" t="b">
        <v>1</v>
      </c>
      <c r="P116" s="6" t="b">
        <v>1</v>
      </c>
      <c r="Q116" s="6" t="b">
        <v>1</v>
      </c>
      <c r="R116" s="6" t="b">
        <v>1</v>
      </c>
      <c r="S116" s="6" t="b">
        <v>1</v>
      </c>
      <c r="T116" s="6" t="b">
        <v>1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1</v>
      </c>
      <c r="AJ116" s="6" t="b">
        <v>0</v>
      </c>
      <c r="AK116" s="6" t="b">
        <v>0</v>
      </c>
      <c r="AL116" s="9" t="str">
        <f t="shared" si="1"/>
        <v>15 dari 31 (48%)</v>
      </c>
    </row>
    <row r="117" ht="22.5" customHeight="1">
      <c r="A117" s="10">
        <v>116.0</v>
      </c>
      <c r="B117" s="11"/>
      <c r="C117" s="22">
        <v>59980.0</v>
      </c>
      <c r="D117" s="12" t="s">
        <v>98</v>
      </c>
      <c r="E117" s="12" t="s">
        <v>147</v>
      </c>
      <c r="F117" s="13"/>
      <c r="G117" s="6" t="b">
        <v>1</v>
      </c>
      <c r="H117" s="6" t="b">
        <v>1</v>
      </c>
      <c r="I117" s="6" t="b">
        <v>0</v>
      </c>
      <c r="J117" s="6" t="b">
        <v>1</v>
      </c>
      <c r="K117" s="6" t="b">
        <v>1</v>
      </c>
      <c r="L117" s="6" t="b">
        <v>1</v>
      </c>
      <c r="M117" s="6" t="b">
        <v>1</v>
      </c>
      <c r="N117" s="6" t="b">
        <v>1</v>
      </c>
      <c r="O117" s="6" t="b">
        <v>1</v>
      </c>
      <c r="P117" s="6" t="b">
        <v>1</v>
      </c>
      <c r="Q117" s="6" t="b">
        <v>1</v>
      </c>
      <c r="R117" s="6" t="b">
        <v>1</v>
      </c>
      <c r="S117" s="6" t="b">
        <v>1</v>
      </c>
      <c r="T117" s="6" t="b">
        <v>0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0</v>
      </c>
      <c r="AJ117" s="6" t="b">
        <v>0</v>
      </c>
      <c r="AK117" s="6" t="b">
        <v>0</v>
      </c>
      <c r="AL117" s="17" t="str">
        <f t="shared" si="1"/>
        <v>12 dari 31 (39%)</v>
      </c>
    </row>
    <row r="118" ht="22.5" customHeight="1">
      <c r="A118" s="2">
        <v>117.0</v>
      </c>
      <c r="B118" s="11"/>
      <c r="C118" s="22">
        <v>54027.0</v>
      </c>
      <c r="D118" s="12" t="s">
        <v>56</v>
      </c>
      <c r="E118" s="12" t="s">
        <v>87</v>
      </c>
      <c r="F118" s="13"/>
      <c r="G118" s="6" t="b">
        <v>1</v>
      </c>
      <c r="H118" s="6" t="b">
        <v>1</v>
      </c>
      <c r="I118" s="6" t="b">
        <v>1</v>
      </c>
      <c r="J118" s="6" t="b">
        <v>1</v>
      </c>
      <c r="K118" s="6" t="b">
        <v>1</v>
      </c>
      <c r="L118" s="6" t="b">
        <v>1</v>
      </c>
      <c r="M118" s="6" t="b">
        <v>1</v>
      </c>
      <c r="N118" s="6" t="b">
        <v>1</v>
      </c>
      <c r="O118" s="6" t="b">
        <v>1</v>
      </c>
      <c r="P118" s="6" t="b">
        <v>1</v>
      </c>
      <c r="Q118" s="6" t="b">
        <v>1</v>
      </c>
      <c r="R118" s="6" t="b">
        <v>1</v>
      </c>
      <c r="S118" s="6" t="b">
        <v>1</v>
      </c>
      <c r="T118" s="6" t="b">
        <v>1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1</v>
      </c>
      <c r="AJ118" s="6" t="b">
        <v>0</v>
      </c>
      <c r="AK118" s="6" t="b">
        <v>0</v>
      </c>
      <c r="AL118" s="9" t="str">
        <f t="shared" si="1"/>
        <v>15 dari 31 (48%)</v>
      </c>
    </row>
    <row r="119" ht="22.5" customHeight="1">
      <c r="A119" s="10">
        <v>118.0</v>
      </c>
      <c r="B119" s="11"/>
      <c r="C119" s="22">
        <v>60965.0</v>
      </c>
      <c r="D119" s="12" t="s">
        <v>80</v>
      </c>
      <c r="E119" s="12" t="s">
        <v>143</v>
      </c>
      <c r="F119" s="14" t="s">
        <v>50</v>
      </c>
      <c r="G119" s="6" t="b">
        <v>1</v>
      </c>
      <c r="H119" s="6" t="b">
        <v>0</v>
      </c>
      <c r="I119" s="6" t="b">
        <v>0</v>
      </c>
      <c r="J119" s="6" t="b">
        <v>1</v>
      </c>
      <c r="K119" s="6" t="b">
        <v>1</v>
      </c>
      <c r="L119" s="6" t="b">
        <v>1</v>
      </c>
      <c r="M119" s="6" t="b">
        <v>1</v>
      </c>
      <c r="N119" s="6" t="b">
        <v>1</v>
      </c>
      <c r="O119" s="6" t="b">
        <v>1</v>
      </c>
      <c r="P119" s="6" t="b">
        <v>1</v>
      </c>
      <c r="Q119" s="6" t="b">
        <v>1</v>
      </c>
      <c r="R119" s="6" t="b">
        <v>1</v>
      </c>
      <c r="S119" s="6" t="b">
        <v>1</v>
      </c>
      <c r="T119" s="6" t="b">
        <v>0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1</v>
      </c>
      <c r="AA119" s="6" t="b">
        <v>1</v>
      </c>
      <c r="AB119" s="6" t="b">
        <v>0</v>
      </c>
      <c r="AC119" s="6" t="b">
        <v>0</v>
      </c>
      <c r="AD119" s="6" t="b">
        <v>1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1</v>
      </c>
      <c r="AJ119" s="6" t="b">
        <v>0</v>
      </c>
      <c r="AK119" s="6" t="b">
        <v>0</v>
      </c>
      <c r="AL119" s="9" t="str">
        <f t="shared" si="1"/>
        <v>15 dari 31 (48%)</v>
      </c>
    </row>
    <row r="120" ht="22.5" customHeight="1">
      <c r="A120" s="10">
        <v>119.0</v>
      </c>
      <c r="B120" s="11"/>
      <c r="C120" s="22">
        <v>58072.0</v>
      </c>
      <c r="D120" s="12" t="s">
        <v>80</v>
      </c>
      <c r="E120" s="12" t="s">
        <v>143</v>
      </c>
      <c r="F120" s="14" t="s">
        <v>50</v>
      </c>
      <c r="G120" s="6" t="b">
        <v>1</v>
      </c>
      <c r="H120" s="6" t="b">
        <v>0</v>
      </c>
      <c r="I120" s="6" t="b">
        <v>0</v>
      </c>
      <c r="J120" s="6" t="b">
        <v>0</v>
      </c>
      <c r="K120" s="6" t="b">
        <v>0</v>
      </c>
      <c r="L120" s="6" t="b">
        <v>0</v>
      </c>
      <c r="M120" s="6" t="b">
        <v>0</v>
      </c>
      <c r="N120" s="6" t="b">
        <v>0</v>
      </c>
      <c r="O120" s="6" t="b">
        <v>0</v>
      </c>
      <c r="P120" s="6" t="b">
        <v>0</v>
      </c>
      <c r="Q120" s="6" t="b">
        <v>0</v>
      </c>
      <c r="R120" s="6" t="b">
        <v>0</v>
      </c>
      <c r="S120" s="6" t="b">
        <v>0</v>
      </c>
      <c r="T120" s="6" t="b">
        <v>0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0</v>
      </c>
      <c r="AJ120" s="6" t="b">
        <v>0</v>
      </c>
      <c r="AK120" s="6" t="b">
        <v>0</v>
      </c>
      <c r="AL120" s="17" t="str">
        <f t="shared" si="1"/>
        <v>1 dari 31 (3%)</v>
      </c>
    </row>
    <row r="121" ht="22.5" customHeight="1">
      <c r="A121" s="2">
        <v>120.0</v>
      </c>
      <c r="B121" s="11"/>
      <c r="C121" s="22">
        <v>57419.0</v>
      </c>
      <c r="D121" s="12" t="s">
        <v>80</v>
      </c>
      <c r="E121" s="12" t="s">
        <v>143</v>
      </c>
      <c r="F121" s="14" t="s">
        <v>50</v>
      </c>
      <c r="G121" s="6" t="b">
        <v>1</v>
      </c>
      <c r="H121" s="6" t="b">
        <v>0</v>
      </c>
      <c r="I121" s="6" t="b">
        <v>0</v>
      </c>
      <c r="J121" s="6" t="b">
        <v>0</v>
      </c>
      <c r="K121" s="6" t="b">
        <v>0</v>
      </c>
      <c r="L121" s="6" t="b">
        <v>0</v>
      </c>
      <c r="M121" s="6" t="b">
        <v>0</v>
      </c>
      <c r="N121" s="6" t="b">
        <v>0</v>
      </c>
      <c r="O121" s="6" t="b">
        <v>0</v>
      </c>
      <c r="P121" s="6" t="b">
        <v>0</v>
      </c>
      <c r="Q121" s="6" t="b">
        <v>0</v>
      </c>
      <c r="R121" s="6" t="b">
        <v>0</v>
      </c>
      <c r="S121" s="6" t="b">
        <v>0</v>
      </c>
      <c r="T121" s="6" t="b">
        <v>0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0</v>
      </c>
      <c r="AJ121" s="6" t="b">
        <v>0</v>
      </c>
      <c r="AK121" s="6" t="b">
        <v>0</v>
      </c>
      <c r="AL121" s="9" t="str">
        <f t="shared" si="1"/>
        <v>1 dari 31 (3%)</v>
      </c>
    </row>
    <row r="122" ht="22.5" customHeight="1">
      <c r="A122" s="10">
        <v>121.0</v>
      </c>
      <c r="B122" s="11"/>
      <c r="C122" s="21">
        <v>60521.0</v>
      </c>
      <c r="D122" s="12" t="s">
        <v>39</v>
      </c>
      <c r="E122" s="12" t="s">
        <v>42</v>
      </c>
      <c r="F122" s="13"/>
      <c r="G122" s="6" t="b">
        <v>1</v>
      </c>
      <c r="H122" s="6" t="b">
        <v>1</v>
      </c>
      <c r="I122" s="6" t="b">
        <v>0</v>
      </c>
      <c r="J122" s="6" t="b">
        <v>1</v>
      </c>
      <c r="K122" s="6" t="b">
        <v>1</v>
      </c>
      <c r="L122" s="6" t="b">
        <v>1</v>
      </c>
      <c r="M122" s="6" t="b">
        <v>1</v>
      </c>
      <c r="N122" s="6" t="b">
        <v>1</v>
      </c>
      <c r="O122" s="6" t="b">
        <v>1</v>
      </c>
      <c r="P122" s="6" t="b">
        <v>1</v>
      </c>
      <c r="Q122" s="6" t="b">
        <v>1</v>
      </c>
      <c r="R122" s="6" t="b">
        <v>1</v>
      </c>
      <c r="S122" s="6" t="b">
        <v>1</v>
      </c>
      <c r="T122" s="6" t="b">
        <v>1</v>
      </c>
      <c r="U122" s="6" t="b">
        <v>0</v>
      </c>
      <c r="V122" s="6" t="b">
        <v>0</v>
      </c>
      <c r="W122" s="6" t="b">
        <v>1</v>
      </c>
      <c r="X122" s="6" t="b">
        <v>1</v>
      </c>
      <c r="Y122" s="6" t="b">
        <v>1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1</v>
      </c>
      <c r="AJ122" s="6" t="b">
        <v>0</v>
      </c>
      <c r="AK122" s="6" t="b">
        <v>0</v>
      </c>
      <c r="AL122" s="9" t="str">
        <f t="shared" si="1"/>
        <v>17 dari 31 (55%)</v>
      </c>
    </row>
    <row r="123" ht="22.5" customHeight="1">
      <c r="A123" s="10">
        <v>122.0</v>
      </c>
      <c r="B123" s="11"/>
      <c r="C123" s="22">
        <v>60563.0</v>
      </c>
      <c r="D123" s="12" t="s">
        <v>85</v>
      </c>
      <c r="E123" s="12" t="s">
        <v>69</v>
      </c>
      <c r="F123" s="13"/>
      <c r="G123" s="6" t="b">
        <v>1</v>
      </c>
      <c r="H123" s="6" t="b">
        <v>1</v>
      </c>
      <c r="I123" s="6" t="b">
        <v>1</v>
      </c>
      <c r="J123" s="6" t="b">
        <v>1</v>
      </c>
      <c r="K123" s="6" t="b">
        <v>1</v>
      </c>
      <c r="L123" s="6" t="b">
        <v>1</v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1</v>
      </c>
      <c r="S123" s="6" t="b">
        <v>1</v>
      </c>
      <c r="T123" s="6" t="b">
        <v>1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1</v>
      </c>
      <c r="AJ123" s="6" t="b">
        <v>0</v>
      </c>
      <c r="AK123" s="6" t="b">
        <v>0</v>
      </c>
      <c r="AL123" s="17" t="str">
        <f t="shared" si="1"/>
        <v>15 dari 31 (48%)</v>
      </c>
    </row>
    <row r="124" ht="22.5" customHeight="1">
      <c r="A124" s="2">
        <v>123.0</v>
      </c>
      <c r="B124" s="11"/>
      <c r="C124" s="22">
        <v>38219.0</v>
      </c>
      <c r="D124" s="12" t="s">
        <v>41</v>
      </c>
      <c r="E124" s="12" t="s">
        <v>125</v>
      </c>
      <c r="F124" s="13"/>
      <c r="G124" s="6" t="b">
        <v>1</v>
      </c>
      <c r="H124" s="6" t="b">
        <v>1</v>
      </c>
      <c r="I124" s="6" t="b">
        <v>0</v>
      </c>
      <c r="J124" s="6" t="b">
        <v>1</v>
      </c>
      <c r="K124" s="6" t="b">
        <v>1</v>
      </c>
      <c r="L124" s="6" t="b">
        <v>1</v>
      </c>
      <c r="M124" s="6" t="b">
        <v>1</v>
      </c>
      <c r="N124" s="6" t="b">
        <v>1</v>
      </c>
      <c r="O124" s="6" t="b">
        <v>1</v>
      </c>
      <c r="P124" s="6" t="b">
        <v>1</v>
      </c>
      <c r="Q124" s="6" t="b">
        <v>1</v>
      </c>
      <c r="R124" s="6" t="b">
        <v>1</v>
      </c>
      <c r="S124" s="6" t="b">
        <v>1</v>
      </c>
      <c r="T124" s="6" t="b">
        <v>1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0</v>
      </c>
      <c r="AJ124" s="6" t="b">
        <v>0</v>
      </c>
      <c r="AK124" s="6" t="b">
        <v>0</v>
      </c>
      <c r="AL124" s="9" t="str">
        <f t="shared" si="1"/>
        <v>13 dari 31 (42%)</v>
      </c>
    </row>
    <row r="125" ht="22.5" customHeight="1">
      <c r="A125" s="10">
        <v>124.0</v>
      </c>
      <c r="B125" s="11"/>
      <c r="C125" s="65">
        <v>51131.0</v>
      </c>
      <c r="D125" s="12" t="s">
        <v>51</v>
      </c>
      <c r="E125" s="12" t="s">
        <v>61</v>
      </c>
      <c r="F125" s="13"/>
      <c r="G125" s="6" t="b">
        <v>1</v>
      </c>
      <c r="H125" s="6" t="b">
        <v>1</v>
      </c>
      <c r="I125" s="6" t="b">
        <v>0</v>
      </c>
      <c r="J125" s="6" t="b">
        <v>1</v>
      </c>
      <c r="K125" s="6" t="b">
        <v>1</v>
      </c>
      <c r="L125" s="6" t="b">
        <v>1</v>
      </c>
      <c r="M125" s="6" t="b">
        <v>1</v>
      </c>
      <c r="N125" s="6" t="b">
        <v>1</v>
      </c>
      <c r="O125" s="6" t="b">
        <v>1</v>
      </c>
      <c r="P125" s="6" t="b">
        <v>1</v>
      </c>
      <c r="Q125" s="6" t="b">
        <v>1</v>
      </c>
      <c r="R125" s="6" t="b">
        <v>1</v>
      </c>
      <c r="S125" s="6" t="b">
        <v>1</v>
      </c>
      <c r="T125" s="6" t="b">
        <v>1</v>
      </c>
      <c r="U125" s="6" t="b">
        <v>0</v>
      </c>
      <c r="V125" s="6" t="b">
        <v>0</v>
      </c>
      <c r="W125" s="6" t="b">
        <v>1</v>
      </c>
      <c r="X125" s="6" t="b">
        <v>1</v>
      </c>
      <c r="Y125" s="6" t="b">
        <v>1</v>
      </c>
      <c r="Z125" s="6" t="b">
        <v>0</v>
      </c>
      <c r="AA125" s="6" t="b">
        <v>0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0</v>
      </c>
      <c r="AJ125" s="6" t="b">
        <v>0</v>
      </c>
      <c r="AK125" s="6" t="b">
        <v>0</v>
      </c>
      <c r="AL125" s="9" t="str">
        <f t="shared" si="1"/>
        <v>16 dari 31 (52%)</v>
      </c>
    </row>
    <row r="126" ht="22.5" customHeight="1">
      <c r="A126" s="10">
        <v>125.0</v>
      </c>
      <c r="B126" s="11"/>
      <c r="C126" s="22">
        <v>60962.0</v>
      </c>
      <c r="D126" s="12" t="s">
        <v>149</v>
      </c>
      <c r="E126" s="12" t="s">
        <v>150</v>
      </c>
      <c r="F126" s="13"/>
      <c r="G126" s="6" t="b">
        <v>1</v>
      </c>
      <c r="H126" s="6" t="b">
        <v>1</v>
      </c>
      <c r="I126" s="6" t="b">
        <v>0</v>
      </c>
      <c r="J126" s="6" t="b">
        <v>1</v>
      </c>
      <c r="K126" s="6" t="b">
        <v>1</v>
      </c>
      <c r="L126" s="6" t="b">
        <v>1</v>
      </c>
      <c r="M126" s="6" t="b">
        <v>1</v>
      </c>
      <c r="N126" s="6" t="b">
        <v>1</v>
      </c>
      <c r="O126" s="6" t="b">
        <v>1</v>
      </c>
      <c r="P126" s="6" t="b">
        <v>1</v>
      </c>
      <c r="Q126" s="6" t="b">
        <v>1</v>
      </c>
      <c r="R126" s="6" t="b">
        <v>1</v>
      </c>
      <c r="S126" s="6" t="b">
        <v>1</v>
      </c>
      <c r="T126" s="6" t="b">
        <v>1</v>
      </c>
      <c r="U126" s="6" t="b">
        <v>0</v>
      </c>
      <c r="V126" s="6" t="b">
        <v>0</v>
      </c>
      <c r="W126" s="6" t="b">
        <v>1</v>
      </c>
      <c r="X126" s="6" t="b">
        <v>1</v>
      </c>
      <c r="Y126" s="6" t="b">
        <v>1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0</v>
      </c>
      <c r="AJ126" s="6" t="b">
        <v>0</v>
      </c>
      <c r="AK126" s="6" t="b">
        <v>0</v>
      </c>
      <c r="AL126" s="17" t="str">
        <f t="shared" si="1"/>
        <v>16 dari 31 (52%)</v>
      </c>
    </row>
    <row r="127" ht="22.5" customHeight="1">
      <c r="A127" s="2">
        <v>126.0</v>
      </c>
      <c r="B127" s="11"/>
      <c r="C127" s="22">
        <v>61098.0</v>
      </c>
      <c r="D127" s="12" t="s">
        <v>51</v>
      </c>
      <c r="E127" s="12" t="s">
        <v>61</v>
      </c>
      <c r="F127" s="13"/>
      <c r="G127" s="6" t="b">
        <v>1</v>
      </c>
      <c r="H127" s="6" t="b">
        <v>1</v>
      </c>
      <c r="I127" s="6" t="b">
        <v>1</v>
      </c>
      <c r="J127" s="6" t="b">
        <v>1</v>
      </c>
      <c r="K127" s="6" t="b">
        <v>1</v>
      </c>
      <c r="L127" s="6" t="b">
        <v>1</v>
      </c>
      <c r="M127" s="6" t="b">
        <v>1</v>
      </c>
      <c r="N127" s="6" t="b">
        <v>1</v>
      </c>
      <c r="O127" s="6" t="b">
        <v>1</v>
      </c>
      <c r="P127" s="6" t="b">
        <v>1</v>
      </c>
      <c r="Q127" s="6" t="b">
        <v>1</v>
      </c>
      <c r="R127" s="6" t="b">
        <v>1</v>
      </c>
      <c r="S127" s="6" t="b">
        <v>1</v>
      </c>
      <c r="T127" s="6" t="b">
        <v>0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1</v>
      </c>
      <c r="AJ127" s="6" t="b">
        <v>0</v>
      </c>
      <c r="AK127" s="6" t="b">
        <v>0</v>
      </c>
      <c r="AL127" s="9" t="str">
        <f t="shared" si="1"/>
        <v>14 dari 31 (45%)</v>
      </c>
    </row>
    <row r="128" ht="22.5" customHeight="1">
      <c r="A128" s="44">
        <v>127.0</v>
      </c>
      <c r="B128" s="45"/>
      <c r="C128" s="46">
        <v>23732.0</v>
      </c>
      <c r="D128" s="47" t="s">
        <v>85</v>
      </c>
      <c r="E128" s="47" t="s">
        <v>69</v>
      </c>
      <c r="F128" s="48"/>
      <c r="G128" s="42" t="b">
        <v>0</v>
      </c>
      <c r="H128" s="42" t="b">
        <v>0</v>
      </c>
      <c r="I128" s="42" t="b">
        <v>0</v>
      </c>
      <c r="J128" s="42" t="b">
        <v>0</v>
      </c>
      <c r="K128" s="42" t="b">
        <v>0</v>
      </c>
      <c r="L128" s="42" t="b">
        <v>0</v>
      </c>
      <c r="M128" s="42" t="b">
        <v>0</v>
      </c>
      <c r="N128" s="42" t="b">
        <v>0</v>
      </c>
      <c r="O128" s="42" t="b">
        <v>0</v>
      </c>
      <c r="P128" s="42" t="b">
        <v>0</v>
      </c>
      <c r="Q128" s="42" t="b">
        <v>0</v>
      </c>
      <c r="R128" s="42" t="b">
        <v>0</v>
      </c>
      <c r="S128" s="42" t="b">
        <v>0</v>
      </c>
      <c r="T128" s="42" t="b">
        <v>0</v>
      </c>
      <c r="U128" s="42" t="b">
        <v>0</v>
      </c>
      <c r="V128" s="42" t="b">
        <v>0</v>
      </c>
      <c r="W128" s="42" t="b">
        <v>0</v>
      </c>
      <c r="X128" s="42" t="b">
        <v>0</v>
      </c>
      <c r="Y128" s="42" t="b">
        <v>0</v>
      </c>
      <c r="Z128" s="42" t="b">
        <v>0</v>
      </c>
      <c r="AA128" s="42" t="b">
        <v>0</v>
      </c>
      <c r="AB128" s="42" t="b">
        <v>0</v>
      </c>
      <c r="AC128" s="42" t="b">
        <v>0</v>
      </c>
      <c r="AD128" s="42" t="b">
        <v>0</v>
      </c>
      <c r="AE128" s="42" t="b">
        <v>0</v>
      </c>
      <c r="AF128" s="42" t="b">
        <v>0</v>
      </c>
      <c r="AG128" s="42" t="b">
        <v>0</v>
      </c>
      <c r="AH128" s="42" t="b">
        <v>0</v>
      </c>
      <c r="AI128" s="42" t="b">
        <v>0</v>
      </c>
      <c r="AJ128" s="42" t="b">
        <v>0</v>
      </c>
      <c r="AK128" s="42" t="b">
        <v>0</v>
      </c>
      <c r="AL128" s="43" t="str">
        <f t="shared" si="1"/>
        <v>0 dari 31 (0%)</v>
      </c>
    </row>
    <row r="129" ht="22.5" customHeight="1">
      <c r="A129" s="10">
        <v>128.0</v>
      </c>
      <c r="B129" s="11"/>
      <c r="C129" s="22">
        <v>61097.0</v>
      </c>
      <c r="D129" s="12" t="s">
        <v>51</v>
      </c>
      <c r="E129" s="12" t="s">
        <v>61</v>
      </c>
      <c r="F129" s="13"/>
      <c r="G129" s="6" t="b">
        <v>1</v>
      </c>
      <c r="H129" s="6" t="b">
        <v>1</v>
      </c>
      <c r="I129" s="6" t="b">
        <v>1</v>
      </c>
      <c r="J129" s="6" t="b">
        <v>1</v>
      </c>
      <c r="K129" s="6" t="b">
        <v>1</v>
      </c>
      <c r="L129" s="6" t="b">
        <v>1</v>
      </c>
      <c r="M129" s="6" t="b">
        <v>1</v>
      </c>
      <c r="N129" s="6" t="b">
        <v>1</v>
      </c>
      <c r="O129" s="6" t="b">
        <v>1</v>
      </c>
      <c r="P129" s="6" t="b">
        <v>1</v>
      </c>
      <c r="Q129" s="6" t="b">
        <v>1</v>
      </c>
      <c r="R129" s="6" t="b">
        <v>1</v>
      </c>
      <c r="S129" s="6" t="b">
        <v>1</v>
      </c>
      <c r="T129" s="6" t="b">
        <v>0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1</v>
      </c>
      <c r="AJ129" s="6" t="b">
        <v>0</v>
      </c>
      <c r="AK129" s="6" t="b">
        <v>0</v>
      </c>
      <c r="AL129" s="17" t="str">
        <f t="shared" si="1"/>
        <v>14 dari 31 (45%)</v>
      </c>
    </row>
    <row r="130" ht="22.5" customHeight="1">
      <c r="A130" s="2">
        <v>129.0</v>
      </c>
      <c r="B130" s="11"/>
      <c r="C130" s="22">
        <v>36950.0</v>
      </c>
      <c r="D130" s="12" t="s">
        <v>41</v>
      </c>
      <c r="E130" s="12" t="s">
        <v>136</v>
      </c>
      <c r="F130" s="13"/>
      <c r="G130" s="6" t="b">
        <v>1</v>
      </c>
      <c r="H130" s="6" t="b">
        <v>1</v>
      </c>
      <c r="I130" s="6" t="b">
        <v>0</v>
      </c>
      <c r="J130" s="6" t="b">
        <v>1</v>
      </c>
      <c r="K130" s="6" t="b">
        <v>1</v>
      </c>
      <c r="L130" s="6" t="b">
        <v>1</v>
      </c>
      <c r="M130" s="6" t="b">
        <v>1</v>
      </c>
      <c r="N130" s="6" t="b">
        <v>1</v>
      </c>
      <c r="O130" s="6" t="b">
        <v>1</v>
      </c>
      <c r="P130" s="6" t="b">
        <v>1</v>
      </c>
      <c r="Q130" s="6" t="b">
        <v>1</v>
      </c>
      <c r="R130" s="6" t="b">
        <v>1</v>
      </c>
      <c r="S130" s="6" t="b">
        <v>1</v>
      </c>
      <c r="T130" s="6" t="b">
        <v>1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0</v>
      </c>
      <c r="AJ130" s="6" t="b">
        <v>0</v>
      </c>
      <c r="AK130" s="6" t="b">
        <v>0</v>
      </c>
      <c r="AL130" s="9" t="str">
        <f t="shared" si="1"/>
        <v>13 dari 31 (42%)</v>
      </c>
    </row>
    <row r="131" ht="22.5" customHeight="1">
      <c r="A131" s="10">
        <v>130.0</v>
      </c>
      <c r="B131" s="11"/>
      <c r="C131" s="22">
        <v>60492.0</v>
      </c>
      <c r="D131" s="12" t="s">
        <v>63</v>
      </c>
      <c r="E131" s="12" t="s">
        <v>112</v>
      </c>
      <c r="F131" s="13"/>
      <c r="G131" s="6" t="b">
        <v>1</v>
      </c>
      <c r="H131" s="6" t="b">
        <v>1</v>
      </c>
      <c r="I131" s="6" t="b">
        <v>1</v>
      </c>
      <c r="J131" s="6" t="b">
        <v>1</v>
      </c>
      <c r="K131" s="6" t="b">
        <v>1</v>
      </c>
      <c r="L131" s="6" t="b">
        <v>1</v>
      </c>
      <c r="M131" s="6" t="b">
        <v>1</v>
      </c>
      <c r="N131" s="6" t="b">
        <v>1</v>
      </c>
      <c r="O131" s="6" t="b">
        <v>1</v>
      </c>
      <c r="P131" s="6" t="b">
        <v>1</v>
      </c>
      <c r="Q131" s="6" t="b">
        <v>1</v>
      </c>
      <c r="R131" s="6" t="b">
        <v>1</v>
      </c>
      <c r="S131" s="6" t="b">
        <v>1</v>
      </c>
      <c r="T131" s="6" t="b">
        <v>1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1</v>
      </c>
      <c r="AJ131" s="6" t="b">
        <v>0</v>
      </c>
      <c r="AK131" s="6" t="b">
        <v>0</v>
      </c>
      <c r="AL131" s="9" t="str">
        <f t="shared" si="1"/>
        <v>15 dari 31 (48%)</v>
      </c>
    </row>
    <row r="132" ht="22.5" customHeight="1">
      <c r="A132" s="10">
        <v>131.0</v>
      </c>
      <c r="B132" s="11"/>
      <c r="C132" s="20">
        <v>60585.0</v>
      </c>
      <c r="D132" s="12" t="s">
        <v>85</v>
      </c>
      <c r="E132" s="12" t="s">
        <v>128</v>
      </c>
      <c r="F132" s="13"/>
      <c r="G132" s="6" t="b">
        <v>1</v>
      </c>
      <c r="H132" s="6" t="b">
        <v>1</v>
      </c>
      <c r="I132" s="6" t="b">
        <v>1</v>
      </c>
      <c r="J132" s="6" t="b">
        <v>1</v>
      </c>
      <c r="K132" s="6" t="b">
        <v>1</v>
      </c>
      <c r="L132" s="6" t="b">
        <v>1</v>
      </c>
      <c r="M132" s="6" t="b">
        <v>1</v>
      </c>
      <c r="N132" s="6" t="b">
        <v>1</v>
      </c>
      <c r="O132" s="6" t="b">
        <v>1</v>
      </c>
      <c r="P132" s="6" t="b">
        <v>1</v>
      </c>
      <c r="Q132" s="6" t="b">
        <v>1</v>
      </c>
      <c r="R132" s="6" t="b">
        <v>1</v>
      </c>
      <c r="S132" s="6" t="b">
        <v>1</v>
      </c>
      <c r="T132" s="6" t="b">
        <v>1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1</v>
      </c>
      <c r="AJ132" s="6" t="b">
        <v>0</v>
      </c>
      <c r="AK132" s="6" t="b">
        <v>0</v>
      </c>
      <c r="AL132" s="17" t="str">
        <f t="shared" si="1"/>
        <v>15 dari 31 (48%)</v>
      </c>
    </row>
    <row r="133" ht="22.5" customHeight="1">
      <c r="A133" s="2">
        <v>132.0</v>
      </c>
      <c r="B133" s="11"/>
      <c r="C133" s="20">
        <v>61099.0</v>
      </c>
      <c r="D133" s="12" t="s">
        <v>39</v>
      </c>
      <c r="E133" s="12" t="s">
        <v>42</v>
      </c>
      <c r="F133" s="13"/>
      <c r="G133" s="6" t="b">
        <v>1</v>
      </c>
      <c r="H133" s="6" t="b">
        <v>1</v>
      </c>
      <c r="I133" s="6" t="b">
        <v>1</v>
      </c>
      <c r="J133" s="6" t="b">
        <v>1</v>
      </c>
      <c r="K133" s="6" t="b">
        <v>1</v>
      </c>
      <c r="L133" s="6" t="b">
        <v>1</v>
      </c>
      <c r="M133" s="6" t="b">
        <v>1</v>
      </c>
      <c r="N133" s="6" t="b">
        <v>1</v>
      </c>
      <c r="O133" s="6" t="b">
        <v>1</v>
      </c>
      <c r="P133" s="6" t="b">
        <v>1</v>
      </c>
      <c r="Q133" s="6" t="b">
        <v>1</v>
      </c>
      <c r="R133" s="6" t="b">
        <v>1</v>
      </c>
      <c r="S133" s="6" t="b">
        <v>1</v>
      </c>
      <c r="T133" s="6" t="b">
        <v>1</v>
      </c>
      <c r="U133" s="6" t="b">
        <v>0</v>
      </c>
      <c r="V133" s="6" t="b">
        <v>0</v>
      </c>
      <c r="W133" s="6" t="b">
        <v>1</v>
      </c>
      <c r="X133" s="6" t="b">
        <v>1</v>
      </c>
      <c r="Y133" s="6" t="b">
        <v>1</v>
      </c>
      <c r="Z133" s="6" t="b">
        <v>1</v>
      </c>
      <c r="AA133" s="6" t="b">
        <v>1</v>
      </c>
      <c r="AB133" s="6" t="b">
        <v>1</v>
      </c>
      <c r="AC133" s="6" t="b">
        <v>1</v>
      </c>
      <c r="AD133" s="6" t="b">
        <v>1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1</v>
      </c>
      <c r="AJ133" s="6" t="b">
        <v>0</v>
      </c>
      <c r="AK133" s="6" t="b">
        <v>0</v>
      </c>
      <c r="AL133" s="9" t="str">
        <f t="shared" si="1"/>
        <v>23 dari 31 (74%)</v>
      </c>
    </row>
    <row r="134" ht="22.5" customHeight="1">
      <c r="A134" s="61">
        <v>133.0</v>
      </c>
      <c r="B134" s="62"/>
      <c r="C134" s="60">
        <v>61100.0</v>
      </c>
      <c r="D134" s="51" t="s">
        <v>63</v>
      </c>
      <c r="E134" s="51" t="s">
        <v>64</v>
      </c>
      <c r="F134" s="53"/>
      <c r="G134" s="35" t="b">
        <v>0</v>
      </c>
      <c r="H134" s="35" t="b">
        <v>0</v>
      </c>
      <c r="I134" s="35" t="b">
        <v>0</v>
      </c>
      <c r="J134" s="35" t="b">
        <v>0</v>
      </c>
      <c r="K134" s="35" t="b">
        <v>0</v>
      </c>
      <c r="L134" s="35" t="b">
        <v>0</v>
      </c>
      <c r="M134" s="35" t="b">
        <v>0</v>
      </c>
      <c r="N134" s="35" t="b">
        <v>0</v>
      </c>
      <c r="O134" s="35" t="b">
        <v>0</v>
      </c>
      <c r="P134" s="35" t="b">
        <v>0</v>
      </c>
      <c r="Q134" s="35" t="b">
        <v>0</v>
      </c>
      <c r="R134" s="35" t="b">
        <v>0</v>
      </c>
      <c r="S134" s="35" t="b">
        <v>0</v>
      </c>
      <c r="T134" s="35" t="b">
        <v>0</v>
      </c>
      <c r="U134" s="35" t="b">
        <v>0</v>
      </c>
      <c r="V134" s="35" t="b">
        <v>0</v>
      </c>
      <c r="W134" s="35" t="b">
        <v>0</v>
      </c>
      <c r="X134" s="35" t="b">
        <v>0</v>
      </c>
      <c r="Y134" s="35" t="b">
        <v>0</v>
      </c>
      <c r="Z134" s="35" t="b">
        <v>0</v>
      </c>
      <c r="AA134" s="35" t="b">
        <v>0</v>
      </c>
      <c r="AB134" s="35" t="b">
        <v>0</v>
      </c>
      <c r="AC134" s="35" t="b">
        <v>0</v>
      </c>
      <c r="AD134" s="35" t="b">
        <v>0</v>
      </c>
      <c r="AE134" s="35" t="b">
        <v>0</v>
      </c>
      <c r="AF134" s="35" t="b">
        <v>0</v>
      </c>
      <c r="AG134" s="35" t="b">
        <v>0</v>
      </c>
      <c r="AH134" s="35" t="b">
        <v>0</v>
      </c>
      <c r="AI134" s="35" t="b">
        <v>0</v>
      </c>
      <c r="AJ134" s="35" t="b">
        <v>0</v>
      </c>
      <c r="AK134" s="35" t="b">
        <v>0</v>
      </c>
      <c r="AL134" s="38" t="str">
        <f t="shared" si="1"/>
        <v>0 dari 31 (0%)</v>
      </c>
    </row>
    <row r="135" ht="22.5" customHeight="1">
      <c r="A135" s="10">
        <v>134.0</v>
      </c>
      <c r="B135" s="11"/>
      <c r="C135" s="22">
        <v>28769.0</v>
      </c>
      <c r="D135" s="12" t="s">
        <v>63</v>
      </c>
      <c r="E135" s="12" t="s">
        <v>87</v>
      </c>
      <c r="F135" s="13"/>
      <c r="G135" s="6" t="b">
        <v>1</v>
      </c>
      <c r="H135" s="6" t="b">
        <v>1</v>
      </c>
      <c r="I135" s="6" t="b">
        <v>1</v>
      </c>
      <c r="J135" s="6" t="b">
        <v>1</v>
      </c>
      <c r="K135" s="6" t="b">
        <v>1</v>
      </c>
      <c r="L135" s="6" t="b">
        <v>1</v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1</v>
      </c>
      <c r="S135" s="6" t="b">
        <v>1</v>
      </c>
      <c r="T135" s="6" t="b">
        <v>1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1</v>
      </c>
      <c r="AJ135" s="6" t="b">
        <v>0</v>
      </c>
      <c r="AK135" s="6" t="b">
        <v>0</v>
      </c>
      <c r="AL135" s="17" t="str">
        <f t="shared" si="1"/>
        <v>15 dari 31 (48%)</v>
      </c>
    </row>
    <row r="136" ht="22.5" customHeight="1">
      <c r="A136" s="2">
        <v>135.0</v>
      </c>
      <c r="B136" s="11"/>
      <c r="C136" s="22">
        <v>61101.0</v>
      </c>
      <c r="D136" s="12" t="s">
        <v>51</v>
      </c>
      <c r="E136" s="12" t="s">
        <v>61</v>
      </c>
      <c r="F136" s="13"/>
      <c r="G136" s="6" t="b">
        <v>1</v>
      </c>
      <c r="H136" s="6" t="b">
        <v>1</v>
      </c>
      <c r="I136" s="6" t="b">
        <v>1</v>
      </c>
      <c r="J136" s="6" t="b">
        <v>1</v>
      </c>
      <c r="K136" s="6" t="b">
        <v>1</v>
      </c>
      <c r="L136" s="6" t="b">
        <v>1</v>
      </c>
      <c r="M136" s="6" t="b">
        <v>1</v>
      </c>
      <c r="N136" s="6" t="b">
        <v>1</v>
      </c>
      <c r="O136" s="6" t="b">
        <v>1</v>
      </c>
      <c r="P136" s="6" t="b">
        <v>1</v>
      </c>
      <c r="Q136" s="6" t="b">
        <v>1</v>
      </c>
      <c r="R136" s="6" t="b">
        <v>1</v>
      </c>
      <c r="S136" s="6" t="b">
        <v>1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1</v>
      </c>
      <c r="AJ136" s="6" t="b">
        <v>0</v>
      </c>
      <c r="AK136" s="6" t="b">
        <v>0</v>
      </c>
      <c r="AL136" s="9" t="str">
        <f t="shared" si="1"/>
        <v>14 dari 31 (45%)</v>
      </c>
    </row>
    <row r="137" ht="22.5" customHeight="1">
      <c r="A137" s="10">
        <v>136.0</v>
      </c>
      <c r="B137" s="11"/>
      <c r="C137" s="22">
        <v>29000.0</v>
      </c>
      <c r="D137" s="12" t="s">
        <v>40</v>
      </c>
      <c r="E137" s="12" t="s">
        <v>49</v>
      </c>
      <c r="F137" s="13"/>
      <c r="G137" s="6" t="b">
        <v>1</v>
      </c>
      <c r="H137" s="6" t="b">
        <v>1</v>
      </c>
      <c r="I137" s="6" t="b">
        <v>1</v>
      </c>
      <c r="J137" s="6" t="b">
        <v>1</v>
      </c>
      <c r="K137" s="6" t="b">
        <v>1</v>
      </c>
      <c r="L137" s="6" t="b">
        <v>1</v>
      </c>
      <c r="M137" s="6" t="b">
        <v>1</v>
      </c>
      <c r="N137" s="6" t="b">
        <v>1</v>
      </c>
      <c r="O137" s="6" t="b">
        <v>1</v>
      </c>
      <c r="P137" s="6" t="b">
        <v>1</v>
      </c>
      <c r="Q137" s="6" t="b">
        <v>1</v>
      </c>
      <c r="R137" s="6" t="b">
        <v>0</v>
      </c>
      <c r="S137" s="6" t="b">
        <v>1</v>
      </c>
      <c r="T137" s="6" t="b">
        <v>1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1</v>
      </c>
      <c r="AJ137" s="6" t="b">
        <v>0</v>
      </c>
      <c r="AK137" s="6" t="b">
        <v>0</v>
      </c>
      <c r="AL137" s="9" t="str">
        <f t="shared" si="1"/>
        <v>14 dari 31 (45%)</v>
      </c>
    </row>
    <row r="138" ht="22.5" customHeight="1">
      <c r="A138" s="10">
        <v>137.0</v>
      </c>
      <c r="B138" s="11"/>
      <c r="C138" s="22">
        <v>61102.0</v>
      </c>
      <c r="D138" s="12" t="s">
        <v>63</v>
      </c>
      <c r="E138" s="12" t="s">
        <v>87</v>
      </c>
      <c r="F138" s="13"/>
      <c r="G138" s="6" t="b">
        <v>1</v>
      </c>
      <c r="H138" s="6" t="b">
        <v>1</v>
      </c>
      <c r="I138" s="6" t="b">
        <v>1</v>
      </c>
      <c r="J138" s="6" t="b">
        <v>1</v>
      </c>
      <c r="K138" s="6" t="b">
        <v>1</v>
      </c>
      <c r="L138" s="6" t="b">
        <v>1</v>
      </c>
      <c r="M138" s="6" t="b">
        <v>1</v>
      </c>
      <c r="N138" s="6" t="b">
        <v>1</v>
      </c>
      <c r="O138" s="6" t="b">
        <v>1</v>
      </c>
      <c r="P138" s="6" t="b">
        <v>1</v>
      </c>
      <c r="Q138" s="6" t="b">
        <v>1</v>
      </c>
      <c r="R138" s="6" t="b">
        <v>1</v>
      </c>
      <c r="S138" s="6" t="b">
        <v>1</v>
      </c>
      <c r="T138" s="6" t="b">
        <v>1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1</v>
      </c>
      <c r="AJ138" s="6" t="b">
        <v>0</v>
      </c>
      <c r="AK138" s="6" t="b">
        <v>0</v>
      </c>
      <c r="AL138" s="17" t="str">
        <f t="shared" si="1"/>
        <v>15 dari 31 (48%)</v>
      </c>
    </row>
    <row r="139" ht="22.5" customHeight="1">
      <c r="A139" s="2">
        <v>138.0</v>
      </c>
      <c r="B139" s="11"/>
      <c r="C139" s="22">
        <v>58993.0</v>
      </c>
      <c r="D139" s="12" t="s">
        <v>85</v>
      </c>
      <c r="E139" s="12" t="s">
        <v>91</v>
      </c>
      <c r="F139" s="13"/>
      <c r="G139" s="6" t="b">
        <v>1</v>
      </c>
      <c r="H139" s="6" t="b">
        <v>1</v>
      </c>
      <c r="I139" s="6" t="b">
        <v>0</v>
      </c>
      <c r="J139" s="6" t="b">
        <v>1</v>
      </c>
      <c r="K139" s="6" t="b">
        <v>1</v>
      </c>
      <c r="L139" s="6" t="b">
        <v>1</v>
      </c>
      <c r="M139" s="6" t="b">
        <v>1</v>
      </c>
      <c r="N139" s="6" t="b">
        <v>1</v>
      </c>
      <c r="O139" s="6" t="b">
        <v>1</v>
      </c>
      <c r="P139" s="6" t="b">
        <v>1</v>
      </c>
      <c r="Q139" s="6" t="b">
        <v>1</v>
      </c>
      <c r="R139" s="6" t="b">
        <v>1</v>
      </c>
      <c r="S139" s="6" t="b">
        <v>1</v>
      </c>
      <c r="T139" s="6" t="b">
        <v>1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1</v>
      </c>
      <c r="AJ139" s="6" t="b">
        <v>0</v>
      </c>
      <c r="AK139" s="6" t="b">
        <v>0</v>
      </c>
      <c r="AL139" s="9" t="str">
        <f t="shared" si="1"/>
        <v>14 dari 31 (45%)</v>
      </c>
    </row>
    <row r="140" ht="22.5" customHeight="1">
      <c r="A140" s="10">
        <v>139.0</v>
      </c>
      <c r="B140" s="11"/>
      <c r="C140" s="22">
        <v>21253.0</v>
      </c>
      <c r="D140" s="12" t="s">
        <v>85</v>
      </c>
      <c r="E140" s="12" t="s">
        <v>91</v>
      </c>
      <c r="F140" s="15" t="s">
        <v>50</v>
      </c>
      <c r="G140" s="6" t="b">
        <v>1</v>
      </c>
      <c r="H140" s="6" t="b">
        <v>0</v>
      </c>
      <c r="I140" s="6" t="b">
        <v>0</v>
      </c>
      <c r="J140" s="6" t="b">
        <v>0</v>
      </c>
      <c r="K140" s="6" t="b">
        <v>0</v>
      </c>
      <c r="L140" s="6" t="b">
        <v>0</v>
      </c>
      <c r="M140" s="6" t="b">
        <v>0</v>
      </c>
      <c r="N140" s="6" t="b">
        <v>0</v>
      </c>
      <c r="O140" s="6" t="b">
        <v>0</v>
      </c>
      <c r="P140" s="6" t="b">
        <v>0</v>
      </c>
      <c r="Q140" s="6" t="b">
        <v>0</v>
      </c>
      <c r="R140" s="6" t="b">
        <v>0</v>
      </c>
      <c r="S140" s="6" t="b">
        <v>0</v>
      </c>
      <c r="T140" s="6" t="b">
        <v>0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0</v>
      </c>
      <c r="AJ140" s="6" t="b">
        <v>0</v>
      </c>
      <c r="AK140" s="6" t="b">
        <v>0</v>
      </c>
      <c r="AL140" s="9" t="str">
        <f t="shared" si="1"/>
        <v>1 dari 31 (3%)</v>
      </c>
    </row>
    <row r="141" ht="22.5" customHeight="1">
      <c r="A141" s="10">
        <v>140.0</v>
      </c>
      <c r="B141" s="11"/>
      <c r="C141" s="22">
        <v>60672.0</v>
      </c>
      <c r="D141" s="12" t="s">
        <v>63</v>
      </c>
      <c r="E141" s="12" t="s">
        <v>87</v>
      </c>
      <c r="F141" s="13"/>
      <c r="G141" s="120" t="b">
        <v>1</v>
      </c>
      <c r="H141" s="120" t="b">
        <v>1</v>
      </c>
      <c r="I141" s="120" t="b">
        <v>0</v>
      </c>
      <c r="J141" s="120" t="b">
        <v>1</v>
      </c>
      <c r="K141" s="120" t="b">
        <v>1</v>
      </c>
      <c r="L141" s="120" t="b">
        <v>1</v>
      </c>
      <c r="M141" s="120" t="b">
        <v>1</v>
      </c>
      <c r="N141" s="120" t="b">
        <v>1</v>
      </c>
      <c r="O141" s="120" t="b">
        <v>1</v>
      </c>
      <c r="P141" s="120" t="b">
        <v>1</v>
      </c>
      <c r="Q141" s="120" t="b">
        <v>1</v>
      </c>
      <c r="R141" s="120" t="b">
        <v>1</v>
      </c>
      <c r="S141" s="120" t="b">
        <v>1</v>
      </c>
      <c r="T141" s="120" t="b">
        <v>1</v>
      </c>
      <c r="U141" s="120" t="b">
        <v>0</v>
      </c>
      <c r="V141" s="120" t="b">
        <v>0</v>
      </c>
      <c r="W141" s="120" t="b">
        <v>0</v>
      </c>
      <c r="X141" s="120" t="b">
        <v>0</v>
      </c>
      <c r="Y141" s="120" t="b">
        <v>0</v>
      </c>
      <c r="Z141" s="120" t="b">
        <v>0</v>
      </c>
      <c r="AA141" s="120" t="b">
        <v>0</v>
      </c>
      <c r="AB141" s="120" t="b">
        <v>0</v>
      </c>
      <c r="AC141" s="120" t="b">
        <v>0</v>
      </c>
      <c r="AD141" s="120" t="b">
        <v>0</v>
      </c>
      <c r="AE141" s="120" t="b">
        <v>0</v>
      </c>
      <c r="AF141" s="120" t="b">
        <v>0</v>
      </c>
      <c r="AG141" s="120" t="b">
        <v>0</v>
      </c>
      <c r="AH141" s="120" t="b">
        <v>0</v>
      </c>
      <c r="AI141" s="120" t="b">
        <v>1</v>
      </c>
      <c r="AJ141" s="120" t="b">
        <v>0</v>
      </c>
      <c r="AK141" s="120" t="b">
        <v>0</v>
      </c>
      <c r="AL141" s="17" t="str">
        <f t="shared" si="1"/>
        <v>14 dari 31 (45%)</v>
      </c>
    </row>
    <row r="142" ht="22.5" customHeight="1">
      <c r="A142" s="2">
        <v>141.0</v>
      </c>
      <c r="B142" s="11"/>
      <c r="C142" s="22">
        <v>61104.0</v>
      </c>
      <c r="D142" s="20" t="s">
        <v>63</v>
      </c>
      <c r="E142" s="20" t="s">
        <v>64</v>
      </c>
      <c r="G142" s="6" t="b">
        <v>1</v>
      </c>
      <c r="H142" s="6" t="b">
        <v>1</v>
      </c>
      <c r="I142" s="6" t="b">
        <v>1</v>
      </c>
      <c r="J142" s="6" t="b">
        <v>1</v>
      </c>
      <c r="K142" s="6" t="b">
        <v>1</v>
      </c>
      <c r="L142" s="6" t="b">
        <v>1</v>
      </c>
      <c r="M142" s="6" t="b">
        <v>1</v>
      </c>
      <c r="N142" s="6" t="b">
        <v>1</v>
      </c>
      <c r="O142" s="6" t="b">
        <v>1</v>
      </c>
      <c r="P142" s="6" t="b">
        <v>1</v>
      </c>
      <c r="Q142" s="6" t="b">
        <v>1</v>
      </c>
      <c r="R142" s="6" t="b">
        <v>1</v>
      </c>
      <c r="S142" s="6" t="b">
        <v>1</v>
      </c>
      <c r="T142" s="6" t="b">
        <v>1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1</v>
      </c>
      <c r="AJ142" s="6" t="b">
        <v>0</v>
      </c>
      <c r="AK142" s="6" t="b">
        <v>0</v>
      </c>
      <c r="AL142" s="9" t="str">
        <f t="shared" si="1"/>
        <v>15 dari 31 (48%)</v>
      </c>
    </row>
    <row r="143" ht="22.5" customHeight="1">
      <c r="A143" s="10">
        <v>142.0</v>
      </c>
      <c r="B143" s="11"/>
      <c r="C143" s="22">
        <v>60365.0</v>
      </c>
      <c r="D143" s="20" t="s">
        <v>85</v>
      </c>
      <c r="E143" s="20" t="s">
        <v>90</v>
      </c>
      <c r="F143" s="15" t="s">
        <v>50</v>
      </c>
      <c r="G143" s="6" t="b">
        <v>1</v>
      </c>
      <c r="H143" s="6" t="b">
        <v>0</v>
      </c>
      <c r="I143" s="6" t="b">
        <v>0</v>
      </c>
      <c r="J143" s="6" t="b">
        <v>0</v>
      </c>
      <c r="K143" s="6" t="b">
        <v>0</v>
      </c>
      <c r="L143" s="6" t="b">
        <v>0</v>
      </c>
      <c r="M143" s="6" t="b">
        <v>0</v>
      </c>
      <c r="N143" s="6" t="b">
        <v>0</v>
      </c>
      <c r="O143" s="6" t="b">
        <v>0</v>
      </c>
      <c r="P143" s="6" t="b">
        <v>0</v>
      </c>
      <c r="Q143" s="6" t="b">
        <v>0</v>
      </c>
      <c r="R143" s="6" t="b">
        <v>0</v>
      </c>
      <c r="S143" s="6" t="b">
        <v>0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0</v>
      </c>
      <c r="AJ143" s="6" t="b">
        <v>0</v>
      </c>
      <c r="AK143" s="6" t="b">
        <v>0</v>
      </c>
      <c r="AL143" s="9" t="str">
        <f t="shared" si="1"/>
        <v>1 dari 31 (3%)</v>
      </c>
    </row>
    <row r="144" ht="22.5" customHeight="1">
      <c r="A144" s="10">
        <v>143.0</v>
      </c>
      <c r="B144" s="11"/>
      <c r="C144" s="22">
        <v>60790.0</v>
      </c>
      <c r="D144" s="20" t="s">
        <v>51</v>
      </c>
      <c r="E144" s="20" t="s">
        <v>61</v>
      </c>
      <c r="G144" s="6" t="b">
        <v>1</v>
      </c>
      <c r="H144" s="6" t="b">
        <v>1</v>
      </c>
      <c r="I144" s="6" t="b">
        <v>0</v>
      </c>
      <c r="J144" s="6" t="b">
        <v>1</v>
      </c>
      <c r="K144" s="6" t="b">
        <v>1</v>
      </c>
      <c r="L144" s="6" t="b">
        <v>1</v>
      </c>
      <c r="M144" s="6" t="b">
        <v>1</v>
      </c>
      <c r="N144" s="6" t="b">
        <v>1</v>
      </c>
      <c r="O144" s="6" t="b">
        <v>1</v>
      </c>
      <c r="P144" s="6" t="b">
        <v>1</v>
      </c>
      <c r="Q144" s="6" t="b">
        <v>1</v>
      </c>
      <c r="R144" s="6" t="b">
        <v>1</v>
      </c>
      <c r="S144" s="6" t="b">
        <v>1</v>
      </c>
      <c r="T144" s="6" t="b">
        <v>1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1</v>
      </c>
      <c r="AF144" s="6" t="b">
        <v>1</v>
      </c>
      <c r="AG144" s="6" t="b">
        <v>1</v>
      </c>
      <c r="AH144" s="6" t="b">
        <v>1</v>
      </c>
      <c r="AI144" s="6" t="b">
        <v>0</v>
      </c>
      <c r="AJ144" s="6" t="b">
        <v>0</v>
      </c>
      <c r="AK144" s="6" t="b">
        <v>0</v>
      </c>
      <c r="AL144" s="17" t="str">
        <f t="shared" si="1"/>
        <v>17 dari 31 (55%)</v>
      </c>
    </row>
    <row r="145" ht="22.5" customHeight="1">
      <c r="A145" s="2">
        <v>144.0</v>
      </c>
      <c r="B145" s="11"/>
      <c r="C145" s="22">
        <v>61106.0</v>
      </c>
      <c r="D145" s="20" t="s">
        <v>63</v>
      </c>
      <c r="E145" s="20" t="s">
        <v>112</v>
      </c>
      <c r="G145" s="6" t="b">
        <v>1</v>
      </c>
      <c r="H145" s="6" t="b">
        <v>1</v>
      </c>
      <c r="I145" s="6" t="b">
        <v>0</v>
      </c>
      <c r="J145" s="6" t="b">
        <v>1</v>
      </c>
      <c r="K145" s="6" t="b">
        <v>1</v>
      </c>
      <c r="L145" s="6" t="b">
        <v>1</v>
      </c>
      <c r="M145" s="6" t="b">
        <v>1</v>
      </c>
      <c r="N145" s="6" t="b">
        <v>1</v>
      </c>
      <c r="O145" s="6" t="b">
        <v>1</v>
      </c>
      <c r="P145" s="6" t="b">
        <v>1</v>
      </c>
      <c r="Q145" s="6" t="b">
        <v>1</v>
      </c>
      <c r="R145" s="6" t="b">
        <v>1</v>
      </c>
      <c r="S145" s="6" t="b">
        <v>1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1</v>
      </c>
      <c r="AJ145" s="6" t="b">
        <v>0</v>
      </c>
      <c r="AK145" s="6" t="b">
        <v>0</v>
      </c>
      <c r="AL145" s="9" t="str">
        <f t="shared" si="1"/>
        <v>13 dari 31 (42%)</v>
      </c>
    </row>
    <row r="146" ht="22.5" customHeight="1">
      <c r="A146" s="68">
        <v>145.0</v>
      </c>
      <c r="B146" s="69"/>
      <c r="C146" s="22">
        <v>61105.0</v>
      </c>
      <c r="D146" s="20" t="s">
        <v>51</v>
      </c>
      <c r="E146" s="20" t="s">
        <v>61</v>
      </c>
      <c r="G146" s="58" t="b">
        <v>1</v>
      </c>
      <c r="H146" s="58" t="b">
        <v>1</v>
      </c>
      <c r="I146" s="58" t="b">
        <v>1</v>
      </c>
      <c r="J146" s="58" t="b">
        <v>1</v>
      </c>
      <c r="K146" s="58" t="b">
        <v>1</v>
      </c>
      <c r="L146" s="58" t="b">
        <v>1</v>
      </c>
      <c r="M146" s="58" t="b">
        <v>1</v>
      </c>
      <c r="N146" s="58" t="b">
        <v>1</v>
      </c>
      <c r="O146" s="58" t="b">
        <v>1</v>
      </c>
      <c r="P146" s="58" t="b">
        <v>1</v>
      </c>
      <c r="Q146" s="58" t="b">
        <v>1</v>
      </c>
      <c r="R146" s="58" t="b">
        <v>1</v>
      </c>
      <c r="S146" s="58" t="b">
        <v>1</v>
      </c>
      <c r="T146" s="58" t="b">
        <v>1</v>
      </c>
      <c r="U146" s="58" t="b">
        <v>0</v>
      </c>
      <c r="V146" s="58" t="b">
        <v>0</v>
      </c>
      <c r="W146" s="58" t="b">
        <v>0</v>
      </c>
      <c r="X146" s="58" t="b">
        <v>0</v>
      </c>
      <c r="Y146" s="58" t="b">
        <v>0</v>
      </c>
      <c r="Z146" s="58" t="b">
        <v>0</v>
      </c>
      <c r="AA146" s="58" t="b">
        <v>0</v>
      </c>
      <c r="AB146" s="58" t="b">
        <v>0</v>
      </c>
      <c r="AC146" s="58" t="b">
        <v>0</v>
      </c>
      <c r="AD146" s="58" t="b">
        <v>0</v>
      </c>
      <c r="AE146" s="58" t="b">
        <v>0</v>
      </c>
      <c r="AF146" s="58" t="b">
        <v>0</v>
      </c>
      <c r="AG146" s="58" t="b">
        <v>0</v>
      </c>
      <c r="AH146" s="58" t="b">
        <v>0</v>
      </c>
      <c r="AI146" s="58" t="b">
        <v>1</v>
      </c>
      <c r="AJ146" s="58" t="b">
        <v>0</v>
      </c>
      <c r="AK146" s="58" t="b">
        <v>0</v>
      </c>
      <c r="AL146" s="59" t="str">
        <f t="shared" si="1"/>
        <v>15 dari 31 (48%)</v>
      </c>
    </row>
    <row r="147" ht="22.5" customHeight="1">
      <c r="A147" s="10">
        <v>146.0</v>
      </c>
      <c r="B147" s="11"/>
      <c r="C147" s="22">
        <v>37309.0</v>
      </c>
      <c r="D147" s="20" t="s">
        <v>39</v>
      </c>
      <c r="E147" s="20" t="s">
        <v>66</v>
      </c>
      <c r="G147" s="6" t="b">
        <v>1</v>
      </c>
      <c r="H147" s="6" t="b">
        <v>1</v>
      </c>
      <c r="I147" s="6" t="b">
        <v>0</v>
      </c>
      <c r="J147" s="6" t="b">
        <v>1</v>
      </c>
      <c r="K147" s="6" t="b">
        <v>1</v>
      </c>
      <c r="L147" s="6" t="b">
        <v>1</v>
      </c>
      <c r="M147" s="6" t="b">
        <v>1</v>
      </c>
      <c r="N147" s="6" t="b">
        <v>1</v>
      </c>
      <c r="O147" s="6" t="b">
        <v>1</v>
      </c>
      <c r="P147" s="6" t="b">
        <v>1</v>
      </c>
      <c r="Q147" s="6" t="b">
        <v>1</v>
      </c>
      <c r="R147" s="6" t="b">
        <v>1</v>
      </c>
      <c r="S147" s="6" t="b">
        <v>1</v>
      </c>
      <c r="T147" s="6" t="b">
        <v>1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1</v>
      </c>
      <c r="AJ147" s="6" t="b">
        <v>0</v>
      </c>
      <c r="AK147" s="6" t="b">
        <v>0</v>
      </c>
      <c r="AL147" s="17" t="str">
        <f t="shared" si="1"/>
        <v>14 dari 31 (45%)</v>
      </c>
    </row>
    <row r="148" ht="22.5" customHeight="1">
      <c r="A148" s="2">
        <v>147.0</v>
      </c>
      <c r="B148" s="11"/>
      <c r="C148" s="22">
        <v>60288.0</v>
      </c>
      <c r="D148" s="20" t="s">
        <v>51</v>
      </c>
      <c r="E148" s="20" t="s">
        <v>61</v>
      </c>
      <c r="G148" s="6" t="b">
        <v>1</v>
      </c>
      <c r="H148" s="6" t="b">
        <v>1</v>
      </c>
      <c r="I148" s="6" t="b">
        <v>0</v>
      </c>
      <c r="J148" s="6" t="b">
        <v>1</v>
      </c>
      <c r="K148" s="6" t="b">
        <v>1</v>
      </c>
      <c r="L148" s="6" t="b">
        <v>1</v>
      </c>
      <c r="M148" s="6" t="b">
        <v>1</v>
      </c>
      <c r="N148" s="6" t="b">
        <v>1</v>
      </c>
      <c r="O148" s="6" t="b">
        <v>1</v>
      </c>
      <c r="P148" s="6" t="b">
        <v>1</v>
      </c>
      <c r="Q148" s="6" t="b">
        <v>1</v>
      </c>
      <c r="R148" s="6" t="b">
        <v>1</v>
      </c>
      <c r="S148" s="6" t="b">
        <v>1</v>
      </c>
      <c r="T148" s="6" t="b">
        <v>1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1</v>
      </c>
      <c r="AJ148" s="6" t="b">
        <v>0</v>
      </c>
      <c r="AK148" s="6" t="b">
        <v>0</v>
      </c>
      <c r="AL148" s="9" t="str">
        <f t="shared" si="1"/>
        <v>14 dari 31 (45%)</v>
      </c>
    </row>
    <row r="149" ht="22.5" customHeight="1">
      <c r="A149" s="10">
        <v>148.0</v>
      </c>
      <c r="B149" s="11"/>
      <c r="C149" s="22">
        <v>59855.0</v>
      </c>
      <c r="D149" s="20" t="s">
        <v>39</v>
      </c>
      <c r="E149" s="20" t="s">
        <v>42</v>
      </c>
      <c r="G149" s="6" t="b">
        <v>1</v>
      </c>
      <c r="H149" s="6" t="b">
        <v>1</v>
      </c>
      <c r="I149" s="6" t="b">
        <v>0</v>
      </c>
      <c r="J149" s="6" t="b">
        <v>1</v>
      </c>
      <c r="K149" s="6" t="b">
        <v>1</v>
      </c>
      <c r="L149" s="6" t="b">
        <v>1</v>
      </c>
      <c r="M149" s="6" t="b">
        <v>1</v>
      </c>
      <c r="N149" s="6" t="b">
        <v>1</v>
      </c>
      <c r="O149" s="6" t="b">
        <v>1</v>
      </c>
      <c r="P149" s="6" t="b">
        <v>1</v>
      </c>
      <c r="Q149" s="6" t="b">
        <v>1</v>
      </c>
      <c r="R149" s="6" t="b">
        <v>1</v>
      </c>
      <c r="S149" s="6" t="b">
        <v>1</v>
      </c>
      <c r="T149" s="6" t="b">
        <v>1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1</v>
      </c>
      <c r="AJ149" s="6" t="b">
        <v>0</v>
      </c>
      <c r="AK149" s="6" t="b">
        <v>0</v>
      </c>
      <c r="AL149" s="9" t="str">
        <f t="shared" si="1"/>
        <v>14 dari 31 (45%)</v>
      </c>
    </row>
    <row r="150" ht="22.5" customHeight="1">
      <c r="A150" s="10">
        <v>149.0</v>
      </c>
      <c r="B150" s="11"/>
      <c r="C150" s="22">
        <v>61108.0</v>
      </c>
      <c r="D150" s="20" t="s">
        <v>63</v>
      </c>
      <c r="E150" s="20" t="s">
        <v>87</v>
      </c>
      <c r="G150" s="6" t="b">
        <v>1</v>
      </c>
      <c r="H150" s="6" t="b">
        <v>1</v>
      </c>
      <c r="I150" s="6" t="b">
        <v>1</v>
      </c>
      <c r="J150" s="6" t="b">
        <v>1</v>
      </c>
      <c r="K150" s="6" t="b">
        <v>1</v>
      </c>
      <c r="L150" s="6" t="b">
        <v>1</v>
      </c>
      <c r="M150" s="6" t="b">
        <v>1</v>
      </c>
      <c r="N150" s="6" t="b">
        <v>1</v>
      </c>
      <c r="O150" s="6" t="b">
        <v>1</v>
      </c>
      <c r="P150" s="6" t="b">
        <v>1</v>
      </c>
      <c r="Q150" s="6" t="b">
        <v>1</v>
      </c>
      <c r="R150" s="6" t="b">
        <v>1</v>
      </c>
      <c r="S150" s="6" t="b">
        <v>1</v>
      </c>
      <c r="T150" s="6" t="b">
        <v>1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1</v>
      </c>
      <c r="AJ150" s="6" t="b">
        <v>0</v>
      </c>
      <c r="AK150" s="6" t="b">
        <v>0</v>
      </c>
      <c r="AL150" s="17" t="str">
        <f t="shared" si="1"/>
        <v>15 dari 31 (48%)</v>
      </c>
    </row>
    <row r="151" ht="22.5" customHeight="1">
      <c r="A151" s="30">
        <v>150.0</v>
      </c>
      <c r="B151" s="62"/>
      <c r="C151" s="32">
        <v>61110.0</v>
      </c>
      <c r="D151" s="60" t="s">
        <v>85</v>
      </c>
      <c r="E151" s="60" t="s">
        <v>69</v>
      </c>
      <c r="F151" s="122"/>
      <c r="G151" s="35" t="b">
        <v>0</v>
      </c>
      <c r="H151" s="35" t="b">
        <v>0</v>
      </c>
      <c r="I151" s="35" t="b">
        <v>0</v>
      </c>
      <c r="J151" s="35" t="b">
        <v>0</v>
      </c>
      <c r="K151" s="35" t="b">
        <v>0</v>
      </c>
      <c r="L151" s="35" t="b">
        <v>0</v>
      </c>
      <c r="M151" s="35" t="b">
        <v>0</v>
      </c>
      <c r="N151" s="35" t="b">
        <v>0</v>
      </c>
      <c r="O151" s="35" t="b">
        <v>0</v>
      </c>
      <c r="P151" s="35" t="b">
        <v>0</v>
      </c>
      <c r="Q151" s="35" t="b">
        <v>0</v>
      </c>
      <c r="R151" s="35" t="b">
        <v>0</v>
      </c>
      <c r="S151" s="35" t="b">
        <v>0</v>
      </c>
      <c r="T151" s="35" t="b">
        <v>0</v>
      </c>
      <c r="U151" s="35" t="b">
        <v>0</v>
      </c>
      <c r="V151" s="35" t="b">
        <v>0</v>
      </c>
      <c r="W151" s="35" t="b">
        <v>0</v>
      </c>
      <c r="X151" s="35" t="b">
        <v>0</v>
      </c>
      <c r="Y151" s="35" t="b">
        <v>0</v>
      </c>
      <c r="Z151" s="35" t="b">
        <v>0</v>
      </c>
      <c r="AA151" s="35" t="b">
        <v>0</v>
      </c>
      <c r="AB151" s="35" t="b">
        <v>0</v>
      </c>
      <c r="AC151" s="35" t="b">
        <v>0</v>
      </c>
      <c r="AD151" s="35" t="b">
        <v>0</v>
      </c>
      <c r="AE151" s="35" t="b">
        <v>0</v>
      </c>
      <c r="AF151" s="35" t="b">
        <v>0</v>
      </c>
      <c r="AG151" s="35" t="b">
        <v>0</v>
      </c>
      <c r="AH151" s="35" t="b">
        <v>0</v>
      </c>
      <c r="AI151" s="35" t="b">
        <v>0</v>
      </c>
      <c r="AJ151" s="35" t="b">
        <v>0</v>
      </c>
      <c r="AK151" s="35" t="b">
        <v>0</v>
      </c>
      <c r="AL151" s="38" t="str">
        <f t="shared" si="1"/>
        <v>0 dari 31 (0%)</v>
      </c>
    </row>
    <row r="152" ht="22.5" customHeight="1">
      <c r="A152" s="10">
        <v>151.0</v>
      </c>
      <c r="B152" s="11"/>
      <c r="C152" s="22">
        <v>61115.0</v>
      </c>
      <c r="D152" s="12" t="s">
        <v>39</v>
      </c>
      <c r="E152" s="12" t="s">
        <v>42</v>
      </c>
      <c r="F152" s="13"/>
      <c r="G152" s="123" t="b">
        <v>1</v>
      </c>
      <c r="H152" s="123" t="b">
        <v>1</v>
      </c>
      <c r="I152" s="123" t="b">
        <v>1</v>
      </c>
      <c r="J152" s="123" t="b">
        <v>1</v>
      </c>
      <c r="K152" s="123" t="b">
        <v>1</v>
      </c>
      <c r="L152" s="123" t="b">
        <v>1</v>
      </c>
      <c r="M152" s="123" t="b">
        <v>1</v>
      </c>
      <c r="N152" s="123" t="b">
        <v>1</v>
      </c>
      <c r="O152" s="123" t="b">
        <v>1</v>
      </c>
      <c r="P152" s="123" t="b">
        <v>1</v>
      </c>
      <c r="Q152" s="123" t="b">
        <v>1</v>
      </c>
      <c r="R152" s="123" t="b">
        <v>1</v>
      </c>
      <c r="S152" s="123" t="b">
        <v>1</v>
      </c>
      <c r="T152" s="123" t="b">
        <v>1</v>
      </c>
      <c r="U152" s="123" t="b">
        <v>0</v>
      </c>
      <c r="V152" s="123" t="b">
        <v>0</v>
      </c>
      <c r="W152" s="123" t="b">
        <v>0</v>
      </c>
      <c r="X152" s="123" t="b">
        <v>0</v>
      </c>
      <c r="Y152" s="123" t="b">
        <v>0</v>
      </c>
      <c r="Z152" s="123" t="b">
        <v>1</v>
      </c>
      <c r="AA152" s="123" t="b">
        <v>1</v>
      </c>
      <c r="AB152" s="123" t="b">
        <v>1</v>
      </c>
      <c r="AC152" s="123" t="b">
        <v>1</v>
      </c>
      <c r="AD152" s="123" t="b">
        <v>1</v>
      </c>
      <c r="AE152" s="123" t="b">
        <v>0</v>
      </c>
      <c r="AF152" s="123" t="b">
        <v>0</v>
      </c>
      <c r="AG152" s="123" t="b">
        <v>0</v>
      </c>
      <c r="AH152" s="123" t="b">
        <v>0</v>
      </c>
      <c r="AI152" s="123" t="b">
        <v>1</v>
      </c>
      <c r="AJ152" s="123" t="b">
        <v>0</v>
      </c>
      <c r="AK152" s="123" t="b">
        <v>0</v>
      </c>
      <c r="AL152" s="9" t="str">
        <f t="shared" si="1"/>
        <v>20 dari 31 (65%)</v>
      </c>
    </row>
    <row r="153" ht="22.5" customHeight="1">
      <c r="A153" s="10">
        <v>152.0</v>
      </c>
      <c r="B153" s="11"/>
      <c r="C153" s="22">
        <v>55902.0</v>
      </c>
      <c r="D153" s="12" t="s">
        <v>39</v>
      </c>
      <c r="E153" s="12" t="s">
        <v>42</v>
      </c>
      <c r="F153" s="13"/>
      <c r="G153" s="120" t="b">
        <v>1</v>
      </c>
      <c r="H153" s="120" t="b">
        <v>1</v>
      </c>
      <c r="I153" s="120" t="b">
        <v>0</v>
      </c>
      <c r="J153" s="120" t="b">
        <v>1</v>
      </c>
      <c r="K153" s="120" t="b">
        <v>1</v>
      </c>
      <c r="L153" s="120" t="b">
        <v>1</v>
      </c>
      <c r="M153" s="120" t="b">
        <v>1</v>
      </c>
      <c r="N153" s="120" t="b">
        <v>1</v>
      </c>
      <c r="O153" s="120" t="b">
        <v>1</v>
      </c>
      <c r="P153" s="120" t="b">
        <v>1</v>
      </c>
      <c r="Q153" s="120" t="b">
        <v>1</v>
      </c>
      <c r="R153" s="120" t="b">
        <v>1</v>
      </c>
      <c r="S153" s="120" t="b">
        <v>1</v>
      </c>
      <c r="T153" s="120" t="b">
        <v>1</v>
      </c>
      <c r="U153" s="120" t="b">
        <v>0</v>
      </c>
      <c r="V153" s="120" t="b">
        <v>0</v>
      </c>
      <c r="W153" s="120" t="b">
        <v>0</v>
      </c>
      <c r="X153" s="120" t="b">
        <v>0</v>
      </c>
      <c r="Y153" s="120" t="b">
        <v>0</v>
      </c>
      <c r="Z153" s="120" t="b">
        <v>0</v>
      </c>
      <c r="AA153" s="120" t="b">
        <v>0</v>
      </c>
      <c r="AB153" s="120" t="b">
        <v>0</v>
      </c>
      <c r="AC153" s="120" t="b">
        <v>0</v>
      </c>
      <c r="AD153" s="120" t="b">
        <v>0</v>
      </c>
      <c r="AE153" s="120" t="b">
        <v>0</v>
      </c>
      <c r="AF153" s="120" t="b">
        <v>0</v>
      </c>
      <c r="AG153" s="120" t="b">
        <v>0</v>
      </c>
      <c r="AH153" s="120" t="b">
        <v>0</v>
      </c>
      <c r="AI153" s="120" t="b">
        <v>0</v>
      </c>
      <c r="AJ153" s="120" t="b">
        <v>0</v>
      </c>
      <c r="AK153" s="120" t="b">
        <v>0</v>
      </c>
      <c r="AL153" s="113" t="str">
        <f t="shared" si="1"/>
        <v>13 dari 31 (42%)</v>
      </c>
    </row>
    <row r="154" ht="22.5" customHeight="1">
      <c r="A154" s="2">
        <v>153.0</v>
      </c>
      <c r="B154" s="11"/>
      <c r="C154" s="22">
        <v>61111.0</v>
      </c>
      <c r="D154" s="12" t="s">
        <v>51</v>
      </c>
      <c r="E154" s="12" t="s">
        <v>61</v>
      </c>
      <c r="F154" s="15" t="s">
        <v>50</v>
      </c>
      <c r="G154" s="123" t="b">
        <v>1</v>
      </c>
      <c r="H154" s="123" t="b">
        <v>0</v>
      </c>
      <c r="I154" s="123" t="b">
        <v>0</v>
      </c>
      <c r="J154" s="123" t="b">
        <v>1</v>
      </c>
      <c r="K154" s="123" t="b">
        <v>1</v>
      </c>
      <c r="L154" s="123" t="b">
        <v>1</v>
      </c>
      <c r="M154" s="123" t="b">
        <v>1</v>
      </c>
      <c r="N154" s="123" t="b">
        <v>1</v>
      </c>
      <c r="O154" s="123" t="b">
        <v>1</v>
      </c>
      <c r="P154" s="123" t="b">
        <v>1</v>
      </c>
      <c r="Q154" s="123" t="b">
        <v>1</v>
      </c>
      <c r="R154" s="123" t="b">
        <v>1</v>
      </c>
      <c r="S154" s="123" t="b">
        <v>1</v>
      </c>
      <c r="T154" s="123" t="b">
        <v>0</v>
      </c>
      <c r="U154" s="123" t="b">
        <v>0</v>
      </c>
      <c r="V154" s="123" t="b">
        <v>0</v>
      </c>
      <c r="W154" s="123" t="b">
        <v>0</v>
      </c>
      <c r="X154" s="123" t="b">
        <v>0</v>
      </c>
      <c r="Y154" s="123" t="b">
        <v>0</v>
      </c>
      <c r="Z154" s="123" t="b">
        <v>0</v>
      </c>
      <c r="AA154" s="123" t="b">
        <v>0</v>
      </c>
      <c r="AB154" s="123" t="b">
        <v>0</v>
      </c>
      <c r="AC154" s="123" t="b">
        <v>0</v>
      </c>
      <c r="AD154" s="123" t="b">
        <v>0</v>
      </c>
      <c r="AE154" s="123" t="b">
        <v>0</v>
      </c>
      <c r="AF154" s="123" t="b">
        <v>0</v>
      </c>
      <c r="AG154" s="123" t="b">
        <v>0</v>
      </c>
      <c r="AH154" s="123" t="b">
        <v>0</v>
      </c>
      <c r="AI154" s="123" t="b">
        <v>1</v>
      </c>
      <c r="AJ154" s="123" t="b">
        <v>0</v>
      </c>
      <c r="AK154" s="123" t="b">
        <v>0</v>
      </c>
      <c r="AL154" s="115" t="str">
        <f t="shared" si="1"/>
        <v>12 dari 31 (39%)</v>
      </c>
    </row>
    <row r="155" ht="22.5" customHeight="1">
      <c r="A155" s="10">
        <v>154.0</v>
      </c>
      <c r="B155" s="11"/>
      <c r="C155" s="22">
        <v>37944.0</v>
      </c>
      <c r="D155" s="12" t="s">
        <v>85</v>
      </c>
      <c r="E155" s="12" t="s">
        <v>60</v>
      </c>
      <c r="F155" s="13"/>
      <c r="G155" s="120" t="b">
        <v>1</v>
      </c>
      <c r="H155" s="120" t="b">
        <v>1</v>
      </c>
      <c r="I155" s="120" t="b">
        <v>1</v>
      </c>
      <c r="J155" s="120" t="b">
        <v>1</v>
      </c>
      <c r="K155" s="120" t="b">
        <v>1</v>
      </c>
      <c r="L155" s="120" t="b">
        <v>1</v>
      </c>
      <c r="M155" s="120" t="b">
        <v>1</v>
      </c>
      <c r="N155" s="120" t="b">
        <v>1</v>
      </c>
      <c r="O155" s="120" t="b">
        <v>1</v>
      </c>
      <c r="P155" s="120" t="b">
        <v>1</v>
      </c>
      <c r="Q155" s="120" t="b">
        <v>1</v>
      </c>
      <c r="R155" s="120" t="b">
        <v>0</v>
      </c>
      <c r="S155" s="120" t="b">
        <v>1</v>
      </c>
      <c r="T155" s="120" t="b">
        <v>1</v>
      </c>
      <c r="U155" s="120" t="b">
        <v>0</v>
      </c>
      <c r="V155" s="120" t="b">
        <v>0</v>
      </c>
      <c r="W155" s="120" t="b">
        <v>0</v>
      </c>
      <c r="X155" s="120" t="b">
        <v>0</v>
      </c>
      <c r="Y155" s="120" t="b">
        <v>0</v>
      </c>
      <c r="Z155" s="120" t="b">
        <v>0</v>
      </c>
      <c r="AA155" s="120" t="b">
        <v>0</v>
      </c>
      <c r="AB155" s="120" t="b">
        <v>0</v>
      </c>
      <c r="AC155" s="120" t="b">
        <v>0</v>
      </c>
      <c r="AD155" s="120" t="b">
        <v>0</v>
      </c>
      <c r="AE155" s="120" t="b">
        <v>0</v>
      </c>
      <c r="AF155" s="120" t="b">
        <v>0</v>
      </c>
      <c r="AG155" s="120" t="b">
        <v>0</v>
      </c>
      <c r="AH155" s="120" t="b">
        <v>0</v>
      </c>
      <c r="AI155" s="120" t="b">
        <v>1</v>
      </c>
      <c r="AJ155" s="120" t="b">
        <v>0</v>
      </c>
      <c r="AK155" s="120" t="b">
        <v>0</v>
      </c>
      <c r="AL155" s="115" t="str">
        <f t="shared" si="1"/>
        <v>14 dari 31 (45%)</v>
      </c>
    </row>
    <row r="156" ht="22.5" customHeight="1">
      <c r="A156" s="61">
        <v>155.0</v>
      </c>
      <c r="B156" s="62"/>
      <c r="C156" s="32">
        <v>61107.0</v>
      </c>
      <c r="D156" s="51" t="s">
        <v>85</v>
      </c>
      <c r="E156" s="51" t="s">
        <v>128</v>
      </c>
      <c r="F156" s="53"/>
      <c r="G156" s="124" t="b">
        <v>0</v>
      </c>
      <c r="H156" s="124" t="b">
        <v>0</v>
      </c>
      <c r="I156" s="124" t="b">
        <v>0</v>
      </c>
      <c r="J156" s="124" t="b">
        <v>0</v>
      </c>
      <c r="K156" s="124" t="b">
        <v>0</v>
      </c>
      <c r="L156" s="124" t="b">
        <v>0</v>
      </c>
      <c r="M156" s="124" t="b">
        <v>0</v>
      </c>
      <c r="N156" s="124" t="b">
        <v>0</v>
      </c>
      <c r="O156" s="124" t="b">
        <v>0</v>
      </c>
      <c r="P156" s="124" t="b">
        <v>0</v>
      </c>
      <c r="Q156" s="124" t="b">
        <v>0</v>
      </c>
      <c r="R156" s="124" t="b">
        <v>0</v>
      </c>
      <c r="S156" s="124" t="b">
        <v>0</v>
      </c>
      <c r="T156" s="124" t="b">
        <v>0</v>
      </c>
      <c r="U156" s="124" t="b">
        <v>0</v>
      </c>
      <c r="V156" s="124" t="b">
        <v>0</v>
      </c>
      <c r="W156" s="124" t="b">
        <v>0</v>
      </c>
      <c r="X156" s="124" t="b">
        <v>0</v>
      </c>
      <c r="Y156" s="124" t="b">
        <v>0</v>
      </c>
      <c r="Z156" s="124" t="b">
        <v>0</v>
      </c>
      <c r="AA156" s="124" t="b">
        <v>0</v>
      </c>
      <c r="AB156" s="124" t="b">
        <v>0</v>
      </c>
      <c r="AC156" s="124" t="b">
        <v>0</v>
      </c>
      <c r="AD156" s="124" t="b">
        <v>0</v>
      </c>
      <c r="AE156" s="124" t="b">
        <v>0</v>
      </c>
      <c r="AF156" s="124" t="b">
        <v>0</v>
      </c>
      <c r="AG156" s="124" t="b">
        <v>0</v>
      </c>
      <c r="AH156" s="124" t="b">
        <v>0</v>
      </c>
      <c r="AI156" s="124" t="b">
        <v>0</v>
      </c>
      <c r="AJ156" s="124" t="b">
        <v>0</v>
      </c>
      <c r="AK156" s="124" t="b">
        <v>0</v>
      </c>
      <c r="AL156" s="119" t="str">
        <f t="shared" si="1"/>
        <v>0 dari 31 (0%)</v>
      </c>
    </row>
    <row r="157" ht="22.5" customHeight="1">
      <c r="A157" s="2">
        <v>156.0</v>
      </c>
      <c r="B157" s="11"/>
      <c r="C157" s="22">
        <v>61109.0</v>
      </c>
      <c r="D157" s="12" t="s">
        <v>39</v>
      </c>
      <c r="E157" s="12" t="s">
        <v>42</v>
      </c>
      <c r="F157" s="13"/>
      <c r="G157" s="120" t="b">
        <v>1</v>
      </c>
      <c r="H157" s="120" t="b">
        <v>1</v>
      </c>
      <c r="I157" s="120" t="b">
        <v>1</v>
      </c>
      <c r="J157" s="120" t="b">
        <v>0</v>
      </c>
      <c r="K157" s="120" t="b">
        <v>0</v>
      </c>
      <c r="L157" s="120" t="b">
        <v>0</v>
      </c>
      <c r="M157" s="120" t="b">
        <v>0</v>
      </c>
      <c r="N157" s="120" t="b">
        <v>0</v>
      </c>
      <c r="O157" s="120" t="b">
        <v>0</v>
      </c>
      <c r="P157" s="120" t="b">
        <v>0</v>
      </c>
      <c r="Q157" s="120" t="b">
        <v>0</v>
      </c>
      <c r="R157" s="120" t="b">
        <v>1</v>
      </c>
      <c r="S157" s="120" t="b">
        <v>1</v>
      </c>
      <c r="T157" s="120" t="b">
        <v>1</v>
      </c>
      <c r="U157" s="120" t="b">
        <v>0</v>
      </c>
      <c r="V157" s="120" t="b">
        <v>0</v>
      </c>
      <c r="W157" s="120" t="b">
        <v>0</v>
      </c>
      <c r="X157" s="120" t="b">
        <v>0</v>
      </c>
      <c r="Y157" s="120" t="b">
        <v>0</v>
      </c>
      <c r="Z157" s="120" t="b">
        <v>1</v>
      </c>
      <c r="AA157" s="120" t="b">
        <v>1</v>
      </c>
      <c r="AB157" s="120" t="b">
        <v>1</v>
      </c>
      <c r="AC157" s="120" t="b">
        <v>1</v>
      </c>
      <c r="AD157" s="120" t="b">
        <v>1</v>
      </c>
      <c r="AE157" s="120" t="b">
        <v>0</v>
      </c>
      <c r="AF157" s="120" t="b">
        <v>0</v>
      </c>
      <c r="AG157" s="120" t="b">
        <v>0</v>
      </c>
      <c r="AH157" s="120" t="b">
        <v>0</v>
      </c>
      <c r="AI157" s="120" t="b">
        <v>1</v>
      </c>
      <c r="AJ157" s="120" t="b">
        <v>0</v>
      </c>
      <c r="AK157" s="120" t="b">
        <v>0</v>
      </c>
      <c r="AL157" s="115" t="str">
        <f t="shared" si="1"/>
        <v>12 dari 31 (39%)</v>
      </c>
    </row>
    <row r="158" ht="22.5" customHeight="1">
      <c r="A158" s="10">
        <v>157.0</v>
      </c>
      <c r="B158" s="11"/>
      <c r="C158" s="22">
        <v>61116.0</v>
      </c>
      <c r="D158" s="12" t="s">
        <v>63</v>
      </c>
      <c r="E158" s="12" t="s">
        <v>64</v>
      </c>
      <c r="F158" s="13"/>
      <c r="G158" s="123" t="b">
        <v>1</v>
      </c>
      <c r="H158" s="123" t="b">
        <v>1</v>
      </c>
      <c r="I158" s="123" t="b">
        <v>1</v>
      </c>
      <c r="J158" s="123" t="b">
        <v>1</v>
      </c>
      <c r="K158" s="123" t="b">
        <v>1</v>
      </c>
      <c r="L158" s="123" t="b">
        <v>1</v>
      </c>
      <c r="M158" s="123" t="b">
        <v>1</v>
      </c>
      <c r="N158" s="123" t="b">
        <v>1</v>
      </c>
      <c r="O158" s="123" t="b">
        <v>1</v>
      </c>
      <c r="P158" s="123" t="b">
        <v>1</v>
      </c>
      <c r="Q158" s="123" t="b">
        <v>1</v>
      </c>
      <c r="R158" s="123" t="b">
        <v>1</v>
      </c>
      <c r="S158" s="123" t="b">
        <v>1</v>
      </c>
      <c r="T158" s="123" t="b">
        <v>0</v>
      </c>
      <c r="U158" s="123" t="b">
        <v>0</v>
      </c>
      <c r="V158" s="123" t="b">
        <v>0</v>
      </c>
      <c r="W158" s="123" t="b">
        <v>0</v>
      </c>
      <c r="X158" s="123" t="b">
        <v>0</v>
      </c>
      <c r="Y158" s="123" t="b">
        <v>0</v>
      </c>
      <c r="Z158" s="123" t="b">
        <v>0</v>
      </c>
      <c r="AA158" s="123" t="b">
        <v>0</v>
      </c>
      <c r="AB158" s="123" t="b">
        <v>0</v>
      </c>
      <c r="AC158" s="123" t="b">
        <v>0</v>
      </c>
      <c r="AD158" s="123" t="b">
        <v>0</v>
      </c>
      <c r="AE158" s="123" t="b">
        <v>0</v>
      </c>
      <c r="AF158" s="123" t="b">
        <v>0</v>
      </c>
      <c r="AG158" s="123" t="b">
        <v>0</v>
      </c>
      <c r="AH158" s="123" t="b">
        <v>0</v>
      </c>
      <c r="AI158" s="123" t="b">
        <v>1</v>
      </c>
      <c r="AJ158" s="123" t="b">
        <v>0</v>
      </c>
      <c r="AK158" s="123" t="b">
        <v>0</v>
      </c>
      <c r="AL158" s="115" t="str">
        <f t="shared" si="1"/>
        <v>14 dari 31 (45%)</v>
      </c>
    </row>
    <row r="159" ht="22.5" customHeight="1">
      <c r="A159" s="10">
        <v>158.0</v>
      </c>
      <c r="B159" s="11"/>
      <c r="C159" s="22">
        <v>61112.0</v>
      </c>
      <c r="D159" s="12" t="s">
        <v>85</v>
      </c>
      <c r="E159" s="12" t="s">
        <v>128</v>
      </c>
      <c r="F159" s="13"/>
      <c r="G159" s="120" t="b">
        <v>1</v>
      </c>
      <c r="H159" s="120" t="b">
        <v>1</v>
      </c>
      <c r="I159" s="120" t="b">
        <v>1</v>
      </c>
      <c r="J159" s="120" t="b">
        <v>1</v>
      </c>
      <c r="K159" s="120" t="b">
        <v>1</v>
      </c>
      <c r="L159" s="120" t="b">
        <v>1</v>
      </c>
      <c r="M159" s="120" t="b">
        <v>1</v>
      </c>
      <c r="N159" s="120" t="b">
        <v>1</v>
      </c>
      <c r="O159" s="120" t="b">
        <v>1</v>
      </c>
      <c r="P159" s="120" t="b">
        <v>1</v>
      </c>
      <c r="Q159" s="120" t="b">
        <v>1</v>
      </c>
      <c r="R159" s="120" t="b">
        <v>1</v>
      </c>
      <c r="S159" s="120" t="b">
        <v>1</v>
      </c>
      <c r="T159" s="120" t="b">
        <v>1</v>
      </c>
      <c r="U159" s="120" t="b">
        <v>0</v>
      </c>
      <c r="V159" s="120" t="b">
        <v>0</v>
      </c>
      <c r="W159" s="120" t="b">
        <v>0</v>
      </c>
      <c r="X159" s="120" t="b">
        <v>0</v>
      </c>
      <c r="Y159" s="120" t="b">
        <v>0</v>
      </c>
      <c r="Z159" s="120" t="b">
        <v>0</v>
      </c>
      <c r="AA159" s="120" t="b">
        <v>0</v>
      </c>
      <c r="AB159" s="120" t="b">
        <v>0</v>
      </c>
      <c r="AC159" s="120" t="b">
        <v>0</v>
      </c>
      <c r="AD159" s="120" t="b">
        <v>0</v>
      </c>
      <c r="AE159" s="120" t="b">
        <v>0</v>
      </c>
      <c r="AF159" s="120" t="b">
        <v>0</v>
      </c>
      <c r="AG159" s="120" t="b">
        <v>0</v>
      </c>
      <c r="AH159" s="120" t="b">
        <v>0</v>
      </c>
      <c r="AI159" s="120" t="b">
        <v>1</v>
      </c>
      <c r="AJ159" s="120" t="b">
        <v>0</v>
      </c>
      <c r="AK159" s="120" t="b">
        <v>0</v>
      </c>
      <c r="AL159" s="115" t="str">
        <f t="shared" si="1"/>
        <v>15 dari 31 (48%)</v>
      </c>
    </row>
    <row r="160" ht="22.5" customHeight="1">
      <c r="A160" s="2">
        <v>159.0</v>
      </c>
      <c r="B160" s="11"/>
      <c r="C160" s="22">
        <v>61118.0</v>
      </c>
      <c r="D160" s="12" t="s">
        <v>63</v>
      </c>
      <c r="E160" s="12" t="s">
        <v>64</v>
      </c>
      <c r="F160" s="13"/>
      <c r="G160" s="123" t="b">
        <v>1</v>
      </c>
      <c r="H160" s="123" t="b">
        <v>1</v>
      </c>
      <c r="I160" s="123" t="b">
        <v>1</v>
      </c>
      <c r="J160" s="123" t="b">
        <v>1</v>
      </c>
      <c r="K160" s="123" t="b">
        <v>1</v>
      </c>
      <c r="L160" s="123" t="b">
        <v>1</v>
      </c>
      <c r="M160" s="123" t="b">
        <v>1</v>
      </c>
      <c r="N160" s="123" t="b">
        <v>1</v>
      </c>
      <c r="O160" s="123" t="b">
        <v>1</v>
      </c>
      <c r="P160" s="123" t="b">
        <v>1</v>
      </c>
      <c r="Q160" s="123" t="b">
        <v>1</v>
      </c>
      <c r="R160" s="123" t="b">
        <v>1</v>
      </c>
      <c r="S160" s="123" t="b">
        <v>1</v>
      </c>
      <c r="T160" s="123" t="b">
        <v>1</v>
      </c>
      <c r="U160" s="123" t="b">
        <v>0</v>
      </c>
      <c r="V160" s="123" t="b">
        <v>0</v>
      </c>
      <c r="W160" s="123" t="b">
        <v>0</v>
      </c>
      <c r="X160" s="123" t="b">
        <v>0</v>
      </c>
      <c r="Y160" s="123" t="b">
        <v>0</v>
      </c>
      <c r="Z160" s="123" t="b">
        <v>0</v>
      </c>
      <c r="AA160" s="123" t="b">
        <v>0</v>
      </c>
      <c r="AB160" s="123" t="b">
        <v>0</v>
      </c>
      <c r="AC160" s="123" t="b">
        <v>0</v>
      </c>
      <c r="AD160" s="123" t="b">
        <v>0</v>
      </c>
      <c r="AE160" s="123" t="b">
        <v>0</v>
      </c>
      <c r="AF160" s="123" t="b">
        <v>0</v>
      </c>
      <c r="AG160" s="123" t="b">
        <v>0</v>
      </c>
      <c r="AH160" s="123" t="b">
        <v>0</v>
      </c>
      <c r="AI160" s="123" t="b">
        <v>1</v>
      </c>
      <c r="AJ160" s="123" t="b">
        <v>0</v>
      </c>
      <c r="AK160" s="123" t="b">
        <v>0</v>
      </c>
      <c r="AL160" s="115" t="str">
        <f t="shared" si="1"/>
        <v>15 dari 31 (48%)</v>
      </c>
    </row>
    <row r="161" ht="22.5" customHeight="1">
      <c r="A161" s="10">
        <v>160.0</v>
      </c>
      <c r="B161" s="11"/>
      <c r="C161" s="22">
        <v>61119.0</v>
      </c>
      <c r="D161" s="12" t="s">
        <v>63</v>
      </c>
      <c r="E161" s="12" t="s">
        <v>64</v>
      </c>
      <c r="F161" s="13"/>
      <c r="G161" s="120" t="b">
        <v>1</v>
      </c>
      <c r="H161" s="120" t="b">
        <v>1</v>
      </c>
      <c r="I161" s="120" t="b">
        <v>1</v>
      </c>
      <c r="J161" s="120" t="b">
        <v>1</v>
      </c>
      <c r="K161" s="120" t="b">
        <v>1</v>
      </c>
      <c r="L161" s="120" t="b">
        <v>1</v>
      </c>
      <c r="M161" s="120" t="b">
        <v>1</v>
      </c>
      <c r="N161" s="120" t="b">
        <v>1</v>
      </c>
      <c r="O161" s="120" t="b">
        <v>1</v>
      </c>
      <c r="P161" s="120" t="b">
        <v>1</v>
      </c>
      <c r="Q161" s="120" t="b">
        <v>1</v>
      </c>
      <c r="R161" s="120" t="b">
        <v>1</v>
      </c>
      <c r="S161" s="120" t="b">
        <v>1</v>
      </c>
      <c r="T161" s="120" t="b">
        <v>1</v>
      </c>
      <c r="U161" s="120" t="b">
        <v>0</v>
      </c>
      <c r="V161" s="120" t="b">
        <v>0</v>
      </c>
      <c r="W161" s="120" t="b">
        <v>0</v>
      </c>
      <c r="X161" s="120" t="b">
        <v>0</v>
      </c>
      <c r="Y161" s="120" t="b">
        <v>0</v>
      </c>
      <c r="Z161" s="120" t="b">
        <v>0</v>
      </c>
      <c r="AA161" s="120" t="b">
        <v>0</v>
      </c>
      <c r="AB161" s="120" t="b">
        <v>0</v>
      </c>
      <c r="AC161" s="120" t="b">
        <v>0</v>
      </c>
      <c r="AD161" s="120" t="b">
        <v>0</v>
      </c>
      <c r="AE161" s="120" t="b">
        <v>0</v>
      </c>
      <c r="AF161" s="120" t="b">
        <v>0</v>
      </c>
      <c r="AG161" s="120" t="b">
        <v>0</v>
      </c>
      <c r="AH161" s="120" t="b">
        <v>0</v>
      </c>
      <c r="AI161" s="120" t="b">
        <v>1</v>
      </c>
      <c r="AJ161" s="120" t="b">
        <v>0</v>
      </c>
      <c r="AK161" s="120" t="b">
        <v>0</v>
      </c>
      <c r="AL161" s="115" t="str">
        <f t="shared" si="1"/>
        <v>15 dari 31 (48%)</v>
      </c>
    </row>
    <row r="162" ht="22.5" customHeight="1">
      <c r="A162" s="10">
        <v>161.0</v>
      </c>
      <c r="B162" s="11"/>
      <c r="C162" s="22">
        <v>61120.0</v>
      </c>
      <c r="D162" s="12" t="s">
        <v>63</v>
      </c>
      <c r="E162" s="12" t="s">
        <v>64</v>
      </c>
      <c r="F162" s="13"/>
      <c r="G162" s="6" t="b">
        <v>1</v>
      </c>
      <c r="H162" s="6" t="b">
        <v>1</v>
      </c>
      <c r="I162" s="6" t="b">
        <v>1</v>
      </c>
      <c r="J162" s="6" t="b">
        <v>1</v>
      </c>
      <c r="K162" s="6" t="b">
        <v>1</v>
      </c>
      <c r="L162" s="6" t="b">
        <v>1</v>
      </c>
      <c r="M162" s="6" t="b">
        <v>1</v>
      </c>
      <c r="N162" s="6" t="b">
        <v>1</v>
      </c>
      <c r="O162" s="6" t="b">
        <v>1</v>
      </c>
      <c r="P162" s="6" t="b">
        <v>1</v>
      </c>
      <c r="Q162" s="6" t="b">
        <v>1</v>
      </c>
      <c r="R162" s="6" t="b">
        <v>1</v>
      </c>
      <c r="S162" s="6" t="b">
        <v>1</v>
      </c>
      <c r="T162" s="6" t="b">
        <v>1</v>
      </c>
      <c r="U162" s="6" t="b">
        <v>0</v>
      </c>
      <c r="V162" s="6" t="b">
        <v>0</v>
      </c>
      <c r="W162" s="6" t="b">
        <v>0</v>
      </c>
      <c r="X162" s="6" t="b">
        <v>0</v>
      </c>
      <c r="Y162" s="6" t="b">
        <v>0</v>
      </c>
      <c r="Z162" s="6" t="b">
        <v>1</v>
      </c>
      <c r="AA162" s="6" t="b">
        <v>1</v>
      </c>
      <c r="AB162" s="6" t="b">
        <v>1</v>
      </c>
      <c r="AC162" s="6" t="b">
        <v>1</v>
      </c>
      <c r="AD162" s="6" t="b">
        <v>1</v>
      </c>
      <c r="AE162" s="6" t="b">
        <v>0</v>
      </c>
      <c r="AF162" s="6" t="b">
        <v>0</v>
      </c>
      <c r="AG162" s="6" t="b">
        <v>0</v>
      </c>
      <c r="AH162" s="6" t="b">
        <v>0</v>
      </c>
      <c r="AI162" s="6" t="b">
        <v>1</v>
      </c>
      <c r="AJ162" s="6" t="b">
        <v>0</v>
      </c>
      <c r="AK162" s="6" t="b">
        <v>0</v>
      </c>
      <c r="AL162" s="115" t="str">
        <f t="shared" si="1"/>
        <v>20 dari 31 (65%)</v>
      </c>
    </row>
    <row r="163" ht="22.5" customHeight="1">
      <c r="A163" s="2">
        <v>162.0</v>
      </c>
      <c r="B163" s="11"/>
      <c r="C163" s="20">
        <v>61121.0</v>
      </c>
      <c r="D163" s="12" t="s">
        <v>141</v>
      </c>
      <c r="E163" s="12" t="s">
        <v>86</v>
      </c>
      <c r="F163" s="14" t="s">
        <v>50</v>
      </c>
      <c r="G163" s="114" t="b">
        <v>1</v>
      </c>
      <c r="H163" s="114" t="b">
        <v>0</v>
      </c>
      <c r="I163" s="114" t="b">
        <v>0</v>
      </c>
      <c r="J163" s="114" t="b">
        <v>0</v>
      </c>
      <c r="K163" s="114" t="b">
        <v>0</v>
      </c>
      <c r="L163" s="114" t="b">
        <v>0</v>
      </c>
      <c r="M163" s="114" t="b">
        <v>0</v>
      </c>
      <c r="N163" s="114" t="b">
        <v>0</v>
      </c>
      <c r="O163" s="114" t="b">
        <v>0</v>
      </c>
      <c r="P163" s="114" t="b">
        <v>0</v>
      </c>
      <c r="Q163" s="114" t="b">
        <v>0</v>
      </c>
      <c r="R163" s="114" t="b">
        <v>0</v>
      </c>
      <c r="S163" s="114" t="b">
        <v>0</v>
      </c>
      <c r="T163" s="114" t="b">
        <v>0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0</v>
      </c>
      <c r="AJ163" s="114" t="b">
        <v>0</v>
      </c>
      <c r="AK163" s="114" t="b">
        <v>0</v>
      </c>
      <c r="AL163" s="115" t="str">
        <f t="shared" si="1"/>
        <v>1 dari 31 (3%)</v>
      </c>
    </row>
    <row r="164" ht="22.5" customHeight="1">
      <c r="A164" s="10">
        <v>163.0</v>
      </c>
      <c r="B164" s="11"/>
      <c r="C164" s="20">
        <v>36279.0</v>
      </c>
      <c r="D164" s="12" t="s">
        <v>63</v>
      </c>
      <c r="E164" s="12" t="s">
        <v>87</v>
      </c>
      <c r="F164" s="13"/>
      <c r="G164" s="114" t="b">
        <v>1</v>
      </c>
      <c r="H164" s="114" t="b">
        <v>1</v>
      </c>
      <c r="I164" s="114" t="b">
        <v>0</v>
      </c>
      <c r="J164" s="114" t="b">
        <v>1</v>
      </c>
      <c r="K164" s="114" t="b">
        <v>1</v>
      </c>
      <c r="L164" s="114" t="b">
        <v>1</v>
      </c>
      <c r="M164" s="114" t="b">
        <v>1</v>
      </c>
      <c r="N164" s="114" t="b">
        <v>1</v>
      </c>
      <c r="O164" s="114" t="b">
        <v>1</v>
      </c>
      <c r="P164" s="114" t="b">
        <v>1</v>
      </c>
      <c r="Q164" s="114" t="b">
        <v>1</v>
      </c>
      <c r="R164" s="114" t="b">
        <v>1</v>
      </c>
      <c r="S164" s="114" t="b">
        <v>1</v>
      </c>
      <c r="T164" s="114" t="b">
        <v>0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1</v>
      </c>
      <c r="AJ164" s="114" t="b">
        <v>0</v>
      </c>
      <c r="AK164" s="114" t="b">
        <v>0</v>
      </c>
      <c r="AL164" s="115" t="str">
        <f t="shared" si="1"/>
        <v>13 dari 31 (42%)</v>
      </c>
    </row>
    <row r="165" ht="22.5" customHeight="1">
      <c r="A165" s="10">
        <v>164.0</v>
      </c>
      <c r="B165" s="11"/>
      <c r="C165" s="20">
        <v>61122.0</v>
      </c>
      <c r="D165" s="12" t="s">
        <v>63</v>
      </c>
      <c r="E165" s="12" t="s">
        <v>64</v>
      </c>
      <c r="F165" s="13"/>
      <c r="G165" s="114" t="b">
        <v>1</v>
      </c>
      <c r="H165" s="114" t="b">
        <v>1</v>
      </c>
      <c r="I165" s="114" t="b">
        <v>1</v>
      </c>
      <c r="J165" s="114" t="b">
        <v>1</v>
      </c>
      <c r="K165" s="114" t="b">
        <v>1</v>
      </c>
      <c r="L165" s="114" t="b">
        <v>1</v>
      </c>
      <c r="M165" s="114" t="b">
        <v>1</v>
      </c>
      <c r="N165" s="114" t="b">
        <v>1</v>
      </c>
      <c r="O165" s="114" t="b">
        <v>1</v>
      </c>
      <c r="P165" s="114" t="b">
        <v>1</v>
      </c>
      <c r="Q165" s="114" t="b">
        <v>1</v>
      </c>
      <c r="R165" s="114" t="b">
        <v>1</v>
      </c>
      <c r="S165" s="114" t="b">
        <v>1</v>
      </c>
      <c r="T165" s="114" t="b">
        <v>1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0</v>
      </c>
      <c r="AA165" s="114" t="b">
        <v>0</v>
      </c>
      <c r="AB165" s="114" t="b">
        <v>0</v>
      </c>
      <c r="AC165" s="114" t="b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1</v>
      </c>
      <c r="AJ165" s="114" t="b">
        <v>0</v>
      </c>
      <c r="AK165" s="114" t="b">
        <v>0</v>
      </c>
      <c r="AL165" s="115" t="str">
        <f t="shared" si="1"/>
        <v>15 dari 31 (48%)</v>
      </c>
    </row>
    <row r="166" ht="22.5" customHeight="1">
      <c r="A166" s="2">
        <v>165.0</v>
      </c>
      <c r="B166" s="11"/>
      <c r="C166" s="20">
        <v>61123.0</v>
      </c>
      <c r="D166" s="12" t="s">
        <v>93</v>
      </c>
      <c r="E166" s="12" t="s">
        <v>113</v>
      </c>
      <c r="F166" s="13"/>
      <c r="G166" s="114" t="b">
        <v>1</v>
      </c>
      <c r="H166" s="114" t="b">
        <v>1</v>
      </c>
      <c r="I166" s="114" t="b">
        <v>1</v>
      </c>
      <c r="J166" s="114" t="b">
        <v>1</v>
      </c>
      <c r="K166" s="114" t="b">
        <v>1</v>
      </c>
      <c r="L166" s="114" t="b">
        <v>1</v>
      </c>
      <c r="M166" s="114" t="b">
        <v>1</v>
      </c>
      <c r="N166" s="114" t="b">
        <v>1</v>
      </c>
      <c r="O166" s="114" t="b">
        <v>1</v>
      </c>
      <c r="P166" s="114" t="b">
        <v>1</v>
      </c>
      <c r="Q166" s="114" t="b">
        <v>1</v>
      </c>
      <c r="R166" s="114" t="b">
        <v>0</v>
      </c>
      <c r="S166" s="114" t="b">
        <v>1</v>
      </c>
      <c r="T166" s="114" t="b">
        <v>1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1</v>
      </c>
      <c r="AJ166" s="114" t="b">
        <v>0</v>
      </c>
      <c r="AK166" s="114" t="b">
        <v>0</v>
      </c>
      <c r="AL166" s="115" t="str">
        <f t="shared" si="1"/>
        <v>14 dari 31 (45%)</v>
      </c>
    </row>
    <row r="167" ht="22.5" customHeight="1">
      <c r="A167" s="10">
        <v>166.0</v>
      </c>
      <c r="B167" s="11"/>
      <c r="C167" s="20">
        <v>39330.0</v>
      </c>
      <c r="D167" s="12" t="s">
        <v>51</v>
      </c>
      <c r="E167" s="12" t="s">
        <v>61</v>
      </c>
      <c r="F167" s="13"/>
      <c r="G167" s="114" t="b">
        <v>1</v>
      </c>
      <c r="H167" s="114" t="b">
        <v>1</v>
      </c>
      <c r="I167" s="114" t="b">
        <v>0</v>
      </c>
      <c r="J167" s="114" t="b">
        <v>1</v>
      </c>
      <c r="K167" s="114" t="b">
        <v>1</v>
      </c>
      <c r="L167" s="114" t="b">
        <v>1</v>
      </c>
      <c r="M167" s="114" t="b">
        <v>1</v>
      </c>
      <c r="N167" s="114" t="b">
        <v>1</v>
      </c>
      <c r="O167" s="114" t="b">
        <v>1</v>
      </c>
      <c r="P167" s="114" t="b">
        <v>1</v>
      </c>
      <c r="Q167" s="114" t="b">
        <v>1</v>
      </c>
      <c r="R167" s="114" t="b">
        <v>1</v>
      </c>
      <c r="S167" s="114" t="b">
        <v>1</v>
      </c>
      <c r="T167" s="114" t="b">
        <v>0</v>
      </c>
      <c r="U167" s="114" t="b">
        <v>0</v>
      </c>
      <c r="V167" s="114" t="b">
        <v>0</v>
      </c>
      <c r="W167" s="114" t="b">
        <v>1</v>
      </c>
      <c r="X167" s="114" t="b">
        <v>1</v>
      </c>
      <c r="Y167" s="114" t="b">
        <v>1</v>
      </c>
      <c r="Z167" s="114" t="b">
        <v>0</v>
      </c>
      <c r="AA167" s="114" t="b">
        <v>0</v>
      </c>
      <c r="AB167" s="114" t="b">
        <v>0</v>
      </c>
      <c r="AC167" s="114" t="b">
        <v>0</v>
      </c>
      <c r="AD167" s="114" t="b">
        <v>0</v>
      </c>
      <c r="AE167" s="114" t="b">
        <v>0</v>
      </c>
      <c r="AF167" s="114" t="b">
        <v>0</v>
      </c>
      <c r="AG167" s="114" t="b">
        <v>0</v>
      </c>
      <c r="AH167" s="114" t="b">
        <v>0</v>
      </c>
      <c r="AI167" s="114" t="b">
        <v>0</v>
      </c>
      <c r="AJ167" s="114" t="b">
        <v>0</v>
      </c>
      <c r="AK167" s="114" t="b">
        <v>0</v>
      </c>
      <c r="AL167" s="115" t="str">
        <f t="shared" si="1"/>
        <v>15 dari 31 (48%)</v>
      </c>
    </row>
    <row r="168" ht="22.5" customHeight="1">
      <c r="A168" s="10">
        <v>167.0</v>
      </c>
      <c r="B168" s="11"/>
      <c r="C168" s="20">
        <v>49658.0</v>
      </c>
      <c r="D168" s="12" t="s">
        <v>63</v>
      </c>
      <c r="E168" s="12" t="s">
        <v>58</v>
      </c>
      <c r="F168" s="13"/>
      <c r="G168" s="114" t="b">
        <v>1</v>
      </c>
      <c r="H168" s="114" t="b">
        <v>1</v>
      </c>
      <c r="I168" s="114" t="b">
        <v>1</v>
      </c>
      <c r="J168" s="114" t="b">
        <v>1</v>
      </c>
      <c r="K168" s="114" t="b">
        <v>1</v>
      </c>
      <c r="L168" s="114" t="b">
        <v>1</v>
      </c>
      <c r="M168" s="114" t="b">
        <v>1</v>
      </c>
      <c r="N168" s="114" t="b">
        <v>1</v>
      </c>
      <c r="O168" s="114" t="b">
        <v>1</v>
      </c>
      <c r="P168" s="114" t="b">
        <v>1</v>
      </c>
      <c r="Q168" s="114" t="b">
        <v>1</v>
      </c>
      <c r="R168" s="114" t="b">
        <v>1</v>
      </c>
      <c r="S168" s="114" t="b">
        <v>1</v>
      </c>
      <c r="T168" s="114" t="b">
        <v>0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1</v>
      </c>
      <c r="AJ168" s="114" t="b">
        <v>0</v>
      </c>
      <c r="AK168" s="114" t="b">
        <v>0</v>
      </c>
      <c r="AL168" s="115" t="str">
        <f t="shared" si="1"/>
        <v>14 dari 31 (45%)</v>
      </c>
    </row>
    <row r="169" ht="22.5" customHeight="1">
      <c r="A169" s="2">
        <v>168.0</v>
      </c>
      <c r="B169" s="11"/>
      <c r="C169" s="20">
        <v>55010.0</v>
      </c>
      <c r="D169" s="12" t="s">
        <v>63</v>
      </c>
      <c r="E169" s="12" t="s">
        <v>58</v>
      </c>
      <c r="F169" s="13"/>
      <c r="G169" s="114" t="b">
        <v>1</v>
      </c>
      <c r="H169" s="114" t="b">
        <v>1</v>
      </c>
      <c r="I169" s="114" t="b">
        <v>1</v>
      </c>
      <c r="J169" s="114" t="b">
        <v>1</v>
      </c>
      <c r="K169" s="114" t="b">
        <v>1</v>
      </c>
      <c r="L169" s="114" t="b">
        <v>1</v>
      </c>
      <c r="M169" s="114" t="b">
        <v>1</v>
      </c>
      <c r="N169" s="114" t="b">
        <v>1</v>
      </c>
      <c r="O169" s="114" t="b">
        <v>1</v>
      </c>
      <c r="P169" s="114" t="b">
        <v>1</v>
      </c>
      <c r="Q169" s="114" t="b">
        <v>1</v>
      </c>
      <c r="R169" s="114" t="b">
        <v>1</v>
      </c>
      <c r="S169" s="114" t="b">
        <v>1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1</v>
      </c>
      <c r="AJ169" s="114" t="b">
        <v>0</v>
      </c>
      <c r="AK169" s="114" t="b">
        <v>0</v>
      </c>
      <c r="AL169" s="115" t="str">
        <f t="shared" si="1"/>
        <v>14 dari 31 (45%)</v>
      </c>
    </row>
    <row r="170" ht="22.5" customHeight="1">
      <c r="A170" s="10">
        <v>169.0</v>
      </c>
      <c r="B170" s="11"/>
      <c r="C170" s="20">
        <v>60745.0</v>
      </c>
      <c r="D170" s="12" t="s">
        <v>63</v>
      </c>
      <c r="E170" s="12" t="s">
        <v>58</v>
      </c>
      <c r="F170" s="13"/>
      <c r="G170" s="114" t="b">
        <v>1</v>
      </c>
      <c r="H170" s="114" t="b">
        <v>1</v>
      </c>
      <c r="I170" s="114" t="b">
        <v>1</v>
      </c>
      <c r="J170" s="114" t="b">
        <v>1</v>
      </c>
      <c r="K170" s="114" t="b">
        <v>1</v>
      </c>
      <c r="L170" s="114" t="b">
        <v>1</v>
      </c>
      <c r="M170" s="114" t="b">
        <v>1</v>
      </c>
      <c r="N170" s="114" t="b">
        <v>1</v>
      </c>
      <c r="O170" s="114" t="b">
        <v>1</v>
      </c>
      <c r="P170" s="114" t="b">
        <v>1</v>
      </c>
      <c r="Q170" s="114" t="b">
        <v>1</v>
      </c>
      <c r="R170" s="114" t="b">
        <v>1</v>
      </c>
      <c r="S170" s="114" t="b">
        <v>1</v>
      </c>
      <c r="T170" s="114" t="b">
        <v>0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1</v>
      </c>
      <c r="AA170" s="114" t="b">
        <v>1</v>
      </c>
      <c r="AB170" s="114" t="b">
        <v>1</v>
      </c>
      <c r="AC170" s="114" t="b">
        <v>1</v>
      </c>
      <c r="AD170" s="114" t="b">
        <v>1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1</v>
      </c>
      <c r="AJ170" s="114" t="b">
        <v>0</v>
      </c>
      <c r="AK170" s="114" t="b">
        <v>0</v>
      </c>
      <c r="AL170" s="115" t="str">
        <f t="shared" si="1"/>
        <v>19 dari 31 (61%)</v>
      </c>
    </row>
    <row r="171" ht="22.5" customHeight="1">
      <c r="A171" s="10">
        <v>170.0</v>
      </c>
      <c r="B171" s="11"/>
      <c r="C171" s="20">
        <v>60608.0</v>
      </c>
      <c r="D171" s="12" t="s">
        <v>63</v>
      </c>
      <c r="E171" s="12" t="s">
        <v>58</v>
      </c>
      <c r="F171" s="13"/>
      <c r="G171" s="114" t="b">
        <v>1</v>
      </c>
      <c r="H171" s="114" t="b">
        <v>1</v>
      </c>
      <c r="I171" s="114" t="b">
        <v>1</v>
      </c>
      <c r="J171" s="114" t="b">
        <v>1</v>
      </c>
      <c r="K171" s="114" t="b">
        <v>1</v>
      </c>
      <c r="L171" s="114" t="b">
        <v>1</v>
      </c>
      <c r="M171" s="114" t="b">
        <v>1</v>
      </c>
      <c r="N171" s="114" t="b">
        <v>1</v>
      </c>
      <c r="O171" s="114" t="b">
        <v>1</v>
      </c>
      <c r="P171" s="114" t="b">
        <v>1</v>
      </c>
      <c r="Q171" s="114" t="b">
        <v>1</v>
      </c>
      <c r="R171" s="114" t="b">
        <v>1</v>
      </c>
      <c r="S171" s="114" t="b">
        <v>1</v>
      </c>
      <c r="T171" s="114" t="b">
        <v>0</v>
      </c>
      <c r="U171" s="114" t="b">
        <v>0</v>
      </c>
      <c r="V171" s="114" t="b">
        <v>0</v>
      </c>
      <c r="W171" s="114" t="b">
        <v>0</v>
      </c>
      <c r="X171" s="114" t="b">
        <v>0</v>
      </c>
      <c r="Y171" s="114" t="b">
        <v>0</v>
      </c>
      <c r="Z171" s="114" t="b">
        <v>0</v>
      </c>
      <c r="AA171" s="114" t="b">
        <v>0</v>
      </c>
      <c r="AB171" s="114" t="b">
        <v>0</v>
      </c>
      <c r="AC171" s="114" t="b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 t="b">
        <v>0</v>
      </c>
      <c r="AI171" s="114" t="b">
        <v>1</v>
      </c>
      <c r="AJ171" s="114" t="b">
        <v>0</v>
      </c>
      <c r="AK171" s="114" t="b">
        <v>0</v>
      </c>
      <c r="AL171" s="115" t="str">
        <f t="shared" si="1"/>
        <v>14 dari 31 (45%)</v>
      </c>
    </row>
    <row r="172" ht="22.5" customHeight="1">
      <c r="A172" s="2">
        <v>171.0</v>
      </c>
      <c r="B172" s="11"/>
      <c r="C172" s="20">
        <v>55030.0</v>
      </c>
      <c r="D172" s="12" t="s">
        <v>63</v>
      </c>
      <c r="E172" s="12" t="s">
        <v>58</v>
      </c>
      <c r="F172" s="13"/>
      <c r="G172" s="114" t="b">
        <v>1</v>
      </c>
      <c r="H172" s="114" t="b">
        <v>1</v>
      </c>
      <c r="I172" s="114" t="b">
        <v>1</v>
      </c>
      <c r="J172" s="114" t="b">
        <v>1</v>
      </c>
      <c r="K172" s="114" t="b">
        <v>1</v>
      </c>
      <c r="L172" s="114" t="b">
        <v>1</v>
      </c>
      <c r="M172" s="114" t="b">
        <v>1</v>
      </c>
      <c r="N172" s="114" t="b">
        <v>0</v>
      </c>
      <c r="O172" s="114" t="b">
        <v>1</v>
      </c>
      <c r="P172" s="114" t="b">
        <v>1</v>
      </c>
      <c r="Q172" s="114" t="b">
        <v>1</v>
      </c>
      <c r="R172" s="114" t="b">
        <v>1</v>
      </c>
      <c r="S172" s="114" t="b">
        <v>1</v>
      </c>
      <c r="T172" s="114" t="b">
        <v>0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1</v>
      </c>
      <c r="AJ172" s="114" t="b">
        <v>0</v>
      </c>
      <c r="AK172" s="114" t="b">
        <v>0</v>
      </c>
      <c r="AL172" s="115" t="str">
        <f t="shared" si="1"/>
        <v>13 dari 31 (42%)</v>
      </c>
    </row>
    <row r="173" ht="22.5" customHeight="1">
      <c r="A173" s="10">
        <v>172.0</v>
      </c>
      <c r="B173" s="11"/>
      <c r="C173" s="20">
        <v>59632.0</v>
      </c>
      <c r="D173" s="12" t="s">
        <v>63</v>
      </c>
      <c r="E173" s="12" t="s">
        <v>58</v>
      </c>
      <c r="F173" s="13"/>
      <c r="G173" s="114" t="b">
        <v>1</v>
      </c>
      <c r="H173" s="114" t="b">
        <v>1</v>
      </c>
      <c r="I173" s="114" t="b">
        <v>1</v>
      </c>
      <c r="J173" s="114" t="b">
        <v>1</v>
      </c>
      <c r="K173" s="114" t="b">
        <v>1</v>
      </c>
      <c r="L173" s="114" t="b">
        <v>1</v>
      </c>
      <c r="M173" s="114" t="b">
        <v>1</v>
      </c>
      <c r="N173" s="114" t="b">
        <v>1</v>
      </c>
      <c r="O173" s="114" t="b">
        <v>1</v>
      </c>
      <c r="P173" s="114" t="b">
        <v>1</v>
      </c>
      <c r="Q173" s="114" t="b">
        <v>1</v>
      </c>
      <c r="R173" s="114" t="b">
        <v>1</v>
      </c>
      <c r="S173" s="114" t="b">
        <v>1</v>
      </c>
      <c r="T173" s="114" t="b">
        <v>0</v>
      </c>
      <c r="U173" s="114" t="b">
        <v>0</v>
      </c>
      <c r="V173" s="114" t="b">
        <v>0</v>
      </c>
      <c r="W173" s="114" t="b">
        <v>0</v>
      </c>
      <c r="X173" s="114" t="b">
        <v>0</v>
      </c>
      <c r="Y173" s="114" t="b">
        <v>0</v>
      </c>
      <c r="Z173" s="114" t="b">
        <v>0</v>
      </c>
      <c r="AA173" s="114" t="b">
        <v>0</v>
      </c>
      <c r="AB173" s="114" t="b">
        <v>0</v>
      </c>
      <c r="AC173" s="114" t="b">
        <v>0</v>
      </c>
      <c r="AD173" s="114" t="b">
        <v>0</v>
      </c>
      <c r="AE173" s="114" t="b">
        <v>0</v>
      </c>
      <c r="AF173" s="114" t="b">
        <v>0</v>
      </c>
      <c r="AG173" s="114" t="b">
        <v>0</v>
      </c>
      <c r="AH173" s="114" t="b">
        <v>0</v>
      </c>
      <c r="AI173" s="114" t="b">
        <v>1</v>
      </c>
      <c r="AJ173" s="114" t="b">
        <v>0</v>
      </c>
      <c r="AK173" s="114" t="b">
        <v>0</v>
      </c>
      <c r="AL173" s="115" t="str">
        <f t="shared" si="1"/>
        <v>14 dari 31 (45%)</v>
      </c>
    </row>
    <row r="174" ht="22.5" customHeight="1">
      <c r="A174" s="10">
        <v>173.0</v>
      </c>
      <c r="B174" s="11"/>
      <c r="C174" s="20">
        <v>59737.0</v>
      </c>
      <c r="D174" s="12" t="s">
        <v>63</v>
      </c>
      <c r="E174" s="12" t="s">
        <v>58</v>
      </c>
      <c r="F174" s="13"/>
      <c r="G174" s="114" t="b">
        <v>1</v>
      </c>
      <c r="H174" s="114" t="b">
        <v>1</v>
      </c>
      <c r="I174" s="114" t="b">
        <v>1</v>
      </c>
      <c r="J174" s="114" t="b">
        <v>1</v>
      </c>
      <c r="K174" s="114" t="b">
        <v>1</v>
      </c>
      <c r="L174" s="114" t="b">
        <v>1</v>
      </c>
      <c r="M174" s="114" t="b">
        <v>1</v>
      </c>
      <c r="N174" s="114" t="b">
        <v>1</v>
      </c>
      <c r="O174" s="114" t="b">
        <v>1</v>
      </c>
      <c r="P174" s="114" t="b">
        <v>1</v>
      </c>
      <c r="Q174" s="114" t="b">
        <v>1</v>
      </c>
      <c r="R174" s="114" t="b">
        <v>1</v>
      </c>
      <c r="S174" s="114" t="b">
        <v>1</v>
      </c>
      <c r="T174" s="114" t="b">
        <v>0</v>
      </c>
      <c r="U174" s="114" t="b">
        <v>0</v>
      </c>
      <c r="V174" s="114" t="b">
        <v>0</v>
      </c>
      <c r="W174" s="114" t="b">
        <v>0</v>
      </c>
      <c r="X174" s="114" t="b">
        <v>0</v>
      </c>
      <c r="Y174" s="114" t="b">
        <v>0</v>
      </c>
      <c r="Z174" s="114" t="b">
        <v>0</v>
      </c>
      <c r="AA174" s="114" t="b">
        <v>0</v>
      </c>
      <c r="AB174" s="114" t="b">
        <v>0</v>
      </c>
      <c r="AC174" s="114" t="b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 t="b">
        <v>0</v>
      </c>
      <c r="AI174" s="114" t="b">
        <v>1</v>
      </c>
      <c r="AJ174" s="114" t="b">
        <v>0</v>
      </c>
      <c r="AK174" s="114" t="b">
        <v>0</v>
      </c>
      <c r="AL174" s="115" t="str">
        <f t="shared" si="1"/>
        <v>14 dari 31 (45%)</v>
      </c>
    </row>
    <row r="175" ht="22.5" customHeight="1">
      <c r="A175" s="2">
        <v>174.0</v>
      </c>
      <c r="B175" s="11"/>
      <c r="C175" s="20">
        <v>55571.0</v>
      </c>
      <c r="D175" s="12" t="s">
        <v>63</v>
      </c>
      <c r="E175" s="12" t="s">
        <v>58</v>
      </c>
      <c r="F175" s="13"/>
      <c r="G175" s="114" t="b">
        <v>1</v>
      </c>
      <c r="H175" s="114" t="b">
        <v>1</v>
      </c>
      <c r="I175" s="114" t="b">
        <v>1</v>
      </c>
      <c r="J175" s="114" t="b">
        <v>1</v>
      </c>
      <c r="K175" s="114" t="b">
        <v>1</v>
      </c>
      <c r="L175" s="114" t="b">
        <v>1</v>
      </c>
      <c r="M175" s="114" t="b">
        <v>1</v>
      </c>
      <c r="N175" s="114" t="b">
        <v>1</v>
      </c>
      <c r="O175" s="114" t="b">
        <v>1</v>
      </c>
      <c r="P175" s="114" t="b">
        <v>1</v>
      </c>
      <c r="Q175" s="114" t="b">
        <v>1</v>
      </c>
      <c r="R175" s="114" t="b">
        <v>1</v>
      </c>
      <c r="S175" s="114" t="b">
        <v>1</v>
      </c>
      <c r="T175" s="114" t="b">
        <v>0</v>
      </c>
      <c r="U175" s="114" t="b">
        <v>0</v>
      </c>
      <c r="V175" s="114" t="b">
        <v>0</v>
      </c>
      <c r="W175" s="114" t="b">
        <v>0</v>
      </c>
      <c r="X175" s="114" t="b">
        <v>0</v>
      </c>
      <c r="Y175" s="114" t="b">
        <v>0</v>
      </c>
      <c r="Z175" s="114" t="b">
        <v>0</v>
      </c>
      <c r="AA175" s="114" t="b">
        <v>0</v>
      </c>
      <c r="AB175" s="114" t="b">
        <v>0</v>
      </c>
      <c r="AC175" s="114" t="b">
        <v>0</v>
      </c>
      <c r="AD175" s="114" t="b">
        <v>0</v>
      </c>
      <c r="AE175" s="114" t="b">
        <v>0</v>
      </c>
      <c r="AF175" s="114" t="b">
        <v>0</v>
      </c>
      <c r="AG175" s="114" t="b">
        <v>0</v>
      </c>
      <c r="AH175" s="114" t="b">
        <v>0</v>
      </c>
      <c r="AI175" s="114" t="b">
        <v>1</v>
      </c>
      <c r="AJ175" s="114" t="b">
        <v>0</v>
      </c>
      <c r="AK175" s="114" t="b">
        <v>0</v>
      </c>
      <c r="AL175" s="115" t="str">
        <f t="shared" si="1"/>
        <v>14 dari 31 (45%)</v>
      </c>
    </row>
    <row r="176" ht="22.5" customHeight="1">
      <c r="A176" s="10">
        <v>175.0</v>
      </c>
      <c r="B176" s="11"/>
      <c r="C176" s="20">
        <v>60983.0</v>
      </c>
      <c r="D176" s="12" t="s">
        <v>63</v>
      </c>
      <c r="E176" s="12" t="s">
        <v>58</v>
      </c>
      <c r="F176" s="13"/>
      <c r="G176" s="114" t="b">
        <v>1</v>
      </c>
      <c r="H176" s="114" t="b">
        <v>1</v>
      </c>
      <c r="I176" s="114" t="b">
        <v>1</v>
      </c>
      <c r="J176" s="114" t="b">
        <v>1</v>
      </c>
      <c r="K176" s="114" t="b">
        <v>1</v>
      </c>
      <c r="L176" s="114" t="b">
        <v>1</v>
      </c>
      <c r="M176" s="114" t="b">
        <v>1</v>
      </c>
      <c r="N176" s="114" t="b">
        <v>1</v>
      </c>
      <c r="O176" s="114" t="b">
        <v>1</v>
      </c>
      <c r="P176" s="114" t="b">
        <v>1</v>
      </c>
      <c r="Q176" s="114" t="b">
        <v>1</v>
      </c>
      <c r="R176" s="114" t="b">
        <v>1</v>
      </c>
      <c r="S176" s="114" t="b">
        <v>1</v>
      </c>
      <c r="T176" s="114" t="b">
        <v>0</v>
      </c>
      <c r="U176" s="114" t="b">
        <v>0</v>
      </c>
      <c r="V176" s="114" t="b">
        <v>0</v>
      </c>
      <c r="W176" s="114" t="b">
        <v>0</v>
      </c>
      <c r="X176" s="114" t="b">
        <v>0</v>
      </c>
      <c r="Y176" s="114" t="b">
        <v>0</v>
      </c>
      <c r="Z176" s="114" t="b">
        <v>0</v>
      </c>
      <c r="AA176" s="114" t="b">
        <v>0</v>
      </c>
      <c r="AB176" s="114" t="b">
        <v>0</v>
      </c>
      <c r="AC176" s="114" t="b">
        <v>0</v>
      </c>
      <c r="AD176" s="114" t="b">
        <v>0</v>
      </c>
      <c r="AE176" s="114" t="b">
        <v>0</v>
      </c>
      <c r="AF176" s="114" t="b">
        <v>0</v>
      </c>
      <c r="AG176" s="114" t="b">
        <v>0</v>
      </c>
      <c r="AH176" s="114" t="b">
        <v>0</v>
      </c>
      <c r="AI176" s="114" t="b">
        <v>1</v>
      </c>
      <c r="AJ176" s="114" t="b">
        <v>0</v>
      </c>
      <c r="AK176" s="114" t="b">
        <v>0</v>
      </c>
      <c r="AL176" s="115" t="str">
        <f t="shared" si="1"/>
        <v>14 dari 31 (45%)</v>
      </c>
    </row>
    <row r="177" ht="22.5" customHeight="1">
      <c r="A177" s="10">
        <v>176.0</v>
      </c>
      <c r="B177" s="11"/>
      <c r="C177" s="20">
        <v>60074.0</v>
      </c>
      <c r="D177" s="12" t="s">
        <v>63</v>
      </c>
      <c r="E177" s="12" t="s">
        <v>58</v>
      </c>
      <c r="F177" s="13"/>
      <c r="G177" s="114" t="b">
        <v>1</v>
      </c>
      <c r="H177" s="114" t="b">
        <v>1</v>
      </c>
      <c r="I177" s="114" t="b">
        <v>1</v>
      </c>
      <c r="J177" s="114" t="b">
        <v>1</v>
      </c>
      <c r="K177" s="114" t="b">
        <v>1</v>
      </c>
      <c r="L177" s="114" t="b">
        <v>1</v>
      </c>
      <c r="M177" s="114" t="b">
        <v>1</v>
      </c>
      <c r="N177" s="114" t="b">
        <v>1</v>
      </c>
      <c r="O177" s="114" t="b">
        <v>1</v>
      </c>
      <c r="P177" s="114" t="b">
        <v>1</v>
      </c>
      <c r="Q177" s="114" t="b">
        <v>1</v>
      </c>
      <c r="R177" s="114" t="b">
        <v>1</v>
      </c>
      <c r="S177" s="114" t="b">
        <v>1</v>
      </c>
      <c r="T177" s="114" t="b">
        <v>0</v>
      </c>
      <c r="U177" s="114" t="b">
        <v>0</v>
      </c>
      <c r="V177" s="114" t="b">
        <v>0</v>
      </c>
      <c r="W177" s="114" t="b">
        <v>0</v>
      </c>
      <c r="X177" s="114" t="b">
        <v>0</v>
      </c>
      <c r="Y177" s="114" t="b">
        <v>0</v>
      </c>
      <c r="Z177" s="114" t="b">
        <v>0</v>
      </c>
      <c r="AA177" s="114" t="b">
        <v>0</v>
      </c>
      <c r="AB177" s="114" t="b">
        <v>0</v>
      </c>
      <c r="AC177" s="114" t="b">
        <v>0</v>
      </c>
      <c r="AD177" s="114" t="b">
        <v>0</v>
      </c>
      <c r="AE177" s="114" t="b">
        <v>0</v>
      </c>
      <c r="AF177" s="114" t="b">
        <v>0</v>
      </c>
      <c r="AG177" s="114" t="b">
        <v>0</v>
      </c>
      <c r="AH177" s="114" t="b">
        <v>0</v>
      </c>
      <c r="AI177" s="114" t="b">
        <v>1</v>
      </c>
      <c r="AJ177" s="114" t="b">
        <v>0</v>
      </c>
      <c r="AK177" s="114" t="b">
        <v>0</v>
      </c>
      <c r="AL177" s="115" t="str">
        <f t="shared" si="1"/>
        <v>14 dari 31 (45%)</v>
      </c>
    </row>
    <row r="178" ht="22.5" customHeight="1">
      <c r="A178" s="2">
        <v>177.0</v>
      </c>
      <c r="B178" s="11"/>
      <c r="C178" s="22">
        <v>37611.0</v>
      </c>
      <c r="D178" s="12" t="s">
        <v>63</v>
      </c>
      <c r="E178" s="12" t="s">
        <v>58</v>
      </c>
      <c r="F178" s="13"/>
      <c r="G178" s="114" t="b">
        <v>1</v>
      </c>
      <c r="H178" s="114" t="b">
        <v>1</v>
      </c>
      <c r="I178" s="114" t="b">
        <v>1</v>
      </c>
      <c r="J178" s="114" t="b">
        <v>1</v>
      </c>
      <c r="K178" s="114" t="b">
        <v>1</v>
      </c>
      <c r="L178" s="114" t="b">
        <v>1</v>
      </c>
      <c r="M178" s="114" t="b">
        <v>1</v>
      </c>
      <c r="N178" s="114" t="b">
        <v>1</v>
      </c>
      <c r="O178" s="114" t="b">
        <v>1</v>
      </c>
      <c r="P178" s="114" t="b">
        <v>1</v>
      </c>
      <c r="Q178" s="114" t="b">
        <v>1</v>
      </c>
      <c r="R178" s="114" t="b">
        <v>1</v>
      </c>
      <c r="S178" s="114" t="b">
        <v>1</v>
      </c>
      <c r="T178" s="114" t="b">
        <v>0</v>
      </c>
      <c r="U178" s="114" t="b">
        <v>0</v>
      </c>
      <c r="V178" s="114" t="b">
        <v>0</v>
      </c>
      <c r="W178" s="114" t="b">
        <v>0</v>
      </c>
      <c r="X178" s="114" t="b">
        <v>0</v>
      </c>
      <c r="Y178" s="114" t="b">
        <v>0</v>
      </c>
      <c r="Z178" s="114" t="b">
        <v>0</v>
      </c>
      <c r="AA178" s="114" t="b">
        <v>0</v>
      </c>
      <c r="AB178" s="114" t="b">
        <v>0</v>
      </c>
      <c r="AC178" s="114" t="b">
        <v>0</v>
      </c>
      <c r="AD178" s="114" t="b">
        <v>0</v>
      </c>
      <c r="AE178" s="114" t="b">
        <v>0</v>
      </c>
      <c r="AF178" s="114" t="b">
        <v>0</v>
      </c>
      <c r="AG178" s="114" t="b">
        <v>0</v>
      </c>
      <c r="AH178" s="114" t="b">
        <v>0</v>
      </c>
      <c r="AI178" s="114" t="b">
        <v>1</v>
      </c>
      <c r="AJ178" s="114" t="b">
        <v>0</v>
      </c>
      <c r="AK178" s="114" t="b">
        <v>0</v>
      </c>
      <c r="AL178" s="115" t="str">
        <f t="shared" si="1"/>
        <v>14 dari 31 (45%)</v>
      </c>
    </row>
    <row r="179" ht="22.5" customHeight="1">
      <c r="A179" s="10">
        <v>178.0</v>
      </c>
      <c r="B179" s="11"/>
      <c r="C179" s="22">
        <v>60550.0</v>
      </c>
      <c r="D179" s="12" t="s">
        <v>63</v>
      </c>
      <c r="E179" s="12" t="s">
        <v>58</v>
      </c>
      <c r="F179" s="13"/>
      <c r="G179" s="114" t="b">
        <v>1</v>
      </c>
      <c r="H179" s="114" t="b">
        <v>1</v>
      </c>
      <c r="I179" s="114" t="b">
        <v>1</v>
      </c>
      <c r="J179" s="114" t="b">
        <v>1</v>
      </c>
      <c r="K179" s="114" t="b">
        <v>1</v>
      </c>
      <c r="L179" s="114" t="b">
        <v>1</v>
      </c>
      <c r="M179" s="114" t="b">
        <v>1</v>
      </c>
      <c r="N179" s="114" t="b">
        <v>1</v>
      </c>
      <c r="O179" s="114" t="b">
        <v>1</v>
      </c>
      <c r="P179" s="114" t="b">
        <v>1</v>
      </c>
      <c r="Q179" s="114" t="b">
        <v>1</v>
      </c>
      <c r="R179" s="114" t="b">
        <v>1</v>
      </c>
      <c r="S179" s="114" t="b">
        <v>1</v>
      </c>
      <c r="T179" s="114" t="b">
        <v>0</v>
      </c>
      <c r="U179" s="114" t="b">
        <v>0</v>
      </c>
      <c r="V179" s="114" t="b">
        <v>0</v>
      </c>
      <c r="W179" s="114" t="b">
        <v>0</v>
      </c>
      <c r="X179" s="114" t="b">
        <v>0</v>
      </c>
      <c r="Y179" s="114" t="b">
        <v>0</v>
      </c>
      <c r="Z179" s="114" t="b">
        <v>0</v>
      </c>
      <c r="AA179" s="114" t="b">
        <v>0</v>
      </c>
      <c r="AB179" s="114" t="b">
        <v>0</v>
      </c>
      <c r="AC179" s="114" t="b">
        <v>0</v>
      </c>
      <c r="AD179" s="114" t="b">
        <v>0</v>
      </c>
      <c r="AE179" s="114" t="b">
        <v>0</v>
      </c>
      <c r="AF179" s="114" t="b">
        <v>0</v>
      </c>
      <c r="AG179" s="114" t="b">
        <v>0</v>
      </c>
      <c r="AH179" s="114" t="b">
        <v>0</v>
      </c>
      <c r="AI179" s="114" t="b">
        <v>1</v>
      </c>
      <c r="AJ179" s="114" t="b">
        <v>0</v>
      </c>
      <c r="AK179" s="114" t="b">
        <v>0</v>
      </c>
      <c r="AL179" s="115" t="str">
        <f t="shared" si="1"/>
        <v>14 dari 31 (45%)</v>
      </c>
    </row>
    <row r="180" ht="22.5" customHeight="1">
      <c r="A180" s="10">
        <v>179.0</v>
      </c>
      <c r="B180" s="11"/>
      <c r="C180" s="22">
        <v>58035.0</v>
      </c>
      <c r="D180" s="12" t="s">
        <v>63</v>
      </c>
      <c r="E180" s="12" t="s">
        <v>58</v>
      </c>
      <c r="F180" s="13"/>
      <c r="G180" s="114" t="b">
        <v>1</v>
      </c>
      <c r="H180" s="114" t="b">
        <v>1</v>
      </c>
      <c r="I180" s="114" t="b">
        <v>1</v>
      </c>
      <c r="J180" s="114" t="b">
        <v>1</v>
      </c>
      <c r="K180" s="114" t="b">
        <v>1</v>
      </c>
      <c r="L180" s="114" t="b">
        <v>1</v>
      </c>
      <c r="M180" s="114" t="b">
        <v>1</v>
      </c>
      <c r="N180" s="114" t="b">
        <v>1</v>
      </c>
      <c r="O180" s="114" t="b">
        <v>1</v>
      </c>
      <c r="P180" s="114" t="b">
        <v>1</v>
      </c>
      <c r="Q180" s="114" t="b">
        <v>1</v>
      </c>
      <c r="R180" s="114" t="b">
        <v>1</v>
      </c>
      <c r="S180" s="114" t="b">
        <v>1</v>
      </c>
      <c r="T180" s="114" t="b">
        <v>0</v>
      </c>
      <c r="U180" s="114" t="b">
        <v>0</v>
      </c>
      <c r="V180" s="114" t="b">
        <v>0</v>
      </c>
      <c r="W180" s="114" t="b">
        <v>0</v>
      </c>
      <c r="X180" s="114" t="b">
        <v>0</v>
      </c>
      <c r="Y180" s="114" t="b">
        <v>0</v>
      </c>
      <c r="Z180" s="114" t="b">
        <v>0</v>
      </c>
      <c r="AA180" s="114" t="b">
        <v>0</v>
      </c>
      <c r="AB180" s="114" t="b">
        <v>0</v>
      </c>
      <c r="AC180" s="114" t="b">
        <v>0</v>
      </c>
      <c r="AD180" s="114" t="b">
        <v>0</v>
      </c>
      <c r="AE180" s="114" t="b">
        <v>0</v>
      </c>
      <c r="AF180" s="114" t="b">
        <v>0</v>
      </c>
      <c r="AG180" s="114" t="b">
        <v>0</v>
      </c>
      <c r="AH180" s="114" t="b">
        <v>0</v>
      </c>
      <c r="AI180" s="114" t="b">
        <v>1</v>
      </c>
      <c r="AJ180" s="114" t="b">
        <v>0</v>
      </c>
      <c r="AK180" s="114" t="b">
        <v>0</v>
      </c>
      <c r="AL180" s="115" t="str">
        <f t="shared" si="1"/>
        <v>14 dari 31 (45%)</v>
      </c>
    </row>
    <row r="181" ht="22.5" customHeight="1">
      <c r="A181" s="2">
        <v>180.0</v>
      </c>
      <c r="B181" s="11"/>
      <c r="C181" s="22">
        <v>59468.0</v>
      </c>
      <c r="D181" s="12" t="s">
        <v>63</v>
      </c>
      <c r="E181" s="12" t="s">
        <v>58</v>
      </c>
      <c r="F181" s="13"/>
      <c r="G181" s="114" t="b">
        <v>1</v>
      </c>
      <c r="H181" s="114" t="b">
        <v>1</v>
      </c>
      <c r="I181" s="114" t="b">
        <v>1</v>
      </c>
      <c r="J181" s="114" t="b">
        <v>1</v>
      </c>
      <c r="K181" s="114" t="b">
        <v>1</v>
      </c>
      <c r="L181" s="114" t="b">
        <v>1</v>
      </c>
      <c r="M181" s="114" t="b">
        <v>1</v>
      </c>
      <c r="N181" s="114" t="b">
        <v>1</v>
      </c>
      <c r="O181" s="114" t="b">
        <v>1</v>
      </c>
      <c r="P181" s="114" t="b">
        <v>1</v>
      </c>
      <c r="Q181" s="114" t="b">
        <v>1</v>
      </c>
      <c r="R181" s="114" t="b">
        <v>1</v>
      </c>
      <c r="S181" s="114" t="b">
        <v>1</v>
      </c>
      <c r="T181" s="114" t="b">
        <v>0</v>
      </c>
      <c r="U181" s="114" t="b">
        <v>0</v>
      </c>
      <c r="V181" s="114" t="b">
        <v>0</v>
      </c>
      <c r="W181" s="114" t="b">
        <v>0</v>
      </c>
      <c r="X181" s="114" t="b">
        <v>0</v>
      </c>
      <c r="Y181" s="114" t="b">
        <v>0</v>
      </c>
      <c r="Z181" s="114" t="b">
        <v>0</v>
      </c>
      <c r="AA181" s="114" t="b">
        <v>0</v>
      </c>
      <c r="AB181" s="114" t="b">
        <v>0</v>
      </c>
      <c r="AC181" s="114" t="b">
        <v>0</v>
      </c>
      <c r="AD181" s="114" t="b">
        <v>0</v>
      </c>
      <c r="AE181" s="114" t="b">
        <v>0</v>
      </c>
      <c r="AF181" s="114" t="b">
        <v>0</v>
      </c>
      <c r="AG181" s="114" t="b">
        <v>0</v>
      </c>
      <c r="AH181" s="114" t="b">
        <v>0</v>
      </c>
      <c r="AI181" s="114" t="b">
        <v>1</v>
      </c>
      <c r="AJ181" s="114" t="b">
        <v>0</v>
      </c>
      <c r="AK181" s="114" t="b">
        <v>0</v>
      </c>
      <c r="AL181" s="115" t="str">
        <f t="shared" si="1"/>
        <v>14 dari 31 (45%)</v>
      </c>
    </row>
    <row r="182" ht="22.5" customHeight="1">
      <c r="A182" s="10">
        <v>181.0</v>
      </c>
      <c r="B182" s="11"/>
      <c r="C182" s="20">
        <v>61125.0</v>
      </c>
      <c r="D182" s="12" t="s">
        <v>63</v>
      </c>
      <c r="E182" s="12" t="s">
        <v>58</v>
      </c>
      <c r="F182" s="13"/>
      <c r="G182" s="114" t="b">
        <v>1</v>
      </c>
      <c r="H182" s="114" t="b">
        <v>1</v>
      </c>
      <c r="I182" s="114" t="b">
        <v>1</v>
      </c>
      <c r="J182" s="114" t="b">
        <v>1</v>
      </c>
      <c r="K182" s="114" t="b">
        <v>1</v>
      </c>
      <c r="L182" s="114" t="b">
        <v>1</v>
      </c>
      <c r="M182" s="114" t="b">
        <v>1</v>
      </c>
      <c r="N182" s="114" t="b">
        <v>1</v>
      </c>
      <c r="O182" s="114" t="b">
        <v>1</v>
      </c>
      <c r="P182" s="114" t="b">
        <v>1</v>
      </c>
      <c r="Q182" s="114" t="b">
        <v>1</v>
      </c>
      <c r="R182" s="114" t="b">
        <v>1</v>
      </c>
      <c r="S182" s="114" t="b">
        <v>1</v>
      </c>
      <c r="T182" s="114" t="b">
        <v>0</v>
      </c>
      <c r="U182" s="114" t="b">
        <v>0</v>
      </c>
      <c r="V182" s="114" t="b">
        <v>0</v>
      </c>
      <c r="W182" s="114" t="b">
        <v>0</v>
      </c>
      <c r="X182" s="114" t="b">
        <v>0</v>
      </c>
      <c r="Y182" s="114" t="b">
        <v>0</v>
      </c>
      <c r="Z182" s="114" t="b">
        <v>0</v>
      </c>
      <c r="AA182" s="114" t="b">
        <v>0</v>
      </c>
      <c r="AB182" s="114" t="b">
        <v>0</v>
      </c>
      <c r="AC182" s="114" t="b">
        <v>0</v>
      </c>
      <c r="AD182" s="114" t="b">
        <v>0</v>
      </c>
      <c r="AE182" s="114" t="b">
        <v>0</v>
      </c>
      <c r="AF182" s="114" t="b">
        <v>0</v>
      </c>
      <c r="AG182" s="114" t="b">
        <v>0</v>
      </c>
      <c r="AH182" s="114" t="b">
        <v>0</v>
      </c>
      <c r="AI182" s="114" t="b">
        <v>1</v>
      </c>
      <c r="AJ182" s="114" t="b">
        <v>0</v>
      </c>
      <c r="AK182" s="114" t="b">
        <v>0</v>
      </c>
      <c r="AL182" s="115" t="str">
        <f t="shared" si="1"/>
        <v>14 dari 31 (45%)</v>
      </c>
    </row>
    <row r="183" ht="22.5" customHeight="1">
      <c r="A183" s="10">
        <v>182.0</v>
      </c>
      <c r="B183" s="11"/>
      <c r="C183" s="20">
        <v>61103.0</v>
      </c>
      <c r="D183" s="12" t="s">
        <v>89</v>
      </c>
      <c r="E183" s="12" t="s">
        <v>86</v>
      </c>
      <c r="F183" s="15" t="s">
        <v>50</v>
      </c>
      <c r="G183" s="114" t="b">
        <v>1</v>
      </c>
      <c r="H183" s="114" t="b">
        <v>0</v>
      </c>
      <c r="I183" s="114" t="b">
        <v>0</v>
      </c>
      <c r="J183" s="114" t="b">
        <v>0</v>
      </c>
      <c r="K183" s="114" t="b">
        <v>0</v>
      </c>
      <c r="L183" s="114" t="b">
        <v>0</v>
      </c>
      <c r="M183" s="114" t="b">
        <v>0</v>
      </c>
      <c r="N183" s="114" t="b">
        <v>0</v>
      </c>
      <c r="O183" s="114" t="b">
        <v>0</v>
      </c>
      <c r="P183" s="114" t="b">
        <v>0</v>
      </c>
      <c r="Q183" s="114" t="b">
        <v>0</v>
      </c>
      <c r="R183" s="114" t="b">
        <v>0</v>
      </c>
      <c r="S183" s="114" t="b">
        <v>0</v>
      </c>
      <c r="T183" s="114" t="b">
        <v>0</v>
      </c>
      <c r="U183" s="114" t="b">
        <v>0</v>
      </c>
      <c r="V183" s="114" t="b">
        <v>0</v>
      </c>
      <c r="W183" s="114" t="b">
        <v>0</v>
      </c>
      <c r="X183" s="114" t="b">
        <v>0</v>
      </c>
      <c r="Y183" s="114" t="b">
        <v>0</v>
      </c>
      <c r="Z183" s="114" t="b">
        <v>0</v>
      </c>
      <c r="AA183" s="114" t="b">
        <v>0</v>
      </c>
      <c r="AB183" s="114" t="b">
        <v>0</v>
      </c>
      <c r="AC183" s="114" t="b">
        <v>0</v>
      </c>
      <c r="AD183" s="114" t="b">
        <v>0</v>
      </c>
      <c r="AE183" s="114" t="b">
        <v>0</v>
      </c>
      <c r="AF183" s="114" t="b">
        <v>0</v>
      </c>
      <c r="AG183" s="114" t="b">
        <v>0</v>
      </c>
      <c r="AH183" s="114" t="b">
        <v>0</v>
      </c>
      <c r="AI183" s="114" t="b">
        <v>0</v>
      </c>
      <c r="AJ183" s="114" t="b">
        <v>0</v>
      </c>
      <c r="AK183" s="114" t="b">
        <v>0</v>
      </c>
      <c r="AL183" s="115" t="str">
        <f t="shared" si="1"/>
        <v>1 dari 31 (3%)</v>
      </c>
    </row>
    <row r="184" ht="22.5" customHeight="1">
      <c r="A184" s="2">
        <v>183.0</v>
      </c>
      <c r="B184" s="11"/>
      <c r="C184" s="20">
        <v>61126.0</v>
      </c>
      <c r="D184" s="12" t="s">
        <v>89</v>
      </c>
      <c r="E184" s="12" t="s">
        <v>95</v>
      </c>
      <c r="F184" s="15" t="s">
        <v>50</v>
      </c>
      <c r="G184" s="114" t="b">
        <v>1</v>
      </c>
      <c r="H184" s="114" t="b">
        <v>0</v>
      </c>
      <c r="I184" s="114" t="b">
        <v>0</v>
      </c>
      <c r="J184" s="114" t="b">
        <v>0</v>
      </c>
      <c r="K184" s="114" t="b">
        <v>0</v>
      </c>
      <c r="L184" s="114" t="b">
        <v>0</v>
      </c>
      <c r="M184" s="114" t="b">
        <v>0</v>
      </c>
      <c r="N184" s="114" t="b">
        <v>0</v>
      </c>
      <c r="O184" s="114" t="b">
        <v>0</v>
      </c>
      <c r="P184" s="114" t="b">
        <v>0</v>
      </c>
      <c r="Q184" s="114" t="b">
        <v>0</v>
      </c>
      <c r="R184" s="114" t="b">
        <v>0</v>
      </c>
      <c r="S184" s="114" t="b">
        <v>0</v>
      </c>
      <c r="T184" s="114" t="b">
        <v>0</v>
      </c>
      <c r="U184" s="114" t="b">
        <v>0</v>
      </c>
      <c r="V184" s="114" t="b">
        <v>0</v>
      </c>
      <c r="W184" s="114" t="b">
        <v>0</v>
      </c>
      <c r="X184" s="114" t="b">
        <v>0</v>
      </c>
      <c r="Y184" s="114" t="b">
        <v>0</v>
      </c>
      <c r="Z184" s="114" t="b">
        <v>0</v>
      </c>
      <c r="AA184" s="114" t="b">
        <v>0</v>
      </c>
      <c r="AB184" s="114" t="b">
        <v>0</v>
      </c>
      <c r="AC184" s="114" t="b">
        <v>0</v>
      </c>
      <c r="AD184" s="114" t="b">
        <v>0</v>
      </c>
      <c r="AE184" s="114" t="b">
        <v>0</v>
      </c>
      <c r="AF184" s="114" t="b">
        <v>0</v>
      </c>
      <c r="AG184" s="114" t="b">
        <v>0</v>
      </c>
      <c r="AH184" s="114" t="b">
        <v>0</v>
      </c>
      <c r="AI184" s="114" t="b">
        <v>0</v>
      </c>
      <c r="AJ184" s="114" t="b">
        <v>0</v>
      </c>
      <c r="AK184" s="114" t="b">
        <v>0</v>
      </c>
      <c r="AL184" s="115" t="str">
        <f t="shared" si="1"/>
        <v>1 dari 31 (3%)</v>
      </c>
    </row>
    <row r="185" ht="22.5" customHeight="1">
      <c r="A185" s="10">
        <v>184.0</v>
      </c>
      <c r="B185" s="11"/>
      <c r="C185" s="20">
        <v>61127.0</v>
      </c>
      <c r="D185" s="12" t="s">
        <v>89</v>
      </c>
      <c r="E185" s="12" t="s">
        <v>95</v>
      </c>
      <c r="F185" s="15" t="s">
        <v>50</v>
      </c>
      <c r="G185" s="114" t="b">
        <v>1</v>
      </c>
      <c r="H185" s="114" t="b">
        <v>0</v>
      </c>
      <c r="I185" s="114" t="b">
        <v>0</v>
      </c>
      <c r="J185" s="114" t="b">
        <v>0</v>
      </c>
      <c r="K185" s="114" t="b">
        <v>0</v>
      </c>
      <c r="L185" s="114" t="b">
        <v>0</v>
      </c>
      <c r="M185" s="114" t="b">
        <v>0</v>
      </c>
      <c r="N185" s="114" t="b">
        <v>0</v>
      </c>
      <c r="O185" s="114" t="b">
        <v>0</v>
      </c>
      <c r="P185" s="114" t="b">
        <v>0</v>
      </c>
      <c r="Q185" s="114" t="b">
        <v>0</v>
      </c>
      <c r="R185" s="114" t="b">
        <v>0</v>
      </c>
      <c r="S185" s="114" t="b">
        <v>0</v>
      </c>
      <c r="T185" s="114" t="b">
        <v>0</v>
      </c>
      <c r="U185" s="114" t="b">
        <v>0</v>
      </c>
      <c r="V185" s="114" t="b">
        <v>0</v>
      </c>
      <c r="W185" s="114" t="b">
        <v>0</v>
      </c>
      <c r="X185" s="114" t="b">
        <v>0</v>
      </c>
      <c r="Y185" s="114" t="b">
        <v>0</v>
      </c>
      <c r="Z185" s="114" t="b">
        <v>0</v>
      </c>
      <c r="AA185" s="114" t="b">
        <v>0</v>
      </c>
      <c r="AB185" s="114" t="b">
        <v>0</v>
      </c>
      <c r="AC185" s="114" t="b">
        <v>0</v>
      </c>
      <c r="AD185" s="114" t="b">
        <v>0</v>
      </c>
      <c r="AE185" s="114" t="b">
        <v>0</v>
      </c>
      <c r="AF185" s="114" t="b">
        <v>0</v>
      </c>
      <c r="AG185" s="114" t="b">
        <v>0</v>
      </c>
      <c r="AH185" s="114" t="b">
        <v>0</v>
      </c>
      <c r="AI185" s="114" t="b">
        <v>0</v>
      </c>
      <c r="AJ185" s="114" t="b">
        <v>0</v>
      </c>
      <c r="AK185" s="114" t="b">
        <v>0</v>
      </c>
      <c r="AL185" s="115" t="str">
        <f t="shared" si="1"/>
        <v>1 dari 31 (3%)</v>
      </c>
    </row>
    <row r="186" ht="22.5" customHeight="1">
      <c r="A186" s="10">
        <v>185.0</v>
      </c>
      <c r="B186" s="11"/>
      <c r="C186" s="20">
        <v>61128.0</v>
      </c>
      <c r="D186" s="12" t="s">
        <v>89</v>
      </c>
      <c r="E186" s="12" t="s">
        <v>95</v>
      </c>
      <c r="F186" s="15" t="s">
        <v>50</v>
      </c>
      <c r="G186" s="114" t="b">
        <v>1</v>
      </c>
      <c r="H186" s="114" t="b">
        <v>0</v>
      </c>
      <c r="I186" s="114" t="b">
        <v>0</v>
      </c>
      <c r="J186" s="114" t="b">
        <v>0</v>
      </c>
      <c r="K186" s="114" t="b">
        <v>0</v>
      </c>
      <c r="L186" s="114" t="b">
        <v>0</v>
      </c>
      <c r="M186" s="114" t="b">
        <v>0</v>
      </c>
      <c r="N186" s="114" t="b">
        <v>0</v>
      </c>
      <c r="O186" s="114" t="b">
        <v>0</v>
      </c>
      <c r="P186" s="114" t="b">
        <v>0</v>
      </c>
      <c r="Q186" s="114" t="b">
        <v>0</v>
      </c>
      <c r="R186" s="114" t="b">
        <v>0</v>
      </c>
      <c r="S186" s="114" t="b">
        <v>0</v>
      </c>
      <c r="T186" s="114" t="b">
        <v>0</v>
      </c>
      <c r="U186" s="114" t="b">
        <v>0</v>
      </c>
      <c r="V186" s="114" t="b">
        <v>0</v>
      </c>
      <c r="W186" s="114" t="b">
        <v>0</v>
      </c>
      <c r="X186" s="114" t="b">
        <v>0</v>
      </c>
      <c r="Y186" s="114" t="b">
        <v>0</v>
      </c>
      <c r="Z186" s="114" t="b">
        <v>0</v>
      </c>
      <c r="AA186" s="114" t="b">
        <v>0</v>
      </c>
      <c r="AB186" s="114" t="b">
        <v>0</v>
      </c>
      <c r="AC186" s="114" t="b">
        <v>0</v>
      </c>
      <c r="AD186" s="114" t="b">
        <v>0</v>
      </c>
      <c r="AE186" s="114" t="b">
        <v>0</v>
      </c>
      <c r="AF186" s="114" t="b">
        <v>0</v>
      </c>
      <c r="AG186" s="114" t="b">
        <v>0</v>
      </c>
      <c r="AH186" s="114" t="b">
        <v>0</v>
      </c>
      <c r="AI186" s="114" t="b">
        <v>0</v>
      </c>
      <c r="AJ186" s="114" t="b">
        <v>0</v>
      </c>
      <c r="AK186" s="114" t="b">
        <v>0</v>
      </c>
      <c r="AL186" s="115" t="str">
        <f t="shared" si="1"/>
        <v>1 dari 31 (3%)</v>
      </c>
    </row>
    <row r="187" ht="22.5" customHeight="1">
      <c r="A187" s="2">
        <v>186.0</v>
      </c>
      <c r="B187" s="11"/>
      <c r="C187" s="22">
        <v>61129.0</v>
      </c>
      <c r="D187" s="12" t="s">
        <v>89</v>
      </c>
      <c r="E187" s="12" t="s">
        <v>95</v>
      </c>
      <c r="F187" s="27" t="s">
        <v>67</v>
      </c>
      <c r="G187" s="114" t="b">
        <v>0</v>
      </c>
      <c r="H187" s="114" t="b">
        <v>0</v>
      </c>
      <c r="I187" s="114" t="b">
        <v>0</v>
      </c>
      <c r="J187" s="114" t="b">
        <v>0</v>
      </c>
      <c r="K187" s="114" t="b">
        <v>0</v>
      </c>
      <c r="L187" s="114" t="b">
        <v>0</v>
      </c>
      <c r="M187" s="114" t="b">
        <v>0</v>
      </c>
      <c r="N187" s="114" t="b">
        <v>0</v>
      </c>
      <c r="O187" s="114" t="b">
        <v>0</v>
      </c>
      <c r="P187" s="114" t="b">
        <v>0</v>
      </c>
      <c r="Q187" s="114" t="b">
        <v>0</v>
      </c>
      <c r="R187" s="114" t="b">
        <v>0</v>
      </c>
      <c r="S187" s="114" t="b">
        <v>0</v>
      </c>
      <c r="T187" s="114" t="b">
        <v>0</v>
      </c>
      <c r="U187" s="114" t="b">
        <v>0</v>
      </c>
      <c r="V187" s="114" t="b">
        <v>0</v>
      </c>
      <c r="W187" s="114" t="b">
        <v>0</v>
      </c>
      <c r="X187" s="114" t="b">
        <v>0</v>
      </c>
      <c r="Y187" s="114" t="b">
        <v>0</v>
      </c>
      <c r="Z187" s="114" t="b">
        <v>0</v>
      </c>
      <c r="AA187" s="114" t="b">
        <v>0</v>
      </c>
      <c r="AB187" s="114" t="b">
        <v>0</v>
      </c>
      <c r="AC187" s="114" t="b">
        <v>0</v>
      </c>
      <c r="AD187" s="114" t="b">
        <v>0</v>
      </c>
      <c r="AE187" s="114" t="b">
        <v>0</v>
      </c>
      <c r="AF187" s="114" t="b">
        <v>0</v>
      </c>
      <c r="AG187" s="114" t="b">
        <v>0</v>
      </c>
      <c r="AH187" s="114" t="b">
        <v>0</v>
      </c>
      <c r="AI187" s="114" t="b">
        <v>0</v>
      </c>
      <c r="AJ187" s="114" t="b">
        <v>0</v>
      </c>
      <c r="AK187" s="114" t="b">
        <v>0</v>
      </c>
      <c r="AL187" s="115" t="str">
        <f t="shared" si="1"/>
        <v>0 dari 31 (0%)</v>
      </c>
    </row>
    <row r="188" ht="22.5" customHeight="1">
      <c r="A188" s="10">
        <v>187.0</v>
      </c>
      <c r="B188" s="11"/>
      <c r="C188" s="22">
        <v>26326.0</v>
      </c>
      <c r="D188" s="12" t="s">
        <v>89</v>
      </c>
      <c r="E188" s="12" t="s">
        <v>95</v>
      </c>
      <c r="F188" s="27" t="s">
        <v>67</v>
      </c>
      <c r="G188" s="114" t="b">
        <v>0</v>
      </c>
      <c r="H188" s="114" t="b">
        <v>0</v>
      </c>
      <c r="I188" s="114" t="b">
        <v>0</v>
      </c>
      <c r="J188" s="114" t="b">
        <v>0</v>
      </c>
      <c r="K188" s="114" t="b">
        <v>0</v>
      </c>
      <c r="L188" s="114" t="b">
        <v>0</v>
      </c>
      <c r="M188" s="114" t="b">
        <v>0</v>
      </c>
      <c r="N188" s="114" t="b">
        <v>0</v>
      </c>
      <c r="O188" s="114" t="b">
        <v>0</v>
      </c>
      <c r="P188" s="114" t="b">
        <v>0</v>
      </c>
      <c r="Q188" s="114" t="b">
        <v>0</v>
      </c>
      <c r="R188" s="114" t="b">
        <v>0</v>
      </c>
      <c r="S188" s="114" t="b">
        <v>0</v>
      </c>
      <c r="T188" s="114" t="b">
        <v>0</v>
      </c>
      <c r="U188" s="114" t="b">
        <v>0</v>
      </c>
      <c r="V188" s="114" t="b">
        <v>0</v>
      </c>
      <c r="W188" s="114" t="b">
        <v>0</v>
      </c>
      <c r="X188" s="114" t="b">
        <v>0</v>
      </c>
      <c r="Y188" s="114" t="b">
        <v>0</v>
      </c>
      <c r="Z188" s="114" t="b">
        <v>0</v>
      </c>
      <c r="AA188" s="114" t="b">
        <v>0</v>
      </c>
      <c r="AB188" s="114" t="b">
        <v>0</v>
      </c>
      <c r="AC188" s="114" t="b">
        <v>0</v>
      </c>
      <c r="AD188" s="114" t="b">
        <v>0</v>
      </c>
      <c r="AE188" s="114" t="b">
        <v>0</v>
      </c>
      <c r="AF188" s="114" t="b">
        <v>0</v>
      </c>
      <c r="AG188" s="114" t="b">
        <v>0</v>
      </c>
      <c r="AH188" s="114" t="b">
        <v>0</v>
      </c>
      <c r="AI188" s="114" t="b">
        <v>0</v>
      </c>
      <c r="AJ188" s="114" t="b">
        <v>0</v>
      </c>
      <c r="AK188" s="114" t="b">
        <v>0</v>
      </c>
      <c r="AL188" s="115" t="str">
        <f t="shared" si="1"/>
        <v>0 dari 31 (0%)</v>
      </c>
    </row>
    <row r="189" ht="22.5" customHeight="1">
      <c r="A189" s="10">
        <v>188.0</v>
      </c>
      <c r="B189" s="11"/>
      <c r="C189" s="22">
        <v>61114.0</v>
      </c>
      <c r="D189" s="12" t="s">
        <v>89</v>
      </c>
      <c r="E189" s="12" t="s">
        <v>95</v>
      </c>
      <c r="F189" s="15" t="s">
        <v>50</v>
      </c>
      <c r="G189" s="114" t="b">
        <v>1</v>
      </c>
      <c r="H189" s="114" t="b">
        <v>0</v>
      </c>
      <c r="I189" s="114" t="b">
        <v>0</v>
      </c>
      <c r="J189" s="114" t="b">
        <v>0</v>
      </c>
      <c r="K189" s="114" t="b">
        <v>0</v>
      </c>
      <c r="L189" s="114" t="b">
        <v>0</v>
      </c>
      <c r="M189" s="114" t="b">
        <v>0</v>
      </c>
      <c r="N189" s="114" t="b">
        <v>0</v>
      </c>
      <c r="O189" s="114" t="b">
        <v>0</v>
      </c>
      <c r="P189" s="114" t="b">
        <v>0</v>
      </c>
      <c r="Q189" s="114" t="b">
        <v>0</v>
      </c>
      <c r="R189" s="114" t="b">
        <v>0</v>
      </c>
      <c r="S189" s="114" t="b">
        <v>0</v>
      </c>
      <c r="T189" s="114" t="b">
        <v>0</v>
      </c>
      <c r="U189" s="114" t="b">
        <v>0</v>
      </c>
      <c r="V189" s="114" t="b">
        <v>0</v>
      </c>
      <c r="W189" s="114" t="b">
        <v>0</v>
      </c>
      <c r="X189" s="114" t="b">
        <v>0</v>
      </c>
      <c r="Y189" s="114" t="b">
        <v>0</v>
      </c>
      <c r="Z189" s="114" t="b">
        <v>0</v>
      </c>
      <c r="AA189" s="114" t="b">
        <v>0</v>
      </c>
      <c r="AB189" s="114" t="b">
        <v>0</v>
      </c>
      <c r="AC189" s="114" t="b">
        <v>0</v>
      </c>
      <c r="AD189" s="114" t="b">
        <v>0</v>
      </c>
      <c r="AE189" s="114" t="b">
        <v>0</v>
      </c>
      <c r="AF189" s="114" t="b">
        <v>0</v>
      </c>
      <c r="AG189" s="114" t="b">
        <v>0</v>
      </c>
      <c r="AH189" s="114" t="b">
        <v>0</v>
      </c>
      <c r="AI189" s="114" t="b">
        <v>0</v>
      </c>
      <c r="AJ189" s="114" t="b">
        <v>0</v>
      </c>
      <c r="AK189" s="114" t="b">
        <v>0</v>
      </c>
      <c r="AL189" s="115" t="str">
        <f t="shared" si="1"/>
        <v>1 dari 31 (3%)</v>
      </c>
    </row>
    <row r="190" ht="22.5" customHeight="1">
      <c r="A190" s="2">
        <v>189.0</v>
      </c>
      <c r="B190" s="11"/>
      <c r="C190" s="22">
        <v>61113.0</v>
      </c>
      <c r="D190" s="12" t="s">
        <v>89</v>
      </c>
      <c r="E190" s="12" t="s">
        <v>95</v>
      </c>
      <c r="F190" s="15" t="s">
        <v>50</v>
      </c>
      <c r="G190" s="114" t="b">
        <v>1</v>
      </c>
      <c r="H190" s="114" t="b">
        <v>0</v>
      </c>
      <c r="I190" s="114" t="b">
        <v>0</v>
      </c>
      <c r="J190" s="114" t="b">
        <v>0</v>
      </c>
      <c r="K190" s="114" t="b">
        <v>0</v>
      </c>
      <c r="L190" s="114" t="b">
        <v>0</v>
      </c>
      <c r="M190" s="114" t="b">
        <v>0</v>
      </c>
      <c r="N190" s="114" t="b">
        <v>0</v>
      </c>
      <c r="O190" s="114" t="b">
        <v>0</v>
      </c>
      <c r="P190" s="114" t="b">
        <v>0</v>
      </c>
      <c r="Q190" s="114" t="b">
        <v>0</v>
      </c>
      <c r="R190" s="114" t="b">
        <v>0</v>
      </c>
      <c r="S190" s="114" t="b">
        <v>0</v>
      </c>
      <c r="T190" s="114" t="b">
        <v>0</v>
      </c>
      <c r="U190" s="114" t="b">
        <v>0</v>
      </c>
      <c r="V190" s="114" t="b">
        <v>0</v>
      </c>
      <c r="W190" s="114" t="b">
        <v>0</v>
      </c>
      <c r="X190" s="114" t="b">
        <v>0</v>
      </c>
      <c r="Y190" s="114" t="b">
        <v>0</v>
      </c>
      <c r="Z190" s="114" t="b">
        <v>0</v>
      </c>
      <c r="AA190" s="114" t="b">
        <v>0</v>
      </c>
      <c r="AB190" s="114" t="b">
        <v>0</v>
      </c>
      <c r="AC190" s="114" t="b">
        <v>0</v>
      </c>
      <c r="AD190" s="114" t="b">
        <v>0</v>
      </c>
      <c r="AE190" s="114" t="b">
        <v>0</v>
      </c>
      <c r="AF190" s="114" t="b">
        <v>0</v>
      </c>
      <c r="AG190" s="114" t="b">
        <v>0</v>
      </c>
      <c r="AH190" s="114" t="b">
        <v>0</v>
      </c>
      <c r="AI190" s="114" t="b">
        <v>0</v>
      </c>
      <c r="AJ190" s="114" t="b">
        <v>0</v>
      </c>
      <c r="AK190" s="114" t="b">
        <v>0</v>
      </c>
      <c r="AL190" s="115" t="str">
        <f t="shared" si="1"/>
        <v>1 dari 31 (3%)</v>
      </c>
    </row>
    <row r="191" ht="22.5" customHeight="1">
      <c r="A191" s="10">
        <v>190.0</v>
      </c>
      <c r="B191" s="11"/>
      <c r="C191" s="22">
        <v>61117.0</v>
      </c>
      <c r="D191" s="12" t="s">
        <v>89</v>
      </c>
      <c r="E191" s="12" t="s">
        <v>95</v>
      </c>
      <c r="F191" s="15" t="s">
        <v>50</v>
      </c>
      <c r="G191" s="114" t="b">
        <v>1</v>
      </c>
      <c r="H191" s="114" t="b">
        <v>0</v>
      </c>
      <c r="I191" s="114" t="b">
        <v>0</v>
      </c>
      <c r="J191" s="114" t="b">
        <v>0</v>
      </c>
      <c r="K191" s="114" t="b">
        <v>0</v>
      </c>
      <c r="L191" s="114" t="b">
        <v>0</v>
      </c>
      <c r="M191" s="114" t="b">
        <v>0</v>
      </c>
      <c r="N191" s="114" t="b">
        <v>0</v>
      </c>
      <c r="O191" s="114" t="b">
        <v>0</v>
      </c>
      <c r="P191" s="114" t="b">
        <v>0</v>
      </c>
      <c r="Q191" s="114" t="b">
        <v>0</v>
      </c>
      <c r="R191" s="114" t="b">
        <v>0</v>
      </c>
      <c r="S191" s="114" t="b">
        <v>0</v>
      </c>
      <c r="T191" s="114" t="b">
        <v>0</v>
      </c>
      <c r="U191" s="114" t="b">
        <v>0</v>
      </c>
      <c r="V191" s="114" t="b">
        <v>0</v>
      </c>
      <c r="W191" s="114" t="b">
        <v>0</v>
      </c>
      <c r="X191" s="114" t="b">
        <v>0</v>
      </c>
      <c r="Y191" s="114" t="b">
        <v>0</v>
      </c>
      <c r="Z191" s="114" t="b">
        <v>0</v>
      </c>
      <c r="AA191" s="114" t="b">
        <v>0</v>
      </c>
      <c r="AB191" s="114" t="b">
        <v>0</v>
      </c>
      <c r="AC191" s="114" t="b">
        <v>0</v>
      </c>
      <c r="AD191" s="114" t="b">
        <v>0</v>
      </c>
      <c r="AE191" s="114" t="b">
        <v>0</v>
      </c>
      <c r="AF191" s="114" t="b">
        <v>0</v>
      </c>
      <c r="AG191" s="114" t="b">
        <v>0</v>
      </c>
      <c r="AH191" s="114" t="b">
        <v>0</v>
      </c>
      <c r="AI191" s="114" t="b">
        <v>0</v>
      </c>
      <c r="AJ191" s="114" t="b">
        <v>0</v>
      </c>
      <c r="AK191" s="114" t="b">
        <v>0</v>
      </c>
      <c r="AL191" s="115" t="str">
        <f t="shared" si="1"/>
        <v>1 dari 31 (3%)</v>
      </c>
    </row>
    <row r="192" ht="22.5" customHeight="1">
      <c r="A192" s="10">
        <v>191.0</v>
      </c>
      <c r="B192" s="11"/>
      <c r="C192" s="20">
        <v>61121.0</v>
      </c>
      <c r="D192" s="12" t="s">
        <v>89</v>
      </c>
      <c r="E192" s="12" t="s">
        <v>95</v>
      </c>
      <c r="F192" s="27" t="s">
        <v>67</v>
      </c>
      <c r="G192" s="114" t="b">
        <v>0</v>
      </c>
      <c r="H192" s="114" t="b">
        <v>0</v>
      </c>
      <c r="I192" s="114" t="b">
        <v>0</v>
      </c>
      <c r="J192" s="114" t="b">
        <v>0</v>
      </c>
      <c r="K192" s="114" t="b">
        <v>0</v>
      </c>
      <c r="L192" s="114" t="b">
        <v>0</v>
      </c>
      <c r="M192" s="114" t="b">
        <v>0</v>
      </c>
      <c r="N192" s="114" t="b">
        <v>0</v>
      </c>
      <c r="O192" s="114" t="b">
        <v>0</v>
      </c>
      <c r="P192" s="114" t="b">
        <v>0</v>
      </c>
      <c r="Q192" s="114" t="b">
        <v>0</v>
      </c>
      <c r="R192" s="114" t="b">
        <v>0</v>
      </c>
      <c r="S192" s="114" t="b">
        <v>0</v>
      </c>
      <c r="T192" s="114" t="b">
        <v>0</v>
      </c>
      <c r="U192" s="114" t="b">
        <v>0</v>
      </c>
      <c r="V192" s="114" t="b">
        <v>0</v>
      </c>
      <c r="W192" s="114" t="b">
        <v>0</v>
      </c>
      <c r="X192" s="114" t="b">
        <v>0</v>
      </c>
      <c r="Y192" s="114" t="b">
        <v>0</v>
      </c>
      <c r="Z192" s="114" t="b">
        <v>0</v>
      </c>
      <c r="AA192" s="114" t="b">
        <v>0</v>
      </c>
      <c r="AB192" s="114" t="b">
        <v>0</v>
      </c>
      <c r="AC192" s="114" t="b">
        <v>0</v>
      </c>
      <c r="AD192" s="114" t="b">
        <v>0</v>
      </c>
      <c r="AE192" s="114" t="b">
        <v>0</v>
      </c>
      <c r="AF192" s="114" t="b">
        <v>0</v>
      </c>
      <c r="AG192" s="114" t="b">
        <v>0</v>
      </c>
      <c r="AH192" s="114" t="b">
        <v>0</v>
      </c>
      <c r="AI192" s="114" t="b">
        <v>0</v>
      </c>
      <c r="AJ192" s="114" t="b">
        <v>0</v>
      </c>
      <c r="AK192" s="114" t="b">
        <v>0</v>
      </c>
      <c r="AL192" s="115" t="str">
        <f t="shared" si="1"/>
        <v>0 dari 31 (0%)</v>
      </c>
    </row>
    <row r="193" ht="22.5" customHeight="1">
      <c r="A193" s="2">
        <v>192.0</v>
      </c>
      <c r="B193" s="11"/>
      <c r="C193" s="20">
        <v>61103.0</v>
      </c>
      <c r="D193" s="12" t="s">
        <v>89</v>
      </c>
      <c r="E193" s="12" t="s">
        <v>86</v>
      </c>
      <c r="F193" s="15" t="s">
        <v>50</v>
      </c>
      <c r="G193" s="114" t="b">
        <v>1</v>
      </c>
      <c r="H193" s="114" t="b">
        <v>0</v>
      </c>
      <c r="I193" s="114" t="b">
        <v>0</v>
      </c>
      <c r="J193" s="114" t="b">
        <v>0</v>
      </c>
      <c r="K193" s="114" t="b">
        <v>0</v>
      </c>
      <c r="L193" s="114" t="b">
        <v>0</v>
      </c>
      <c r="M193" s="114" t="b">
        <v>0</v>
      </c>
      <c r="N193" s="114" t="b">
        <v>0</v>
      </c>
      <c r="O193" s="114" t="b">
        <v>0</v>
      </c>
      <c r="P193" s="114" t="b">
        <v>0</v>
      </c>
      <c r="Q193" s="114" t="b">
        <v>0</v>
      </c>
      <c r="R193" s="114" t="b">
        <v>0</v>
      </c>
      <c r="S193" s="114" t="b">
        <v>0</v>
      </c>
      <c r="T193" s="114" t="b">
        <v>0</v>
      </c>
      <c r="U193" s="114" t="b">
        <v>0</v>
      </c>
      <c r="V193" s="114" t="b">
        <v>0</v>
      </c>
      <c r="W193" s="114" t="b">
        <v>0</v>
      </c>
      <c r="X193" s="114" t="b">
        <v>0</v>
      </c>
      <c r="Y193" s="114" t="b">
        <v>0</v>
      </c>
      <c r="Z193" s="114" t="b">
        <v>0</v>
      </c>
      <c r="AA193" s="114" t="b">
        <v>0</v>
      </c>
      <c r="AB193" s="114" t="b">
        <v>0</v>
      </c>
      <c r="AC193" s="114" t="b">
        <v>0</v>
      </c>
      <c r="AD193" s="114" t="b">
        <v>0</v>
      </c>
      <c r="AE193" s="114" t="b">
        <v>0</v>
      </c>
      <c r="AF193" s="114" t="b">
        <v>0</v>
      </c>
      <c r="AG193" s="114" t="b">
        <v>0</v>
      </c>
      <c r="AH193" s="114" t="b">
        <v>0</v>
      </c>
      <c r="AI193" s="114" t="b">
        <v>0</v>
      </c>
      <c r="AJ193" s="114" t="b">
        <v>0</v>
      </c>
      <c r="AK193" s="114" t="b">
        <v>0</v>
      </c>
      <c r="AL193" s="115" t="str">
        <f t="shared" si="1"/>
        <v>1 dari 31 (3%)</v>
      </c>
    </row>
    <row r="194" ht="22.5" customHeight="1">
      <c r="A194" s="10">
        <v>193.0</v>
      </c>
      <c r="B194" s="11"/>
      <c r="C194" s="20">
        <v>61103.0</v>
      </c>
      <c r="D194" s="12" t="s">
        <v>89</v>
      </c>
      <c r="E194" s="12" t="s">
        <v>95</v>
      </c>
      <c r="F194" s="27" t="s">
        <v>67</v>
      </c>
      <c r="G194" s="114" t="b">
        <v>0</v>
      </c>
      <c r="H194" s="114" t="b">
        <v>0</v>
      </c>
      <c r="I194" s="114" t="b">
        <v>0</v>
      </c>
      <c r="J194" s="114" t="b">
        <v>0</v>
      </c>
      <c r="K194" s="114" t="b">
        <v>0</v>
      </c>
      <c r="L194" s="114" t="b">
        <v>0</v>
      </c>
      <c r="M194" s="114" t="b">
        <v>0</v>
      </c>
      <c r="N194" s="114" t="b">
        <v>0</v>
      </c>
      <c r="O194" s="114" t="b">
        <v>0</v>
      </c>
      <c r="P194" s="114" t="b">
        <v>0</v>
      </c>
      <c r="Q194" s="114" t="b">
        <v>0</v>
      </c>
      <c r="R194" s="114" t="b">
        <v>0</v>
      </c>
      <c r="S194" s="114" t="b">
        <v>0</v>
      </c>
      <c r="T194" s="114" t="b">
        <v>0</v>
      </c>
      <c r="U194" s="114" t="b">
        <v>0</v>
      </c>
      <c r="V194" s="114" t="b">
        <v>0</v>
      </c>
      <c r="W194" s="114" t="b">
        <v>0</v>
      </c>
      <c r="X194" s="114" t="b">
        <v>0</v>
      </c>
      <c r="Y194" s="114" t="b">
        <v>0</v>
      </c>
      <c r="Z194" s="114" t="b">
        <v>0</v>
      </c>
      <c r="AA194" s="114" t="b">
        <v>0</v>
      </c>
      <c r="AB194" s="114" t="b">
        <v>0</v>
      </c>
      <c r="AC194" s="114" t="b">
        <v>0</v>
      </c>
      <c r="AD194" s="114" t="b">
        <v>0</v>
      </c>
      <c r="AE194" s="114" t="b">
        <v>0</v>
      </c>
      <c r="AF194" s="114" t="b">
        <v>0</v>
      </c>
      <c r="AG194" s="114" t="b">
        <v>0</v>
      </c>
      <c r="AH194" s="114" t="b">
        <v>0</v>
      </c>
      <c r="AI194" s="114" t="b">
        <v>0</v>
      </c>
      <c r="AJ194" s="114" t="b">
        <v>0</v>
      </c>
      <c r="AK194" s="114" t="b">
        <v>0</v>
      </c>
      <c r="AL194" s="115" t="str">
        <f t="shared" si="1"/>
        <v>0 dari 31 (0%)</v>
      </c>
    </row>
    <row r="195" ht="22.5" customHeight="1">
      <c r="A195" s="10">
        <v>194.0</v>
      </c>
      <c r="B195" s="11"/>
      <c r="C195" s="20">
        <v>33520.0</v>
      </c>
      <c r="D195" s="12" t="s">
        <v>89</v>
      </c>
      <c r="E195" s="12" t="s">
        <v>95</v>
      </c>
      <c r="F195" s="15" t="s">
        <v>50</v>
      </c>
      <c r="G195" s="114" t="b">
        <v>1</v>
      </c>
      <c r="H195" s="114" t="b">
        <v>0</v>
      </c>
      <c r="I195" s="114" t="b">
        <v>0</v>
      </c>
      <c r="J195" s="114" t="b">
        <v>0</v>
      </c>
      <c r="K195" s="114" t="b">
        <v>0</v>
      </c>
      <c r="L195" s="114" t="b">
        <v>0</v>
      </c>
      <c r="M195" s="114" t="b">
        <v>0</v>
      </c>
      <c r="N195" s="114" t="b">
        <v>0</v>
      </c>
      <c r="O195" s="114" t="b">
        <v>0</v>
      </c>
      <c r="P195" s="114" t="b">
        <v>0</v>
      </c>
      <c r="Q195" s="114" t="b">
        <v>0</v>
      </c>
      <c r="R195" s="114" t="b">
        <v>0</v>
      </c>
      <c r="S195" s="114" t="b">
        <v>0</v>
      </c>
      <c r="T195" s="114" t="b">
        <v>0</v>
      </c>
      <c r="U195" s="114" t="b">
        <v>0</v>
      </c>
      <c r="V195" s="114" t="b">
        <v>0</v>
      </c>
      <c r="W195" s="114" t="b">
        <v>0</v>
      </c>
      <c r="X195" s="114" t="b">
        <v>0</v>
      </c>
      <c r="Y195" s="114" t="b">
        <v>0</v>
      </c>
      <c r="Z195" s="114" t="b">
        <v>0</v>
      </c>
      <c r="AA195" s="114" t="b">
        <v>0</v>
      </c>
      <c r="AB195" s="114" t="b">
        <v>0</v>
      </c>
      <c r="AC195" s="114" t="b">
        <v>0</v>
      </c>
      <c r="AD195" s="114" t="b">
        <v>0</v>
      </c>
      <c r="AE195" s="114" t="b">
        <v>0</v>
      </c>
      <c r="AF195" s="114" t="b">
        <v>0</v>
      </c>
      <c r="AG195" s="114" t="b">
        <v>0</v>
      </c>
      <c r="AH195" s="114" t="b">
        <v>0</v>
      </c>
      <c r="AI195" s="114" t="b">
        <v>0</v>
      </c>
      <c r="AJ195" s="114" t="b">
        <v>0</v>
      </c>
      <c r="AK195" s="114" t="b">
        <v>0</v>
      </c>
      <c r="AL195" s="115" t="str">
        <f t="shared" si="1"/>
        <v>1 dari 31 (3%)</v>
      </c>
    </row>
    <row r="196" ht="22.5" customHeight="1">
      <c r="A196" s="2">
        <v>195.0</v>
      </c>
      <c r="B196" s="11"/>
      <c r="C196" s="20">
        <v>61124.0</v>
      </c>
      <c r="D196" s="12" t="s">
        <v>89</v>
      </c>
      <c r="E196" s="12" t="s">
        <v>156</v>
      </c>
      <c r="F196" s="15" t="s">
        <v>50</v>
      </c>
      <c r="G196" s="114" t="b">
        <v>1</v>
      </c>
      <c r="H196" s="114" t="b">
        <v>0</v>
      </c>
      <c r="I196" s="114" t="b">
        <v>0</v>
      </c>
      <c r="J196" s="114" t="b">
        <v>0</v>
      </c>
      <c r="K196" s="114" t="b">
        <v>0</v>
      </c>
      <c r="L196" s="114" t="b">
        <v>0</v>
      </c>
      <c r="M196" s="114" t="b">
        <v>0</v>
      </c>
      <c r="N196" s="114" t="b">
        <v>0</v>
      </c>
      <c r="O196" s="114" t="b">
        <v>0</v>
      </c>
      <c r="P196" s="114" t="b">
        <v>0</v>
      </c>
      <c r="Q196" s="114" t="b">
        <v>0</v>
      </c>
      <c r="R196" s="114" t="b">
        <v>0</v>
      </c>
      <c r="S196" s="114" t="b">
        <v>0</v>
      </c>
      <c r="T196" s="114" t="b">
        <v>0</v>
      </c>
      <c r="U196" s="114" t="b">
        <v>0</v>
      </c>
      <c r="V196" s="114" t="b">
        <v>0</v>
      </c>
      <c r="W196" s="114" t="b">
        <v>0</v>
      </c>
      <c r="X196" s="114" t="b">
        <v>0</v>
      </c>
      <c r="Y196" s="114" t="b">
        <v>0</v>
      </c>
      <c r="Z196" s="114" t="b">
        <v>0</v>
      </c>
      <c r="AA196" s="114" t="b">
        <v>0</v>
      </c>
      <c r="AB196" s="114" t="b">
        <v>0</v>
      </c>
      <c r="AC196" s="114" t="b">
        <v>0</v>
      </c>
      <c r="AD196" s="114" t="b">
        <v>0</v>
      </c>
      <c r="AE196" s="114" t="b">
        <v>0</v>
      </c>
      <c r="AF196" s="114" t="b">
        <v>0</v>
      </c>
      <c r="AG196" s="114" t="b">
        <v>0</v>
      </c>
      <c r="AH196" s="114" t="b">
        <v>0</v>
      </c>
      <c r="AI196" s="114" t="b">
        <v>0</v>
      </c>
      <c r="AJ196" s="114" t="b">
        <v>0</v>
      </c>
      <c r="AK196" s="114" t="b">
        <v>0</v>
      </c>
      <c r="AL196" s="115" t="str">
        <f t="shared" si="1"/>
        <v>1 dari 31 (3%)</v>
      </c>
    </row>
    <row r="198">
      <c r="B198" s="71" t="s">
        <v>38</v>
      </c>
      <c r="C198" s="72"/>
      <c r="D198" s="72"/>
      <c r="E198" s="72"/>
      <c r="F198" s="73"/>
      <c r="G198" s="74">
        <f>COUNTIF(JULI_6[ID Encounter], TRUE)</f>
        <v>178</v>
      </c>
      <c r="H198" s="74">
        <f>COUNTIF(JULI_6[ID Condition], TRUE)</f>
        <v>152</v>
      </c>
      <c r="I198" s="74">
        <f>COUNTIF(JULI_6[ID Clinical Impression], TRUE)</f>
        <v>119</v>
      </c>
      <c r="J198" s="74">
        <f>COUNTIF(JULI_6[ID Observation Tensi], TRUE)</f>
        <v>155</v>
      </c>
      <c r="K198" s="74">
        <f>COUNTIF(JULI_6[ID Observation Nadi], TRUE)</f>
        <v>157</v>
      </c>
      <c r="L198" s="74">
        <f>COUNTIF(JULI_6[ID Observation RR], TRUE)</f>
        <v>157</v>
      </c>
      <c r="M198" s="74">
        <f>COUNTIF(JULI_6[ID Observation Suhu], TRUE)</f>
        <v>157</v>
      </c>
      <c r="N198" s="74">
        <f>COUNTIF(JULI_6[ID Observation SPO2], TRUE)</f>
        <v>155</v>
      </c>
      <c r="O198" s="74">
        <f>COUNTIF(JULI_6[ID Observation GCS], TRUE)</f>
        <v>156</v>
      </c>
      <c r="P198" s="74">
        <f>COUNTIF(JULI_6[ID Observation Tinggi], TRUE)</f>
        <v>157</v>
      </c>
      <c r="Q198" s="74">
        <f>COUNTIF(JULI_6[ID Observation Berat], TRUE)</f>
        <v>158</v>
      </c>
      <c r="R198" s="74">
        <f>COUNTIF(JULI_6[ID Observation Perut], TRUE)</f>
        <v>143</v>
      </c>
      <c r="S198" s="74">
        <f>COUNTIF(JULI_6[ID Observation Kesadaran], TRUE)</f>
        <v>159</v>
      </c>
      <c r="T198" s="74">
        <f>COUNTIF(JULI_6[ID Procedure], TRUE)</f>
        <v>129</v>
      </c>
      <c r="U198" s="74">
        <f>COUNTIF(JULI_6[ID Composition], TRUE)</f>
        <v>0</v>
      </c>
      <c r="V198" s="74">
        <f>COUNTIF(JULI_6[ID Vaksin/Imunisasi], TRUE)</f>
        <v>0</v>
      </c>
      <c r="W198" s="74">
        <f>COUNTIF(JULI_6[ID Medication Request], TRUE)</f>
        <v>9</v>
      </c>
      <c r="X198" s="74">
        <f>COUNTIF(JULI_6[ID Medication Dispense], TRUE)</f>
        <v>9</v>
      </c>
      <c r="Y198" s="74">
        <f>COUNTIF(JULI_6[ID Medication Statement], TRUE)</f>
        <v>9</v>
      </c>
      <c r="Z198" s="74">
        <f>COUNTIF(JULI_6[ID Service Request Radiologi], TRUE)</f>
        <v>12</v>
      </c>
      <c r="AA198" s="74">
        <f>COUNTIF(JULI_6[ID Specimen Radiologi], TRUE)</f>
        <v>12</v>
      </c>
      <c r="AB198" s="74">
        <f>COUNTIF(JULI_6[ID Observation Radiologi], TRUE)</f>
        <v>10</v>
      </c>
      <c r="AC198" s="74">
        <f>COUNTIF(JULI_6[ID Diagnostic Report Radiologi], TRUE)</f>
        <v>10</v>
      </c>
      <c r="AD198" s="74">
        <f>COUNTIF(JULI_6[Image Study], TRUE)</f>
        <v>12</v>
      </c>
      <c r="AE198" s="74">
        <f>COUNTIF(JULI_6[ID Service Request Lab PK], TRUE)</f>
        <v>1</v>
      </c>
      <c r="AF198" s="74">
        <f>COUNTIF(JULI_6[ID Specimen Lab PK], TRUE)</f>
        <v>1</v>
      </c>
      <c r="AG198" s="74">
        <f>COUNTIF(JULI_6[ID Observation Lab PK], TRUE)</f>
        <v>1</v>
      </c>
      <c r="AH198" s="74">
        <f>COUNTIF(JULI_6[ID Diagnostic Report Lab PK], TRUE)</f>
        <v>1</v>
      </c>
      <c r="AI198" s="74">
        <f>COUNTIF(JULI_6[ID Care Plan], TRUE)</f>
        <v>126</v>
      </c>
      <c r="AJ198" s="74">
        <f>COUNTIF(JULI_6[ID Allergy], TRUE)</f>
        <v>0</v>
      </c>
      <c r="AK198" s="74">
        <f>COUNTIF(JULI_6[ID Questionnaire], TRUE)</f>
        <v>0</v>
      </c>
      <c r="AL198" s="75" t="str">
        <f>COUNTIF(JULI_6[[ID Encounter]:[ID Questionnaire]], TRUE()) &amp; " dari " &amp; (ROWS(JULI_6[[ID Encounter]:[ID Questionnaire]])*COLUMNS(JULI_6[[ID Encounter]:[ID Questionnaire]])) &amp; " (" &amp; TEXT(COUNTIF(JULI_6[[ID Encounter]:[ID Questionnaire]], TRUE())/(ROWS(JULI_6[[ID Encounter]:[ID Questionnaire]])*COLUMNS(JULI_6[[ID Encounter]:[ID Questionnaire]])),"0%") &amp; ")"</f>
        <v>2345 dari 6045 (39%)</v>
      </c>
    </row>
    <row r="199">
      <c r="B199" s="76"/>
      <c r="C199" s="77"/>
      <c r="D199" s="77"/>
      <c r="E199" s="77"/>
      <c r="F199" s="78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</row>
  </sheetData>
  <mergeCells count="33">
    <mergeCell ref="B198:F199"/>
    <mergeCell ref="G198:G199"/>
    <mergeCell ref="H198:H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Q198:Q199"/>
    <mergeCell ref="R198:R199"/>
    <mergeCell ref="S198:S199"/>
    <mergeCell ref="T198:T199"/>
    <mergeCell ref="U198:U199"/>
    <mergeCell ref="V198:V199"/>
    <mergeCell ref="W198:W199"/>
    <mergeCell ref="X198:X199"/>
    <mergeCell ref="Y198:Y199"/>
    <mergeCell ref="Z198:Z199"/>
    <mergeCell ref="AH198:AH199"/>
    <mergeCell ref="AI198:AI199"/>
    <mergeCell ref="AJ198:AJ199"/>
    <mergeCell ref="AK198:AK199"/>
    <mergeCell ref="AL198:AL199"/>
    <mergeCell ref="AA198:AA199"/>
    <mergeCell ref="AB198:AB199"/>
    <mergeCell ref="AC198:AC199"/>
    <mergeCell ref="AD198:AD199"/>
    <mergeCell ref="AE198:AE199"/>
    <mergeCell ref="AF198:AF199"/>
    <mergeCell ref="AG198:AG199"/>
  </mergeCells>
  <hyperlinks>
    <hyperlink r:id="rId1" ref="E18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0" max="20" width="15.25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28" max="28" width="24.0"/>
    <col customWidth="1" min="29" max="29" width="28.38"/>
    <col customWidth="1" min="31" max="31" width="25.38"/>
    <col customWidth="1" min="32" max="32" width="20.63"/>
    <col customWidth="1" min="33" max="33" width="22.25"/>
    <col customWidth="1" min="38" max="38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46210.0</v>
      </c>
      <c r="C2" s="22">
        <v>60614.0</v>
      </c>
      <c r="D2" s="12" t="s">
        <v>51</v>
      </c>
      <c r="E2" s="12" t="s">
        <v>119</v>
      </c>
      <c r="F2" s="13"/>
      <c r="G2" s="6" t="b">
        <v>1</v>
      </c>
      <c r="H2" s="6" t="b">
        <v>1</v>
      </c>
      <c r="I2" s="6" t="b">
        <v>0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118" si="1">COUNTIF(G2:AK2, TRUE()) &amp; " dari " &amp; COLUMNS(G2:AK2) &amp; " (" &amp; TEXT(COUNTIF(G2:AK2, TRUE())/COLUMNS(G2:AK2),"0%") &amp; ")"</f>
        <v>13 dari 31 (42%)</v>
      </c>
    </row>
    <row r="3" ht="22.5" customHeight="1">
      <c r="A3" s="10">
        <v>2.0</v>
      </c>
      <c r="B3" s="11"/>
      <c r="C3" s="22">
        <v>60375.0</v>
      </c>
      <c r="D3" s="12" t="s">
        <v>51</v>
      </c>
      <c r="E3" s="12" t="s">
        <v>65</v>
      </c>
      <c r="F3" s="13"/>
      <c r="G3" s="16" t="b">
        <v>1</v>
      </c>
      <c r="H3" s="16" t="b">
        <v>1</v>
      </c>
      <c r="I3" s="16" t="b">
        <v>0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13 dari 31 (42%)</v>
      </c>
    </row>
    <row r="4" ht="22.5" customHeight="1">
      <c r="A4" s="2">
        <v>3.0</v>
      </c>
      <c r="B4" s="18"/>
      <c r="C4" s="22">
        <v>60935.0</v>
      </c>
      <c r="D4" s="12" t="s">
        <v>51</v>
      </c>
      <c r="E4" s="12" t="s">
        <v>65</v>
      </c>
      <c r="F4" s="13"/>
      <c r="G4" s="6" t="b">
        <v>1</v>
      </c>
      <c r="H4" s="6" t="b">
        <v>1</v>
      </c>
      <c r="I4" s="6" t="b">
        <v>0</v>
      </c>
      <c r="J4" s="6" t="b">
        <v>0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12 dari 31 (39%)</v>
      </c>
    </row>
    <row r="5" ht="22.5" customHeight="1">
      <c r="A5" s="10">
        <v>4.0</v>
      </c>
      <c r="B5" s="11"/>
      <c r="C5" s="22">
        <v>47918.0</v>
      </c>
      <c r="D5" s="12" t="s">
        <v>51</v>
      </c>
      <c r="E5" s="12" t="s">
        <v>52</v>
      </c>
      <c r="F5" s="13"/>
      <c r="G5" s="16" t="b">
        <v>1</v>
      </c>
      <c r="H5" s="16" t="b">
        <v>1</v>
      </c>
      <c r="I5" s="16" t="b">
        <v>0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0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0</v>
      </c>
      <c r="AJ5" s="16" t="b">
        <v>0</v>
      </c>
      <c r="AK5" s="16" t="b">
        <v>0</v>
      </c>
      <c r="AL5" s="17" t="str">
        <f t="shared" si="1"/>
        <v>12 dari 31 (39%)</v>
      </c>
    </row>
    <row r="6" ht="22.5" customHeight="1">
      <c r="A6" s="2">
        <v>5.0</v>
      </c>
      <c r="B6" s="18"/>
      <c r="C6" s="20">
        <v>60997.0</v>
      </c>
      <c r="D6" s="12" t="s">
        <v>39</v>
      </c>
      <c r="E6" s="12" t="s">
        <v>57</v>
      </c>
      <c r="F6" s="13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9" t="str">
        <f t="shared" si="1"/>
        <v>14 dari 31 (45%)</v>
      </c>
    </row>
    <row r="7" ht="22.5" customHeight="1">
      <c r="A7" s="10">
        <v>6.0</v>
      </c>
      <c r="B7" s="11"/>
      <c r="C7" s="20">
        <v>60902.0</v>
      </c>
      <c r="D7" s="12" t="s">
        <v>39</v>
      </c>
      <c r="E7" s="12" t="s">
        <v>57</v>
      </c>
      <c r="F7" s="13"/>
      <c r="G7" s="16" t="b">
        <v>1</v>
      </c>
      <c r="H7" s="16" t="b">
        <v>1</v>
      </c>
      <c r="I7" s="16" t="b">
        <v>0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1</v>
      </c>
      <c r="AF7" s="16" t="b">
        <v>1</v>
      </c>
      <c r="AG7" s="16" t="b">
        <v>1</v>
      </c>
      <c r="AH7" s="16" t="b">
        <v>1</v>
      </c>
      <c r="AI7" s="16" t="b">
        <v>1</v>
      </c>
      <c r="AJ7" s="16" t="b">
        <v>0</v>
      </c>
      <c r="AK7" s="16" t="b">
        <v>0</v>
      </c>
      <c r="AL7" s="17" t="str">
        <f t="shared" si="1"/>
        <v>18 dari 31 (58%)</v>
      </c>
    </row>
    <row r="8" ht="22.5" customHeight="1">
      <c r="A8" s="2">
        <v>7.0</v>
      </c>
      <c r="B8" s="18"/>
      <c r="C8" s="20">
        <v>60173.0</v>
      </c>
      <c r="D8" s="12" t="s">
        <v>39</v>
      </c>
      <c r="E8" s="12" t="s">
        <v>42</v>
      </c>
      <c r="F8" s="13"/>
      <c r="G8" s="6" t="b">
        <v>1</v>
      </c>
      <c r="H8" s="6" t="b">
        <v>1</v>
      </c>
      <c r="I8" s="6" t="b">
        <v>0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1</v>
      </c>
      <c r="AJ8" s="6" t="b">
        <v>0</v>
      </c>
      <c r="AK8" s="6" t="b">
        <v>0</v>
      </c>
      <c r="AL8" s="9" t="str">
        <f t="shared" si="1"/>
        <v>14 dari 31 (45%)</v>
      </c>
    </row>
    <row r="9" ht="22.5" customHeight="1">
      <c r="A9" s="10">
        <v>8.0</v>
      </c>
      <c r="B9" s="11"/>
      <c r="C9" s="22">
        <v>54808.0</v>
      </c>
      <c r="D9" s="12" t="s">
        <v>39</v>
      </c>
      <c r="E9" s="12" t="s">
        <v>42</v>
      </c>
      <c r="F9" s="13"/>
      <c r="G9" s="16" t="b">
        <v>1</v>
      </c>
      <c r="H9" s="16" t="b">
        <v>1</v>
      </c>
      <c r="I9" s="16" t="b">
        <v>1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14 dari 31 (45%)</v>
      </c>
    </row>
    <row r="10" ht="22.5" customHeight="1">
      <c r="A10" s="2">
        <v>9.0</v>
      </c>
      <c r="B10" s="18"/>
      <c r="C10" s="22">
        <v>60951.0</v>
      </c>
      <c r="D10" s="12" t="s">
        <v>54</v>
      </c>
      <c r="E10" s="12" t="s">
        <v>55</v>
      </c>
      <c r="F10" s="13"/>
      <c r="G10" s="6" t="b">
        <v>1</v>
      </c>
      <c r="H10" s="6" t="b">
        <v>1</v>
      </c>
      <c r="I10" s="6" t="b">
        <v>0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1</v>
      </c>
      <c r="AA10" s="6" t="b">
        <v>1</v>
      </c>
      <c r="AB10" s="6" t="b">
        <v>1</v>
      </c>
      <c r="AC10" s="6" t="b">
        <v>1</v>
      </c>
      <c r="AD10" s="6" t="b">
        <v>1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18 dari 31 (58%)</v>
      </c>
    </row>
    <row r="11" ht="22.5" customHeight="1">
      <c r="A11" s="10">
        <v>10.0</v>
      </c>
      <c r="B11" s="11"/>
      <c r="C11" s="22">
        <v>58204.0</v>
      </c>
      <c r="D11" s="12" t="s">
        <v>54</v>
      </c>
      <c r="E11" s="12" t="s">
        <v>55</v>
      </c>
      <c r="F11" s="13"/>
      <c r="G11" s="16" t="b">
        <v>1</v>
      </c>
      <c r="H11" s="16" t="b">
        <v>1</v>
      </c>
      <c r="I11" s="16" t="b">
        <v>0</v>
      </c>
      <c r="J11" s="16" t="b">
        <v>0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7" t="str">
        <f t="shared" si="1"/>
        <v>12 dari 31 (39%)</v>
      </c>
    </row>
    <row r="12" ht="22.5" customHeight="1">
      <c r="A12" s="2">
        <v>11.0</v>
      </c>
      <c r="B12" s="18"/>
      <c r="C12" s="20">
        <v>60829.0</v>
      </c>
      <c r="D12" s="12" t="s">
        <v>54</v>
      </c>
      <c r="E12" s="12" t="s">
        <v>55</v>
      </c>
      <c r="F12" s="13"/>
      <c r="G12" s="6" t="b">
        <v>1</v>
      </c>
      <c r="H12" s="6" t="b">
        <v>1</v>
      </c>
      <c r="I12" s="6" t="b">
        <v>0</v>
      </c>
      <c r="J12" s="6" t="b">
        <v>0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12 dari 31 (39%)</v>
      </c>
    </row>
    <row r="13" ht="22.5" customHeight="1">
      <c r="A13" s="10">
        <v>12.0</v>
      </c>
      <c r="B13" s="11"/>
      <c r="C13" s="20">
        <v>58657.0</v>
      </c>
      <c r="D13" s="12" t="s">
        <v>54</v>
      </c>
      <c r="E13" s="12" t="s">
        <v>55</v>
      </c>
      <c r="F13" s="13"/>
      <c r="G13" s="16" t="b">
        <v>1</v>
      </c>
      <c r="H13" s="16" t="b">
        <v>1</v>
      </c>
      <c r="I13" s="16" t="b">
        <v>0</v>
      </c>
      <c r="J13" s="16" t="b">
        <v>0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7" t="str">
        <f t="shared" si="1"/>
        <v>12 dari 31 (39%)</v>
      </c>
    </row>
    <row r="14" ht="22.5" customHeight="1">
      <c r="A14" s="100">
        <v>13.0</v>
      </c>
      <c r="B14" s="101"/>
      <c r="C14" s="102">
        <v>60987.0</v>
      </c>
      <c r="D14" s="103" t="s">
        <v>54</v>
      </c>
      <c r="E14" s="103" t="s">
        <v>55</v>
      </c>
      <c r="F14" s="104"/>
      <c r="G14" s="105" t="b">
        <v>1</v>
      </c>
      <c r="H14" s="105" t="b">
        <v>1</v>
      </c>
      <c r="I14" s="105" t="b">
        <v>0</v>
      </c>
      <c r="J14" s="105" t="b">
        <v>0</v>
      </c>
      <c r="K14" s="105" t="b">
        <v>1</v>
      </c>
      <c r="L14" s="105" t="b">
        <v>1</v>
      </c>
      <c r="M14" s="105" t="b">
        <v>1</v>
      </c>
      <c r="N14" s="105" t="b">
        <v>1</v>
      </c>
      <c r="O14" s="105" t="b">
        <v>1</v>
      </c>
      <c r="P14" s="105" t="b">
        <v>1</v>
      </c>
      <c r="Q14" s="105" t="b">
        <v>1</v>
      </c>
      <c r="R14" s="105" t="b">
        <v>1</v>
      </c>
      <c r="S14" s="105" t="b">
        <v>1</v>
      </c>
      <c r="T14" s="105" t="b">
        <v>1</v>
      </c>
      <c r="U14" s="105" t="b">
        <v>0</v>
      </c>
      <c r="V14" s="105" t="b">
        <v>0</v>
      </c>
      <c r="W14" s="105" t="b">
        <v>0</v>
      </c>
      <c r="X14" s="105" t="b">
        <v>0</v>
      </c>
      <c r="Y14" s="105" t="b">
        <v>0</v>
      </c>
      <c r="Z14" s="105" t="b">
        <v>0</v>
      </c>
      <c r="AA14" s="105" t="b">
        <v>0</v>
      </c>
      <c r="AB14" s="105" t="b">
        <v>0</v>
      </c>
      <c r="AC14" s="105" t="b">
        <v>0</v>
      </c>
      <c r="AD14" s="105" t="b">
        <v>0</v>
      </c>
      <c r="AE14" s="105" t="b">
        <v>0</v>
      </c>
      <c r="AF14" s="105" t="b">
        <v>0</v>
      </c>
      <c r="AG14" s="105" t="b">
        <v>0</v>
      </c>
      <c r="AH14" s="105" t="b">
        <v>0</v>
      </c>
      <c r="AI14" s="105" t="b">
        <v>0</v>
      </c>
      <c r="AJ14" s="105" t="b">
        <v>0</v>
      </c>
      <c r="AK14" s="105" t="b">
        <v>0</v>
      </c>
      <c r="AL14" s="106" t="str">
        <f t="shared" si="1"/>
        <v>12 dari 31 (39%)</v>
      </c>
    </row>
    <row r="15" ht="22.5" customHeight="1">
      <c r="A15" s="10">
        <v>14.0</v>
      </c>
      <c r="B15" s="11"/>
      <c r="C15" s="20">
        <v>60993.0</v>
      </c>
      <c r="D15" s="12" t="s">
        <v>54</v>
      </c>
      <c r="E15" s="12" t="s">
        <v>55</v>
      </c>
      <c r="F15" s="13"/>
      <c r="G15" s="16" t="b">
        <v>1</v>
      </c>
      <c r="H15" s="16" t="b">
        <v>1</v>
      </c>
      <c r="I15" s="16" t="b">
        <v>0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13 dari 31 (42%)</v>
      </c>
    </row>
    <row r="16" ht="22.5" customHeight="1">
      <c r="A16" s="2">
        <v>15.0</v>
      </c>
      <c r="B16" s="18"/>
      <c r="C16" s="20">
        <v>60991.0</v>
      </c>
      <c r="D16" s="12" t="s">
        <v>54</v>
      </c>
      <c r="E16" s="12" t="s">
        <v>55</v>
      </c>
      <c r="F16" s="13"/>
      <c r="G16" s="6" t="b">
        <v>1</v>
      </c>
      <c r="H16" s="6" t="b">
        <v>1</v>
      </c>
      <c r="I16" s="6" t="b">
        <v>0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1</v>
      </c>
      <c r="AA16" s="6" t="b">
        <v>1</v>
      </c>
      <c r="AB16" s="6" t="b">
        <v>1</v>
      </c>
      <c r="AC16" s="6" t="b">
        <v>1</v>
      </c>
      <c r="AD16" s="6" t="b">
        <v>1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18 dari 31 (58%)</v>
      </c>
    </row>
    <row r="17" ht="22.5" customHeight="1">
      <c r="A17" s="10">
        <v>16.0</v>
      </c>
      <c r="B17" s="11"/>
      <c r="C17" s="22">
        <v>60315.0</v>
      </c>
      <c r="D17" s="12" t="s">
        <v>54</v>
      </c>
      <c r="E17" s="12" t="s">
        <v>55</v>
      </c>
      <c r="F17" s="13"/>
      <c r="G17" s="16" t="b">
        <v>1</v>
      </c>
      <c r="H17" s="16" t="b">
        <v>1</v>
      </c>
      <c r="I17" s="16" t="b">
        <v>0</v>
      </c>
      <c r="J17" s="16" t="b">
        <v>0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12 dari 31 (39%)</v>
      </c>
    </row>
    <row r="18" ht="22.5" customHeight="1">
      <c r="A18" s="2">
        <v>17.0</v>
      </c>
      <c r="B18" s="18"/>
      <c r="C18" s="20">
        <v>60827.0</v>
      </c>
      <c r="D18" s="12" t="s">
        <v>54</v>
      </c>
      <c r="E18" s="12" t="s">
        <v>55</v>
      </c>
      <c r="F18" s="13"/>
      <c r="G18" s="6" t="b">
        <v>1</v>
      </c>
      <c r="H18" s="6" t="b">
        <v>1</v>
      </c>
      <c r="I18" s="6" t="b">
        <v>0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13 dari 31 (42%)</v>
      </c>
    </row>
    <row r="19" ht="22.5" customHeight="1">
      <c r="A19" s="10">
        <v>18.0</v>
      </c>
      <c r="B19" s="11"/>
      <c r="C19" s="20">
        <v>56610.0</v>
      </c>
      <c r="D19" s="12" t="s">
        <v>54</v>
      </c>
      <c r="E19" s="12" t="s">
        <v>55</v>
      </c>
      <c r="F19" s="13"/>
      <c r="G19" s="16" t="b">
        <v>1</v>
      </c>
      <c r="H19" s="16" t="b">
        <v>1</v>
      </c>
      <c r="I19" s="16" t="b">
        <v>0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13 dari 31 (42%)</v>
      </c>
    </row>
    <row r="20" ht="22.5" customHeight="1">
      <c r="A20" s="2">
        <v>19.0</v>
      </c>
      <c r="B20" s="18"/>
      <c r="C20" s="20">
        <v>59010.0</v>
      </c>
      <c r="D20" s="12" t="s">
        <v>54</v>
      </c>
      <c r="E20" s="12" t="s">
        <v>55</v>
      </c>
      <c r="F20" s="13"/>
      <c r="G20" s="6" t="b">
        <v>1</v>
      </c>
      <c r="H20" s="6" t="b">
        <v>1</v>
      </c>
      <c r="I20" s="6" t="b">
        <v>0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9" t="str">
        <f t="shared" si="1"/>
        <v>13 dari 31 (42%)</v>
      </c>
    </row>
    <row r="21" ht="22.5" customHeight="1">
      <c r="A21" s="10">
        <v>20.0</v>
      </c>
      <c r="B21" s="11"/>
      <c r="C21" s="20">
        <v>59571.0</v>
      </c>
      <c r="D21" s="12" t="s">
        <v>54</v>
      </c>
      <c r="E21" s="12" t="s">
        <v>55</v>
      </c>
      <c r="F21" s="13"/>
      <c r="G21" s="16" t="b">
        <v>1</v>
      </c>
      <c r="H21" s="16" t="b">
        <v>1</v>
      </c>
      <c r="I21" s="16" t="b">
        <v>0</v>
      </c>
      <c r="J21" s="16" t="b">
        <v>0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12 dari 31 (39%)</v>
      </c>
    </row>
    <row r="22" ht="22.5" customHeight="1">
      <c r="A22" s="2">
        <v>21.0</v>
      </c>
      <c r="B22" s="18"/>
      <c r="C22" s="20">
        <v>55526.0</v>
      </c>
      <c r="D22" s="12" t="s">
        <v>54</v>
      </c>
      <c r="E22" s="12" t="s">
        <v>55</v>
      </c>
      <c r="F22" s="13"/>
      <c r="G22" s="6" t="b">
        <v>1</v>
      </c>
      <c r="H22" s="6" t="b">
        <v>1</v>
      </c>
      <c r="I22" s="6" t="b">
        <v>0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13 dari 31 (42%)</v>
      </c>
    </row>
    <row r="23" ht="22.5" customHeight="1">
      <c r="A23" s="10">
        <v>22.0</v>
      </c>
      <c r="B23" s="11"/>
      <c r="C23" s="20">
        <v>57443.0</v>
      </c>
      <c r="D23" s="12" t="s">
        <v>54</v>
      </c>
      <c r="E23" s="12" t="s">
        <v>55</v>
      </c>
      <c r="F23" s="13"/>
      <c r="G23" s="16" t="b">
        <v>1</v>
      </c>
      <c r="H23" s="16" t="b">
        <v>1</v>
      </c>
      <c r="I23" s="16" t="b">
        <v>0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13 dari 31 (42%)</v>
      </c>
    </row>
    <row r="24" ht="22.5" customHeight="1">
      <c r="A24" s="2">
        <v>23.0</v>
      </c>
      <c r="B24" s="18"/>
      <c r="C24" s="20">
        <v>54389.0</v>
      </c>
      <c r="D24" s="12" t="s">
        <v>54</v>
      </c>
      <c r="E24" s="12" t="s">
        <v>55</v>
      </c>
      <c r="F24" s="13"/>
      <c r="G24" s="6" t="b">
        <v>1</v>
      </c>
      <c r="H24" s="6" t="b">
        <v>1</v>
      </c>
      <c r="I24" s="6" t="b">
        <v>0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13 dari 31 (42%)</v>
      </c>
    </row>
    <row r="25" ht="22.5" customHeight="1">
      <c r="A25" s="10">
        <v>24.0</v>
      </c>
      <c r="B25" s="11"/>
      <c r="C25" s="20">
        <v>17382.0</v>
      </c>
      <c r="D25" s="12" t="s">
        <v>51</v>
      </c>
      <c r="E25" s="12" t="s">
        <v>65</v>
      </c>
      <c r="F25" s="13"/>
      <c r="G25" s="16" t="b">
        <v>1</v>
      </c>
      <c r="H25" s="16" t="b">
        <v>1</v>
      </c>
      <c r="I25" s="16" t="b">
        <v>0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13 dari 31 (42%)</v>
      </c>
    </row>
    <row r="26" ht="22.5" customHeight="1">
      <c r="A26" s="2">
        <v>25.0</v>
      </c>
      <c r="B26" s="18"/>
      <c r="C26" s="20">
        <v>52365.0</v>
      </c>
      <c r="D26" s="12" t="s">
        <v>39</v>
      </c>
      <c r="E26" s="12" t="s">
        <v>57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14 dari 31 (45%)</v>
      </c>
    </row>
    <row r="27" ht="22.5" customHeight="1">
      <c r="A27" s="10">
        <v>26.0</v>
      </c>
      <c r="B27" s="11"/>
      <c r="C27" s="22">
        <v>60919.0</v>
      </c>
      <c r="D27" s="12" t="s">
        <v>39</v>
      </c>
      <c r="E27" s="12" t="s">
        <v>57</v>
      </c>
      <c r="F27" s="13"/>
      <c r="G27" s="16" t="b">
        <v>1</v>
      </c>
      <c r="H27" s="16" t="b">
        <v>1</v>
      </c>
      <c r="I27" s="16" t="b">
        <v>0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1</v>
      </c>
      <c r="AF27" s="16" t="b">
        <v>1</v>
      </c>
      <c r="AG27" s="16" t="b">
        <v>1</v>
      </c>
      <c r="AH27" s="16" t="b">
        <v>1</v>
      </c>
      <c r="AI27" s="16" t="b">
        <v>1</v>
      </c>
      <c r="AJ27" s="16" t="b">
        <v>0</v>
      </c>
      <c r="AK27" s="16" t="b">
        <v>0</v>
      </c>
      <c r="AL27" s="17" t="str">
        <f t="shared" si="1"/>
        <v>18 dari 31 (58%)</v>
      </c>
    </row>
    <row r="28" ht="22.5" customHeight="1">
      <c r="A28" s="2">
        <v>27.0</v>
      </c>
      <c r="B28" s="18"/>
      <c r="C28" s="22">
        <v>56033.0</v>
      </c>
      <c r="D28" s="12" t="s">
        <v>80</v>
      </c>
      <c r="E28" s="12" t="s">
        <v>49</v>
      </c>
      <c r="F28" s="13"/>
      <c r="G28" s="6" t="b">
        <v>1</v>
      </c>
      <c r="H28" s="6" t="b">
        <v>1</v>
      </c>
      <c r="I28" s="6" t="b">
        <v>0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1</v>
      </c>
      <c r="AJ28" s="6" t="b">
        <v>0</v>
      </c>
      <c r="AK28" s="6" t="b">
        <v>0</v>
      </c>
      <c r="AL28" s="9" t="str">
        <f t="shared" si="1"/>
        <v>14 dari 31 (45%)</v>
      </c>
    </row>
    <row r="29" ht="22.5" customHeight="1">
      <c r="A29" s="10">
        <v>28.0</v>
      </c>
      <c r="B29" s="11"/>
      <c r="C29" s="22">
        <v>61130.0</v>
      </c>
      <c r="D29" s="12" t="s">
        <v>41</v>
      </c>
      <c r="E29" s="12" t="s">
        <v>125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1</v>
      </c>
      <c r="AJ29" s="16" t="b">
        <v>0</v>
      </c>
      <c r="AK29" s="16" t="b">
        <v>0</v>
      </c>
      <c r="AL29" s="17" t="str">
        <f t="shared" si="1"/>
        <v>14 dari 31 (45%)</v>
      </c>
    </row>
    <row r="30" ht="22.5" customHeight="1">
      <c r="A30" s="2">
        <v>29.0</v>
      </c>
      <c r="B30" s="18"/>
      <c r="C30" s="22">
        <v>52814.0</v>
      </c>
      <c r="D30" s="12" t="s">
        <v>53</v>
      </c>
      <c r="E30" s="12" t="s">
        <v>48</v>
      </c>
      <c r="F30" s="13"/>
      <c r="G30" s="6" t="b">
        <v>1</v>
      </c>
      <c r="H30" s="6" t="b">
        <v>1</v>
      </c>
      <c r="I30" s="6" t="b">
        <v>1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1</v>
      </c>
      <c r="AJ30" s="6" t="b">
        <v>0</v>
      </c>
      <c r="AK30" s="6" t="b">
        <v>0</v>
      </c>
      <c r="AL30" s="9" t="str">
        <f t="shared" si="1"/>
        <v>15 dari 31 (48%)</v>
      </c>
    </row>
    <row r="31" ht="22.5" customHeight="1">
      <c r="A31" s="10">
        <v>30.0</v>
      </c>
      <c r="B31" s="11"/>
      <c r="C31" s="22">
        <v>60995.0</v>
      </c>
      <c r="D31" s="12" t="s">
        <v>68</v>
      </c>
      <c r="E31" s="12" t="s">
        <v>126</v>
      </c>
      <c r="F31" s="13"/>
      <c r="G31" s="16" t="b">
        <v>1</v>
      </c>
      <c r="H31" s="16" t="b">
        <v>1</v>
      </c>
      <c r="I31" s="16" t="b">
        <v>1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15 dari 31 (48%)</v>
      </c>
    </row>
    <row r="32" ht="22.5" customHeight="1">
      <c r="A32" s="2">
        <v>31.0</v>
      </c>
      <c r="B32" s="18"/>
      <c r="C32" s="20">
        <v>58554.0</v>
      </c>
      <c r="D32" s="12" t="s">
        <v>53</v>
      </c>
      <c r="E32" s="12" t="s">
        <v>48</v>
      </c>
      <c r="F32" s="13"/>
      <c r="G32" s="6" t="b">
        <v>1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1</v>
      </c>
      <c r="AJ32" s="6" t="b">
        <v>0</v>
      </c>
      <c r="AK32" s="6" t="b">
        <v>0</v>
      </c>
      <c r="AL32" s="9" t="str">
        <f t="shared" si="1"/>
        <v>15 dari 31 (48%)</v>
      </c>
    </row>
    <row r="33" ht="22.5" customHeight="1">
      <c r="A33" s="10">
        <v>32.0</v>
      </c>
      <c r="B33" s="11"/>
      <c r="C33" s="20">
        <v>35691.0</v>
      </c>
      <c r="D33" s="12" t="s">
        <v>53</v>
      </c>
      <c r="E33" s="12" t="s">
        <v>117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15 dari 31 (48%)</v>
      </c>
    </row>
    <row r="34" ht="22.5" customHeight="1">
      <c r="A34" s="2">
        <v>33.0</v>
      </c>
      <c r="B34" s="18"/>
      <c r="C34" s="20">
        <v>57319.0</v>
      </c>
      <c r="D34" s="12" t="s">
        <v>80</v>
      </c>
      <c r="E34" s="12" t="s">
        <v>49</v>
      </c>
      <c r="F34" s="13"/>
      <c r="G34" s="6" t="b">
        <v>1</v>
      </c>
      <c r="H34" s="6" t="b">
        <v>1</v>
      </c>
      <c r="I34" s="6" t="b">
        <v>0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1"/>
        <v>14 dari 31 (45%)</v>
      </c>
    </row>
    <row r="35" ht="22.5" customHeight="1">
      <c r="A35" s="10">
        <v>34.0</v>
      </c>
      <c r="B35" s="11"/>
      <c r="C35" s="20">
        <v>57120.0</v>
      </c>
      <c r="D35" s="12" t="s">
        <v>80</v>
      </c>
      <c r="E35" s="12" t="s">
        <v>91</v>
      </c>
      <c r="F35" s="13"/>
      <c r="G35" s="16" t="b">
        <v>1</v>
      </c>
      <c r="H35" s="16" t="b">
        <v>1</v>
      </c>
      <c r="I35" s="16" t="b">
        <v>0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1"/>
        <v>14 dari 31 (45%)</v>
      </c>
    </row>
    <row r="36" ht="22.5" customHeight="1">
      <c r="A36" s="2">
        <v>35.0</v>
      </c>
      <c r="B36" s="18"/>
      <c r="C36" s="20">
        <v>21887.0</v>
      </c>
      <c r="D36" s="12" t="s">
        <v>80</v>
      </c>
      <c r="E36" s="12" t="s">
        <v>43</v>
      </c>
      <c r="F36" s="13"/>
      <c r="G36" s="6" t="b">
        <v>1</v>
      </c>
      <c r="H36" s="6" t="b">
        <v>1</v>
      </c>
      <c r="I36" s="6" t="b">
        <v>0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14 dari 31 (45%)</v>
      </c>
    </row>
    <row r="37" ht="22.5" customHeight="1">
      <c r="A37" s="10">
        <v>36.0</v>
      </c>
      <c r="B37" s="11"/>
      <c r="C37" s="22">
        <v>58572.0</v>
      </c>
      <c r="D37" s="12" t="s">
        <v>80</v>
      </c>
      <c r="E37" s="12" t="s">
        <v>43</v>
      </c>
      <c r="F37" s="13"/>
      <c r="G37" s="16" t="b">
        <v>1</v>
      </c>
      <c r="H37" s="16" t="b">
        <v>1</v>
      </c>
      <c r="I37" s="16" t="b">
        <v>0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14 dari 31 (45%)</v>
      </c>
    </row>
    <row r="38" ht="22.5" customHeight="1">
      <c r="A38" s="2">
        <v>37.0</v>
      </c>
      <c r="B38" s="18"/>
      <c r="C38" s="22">
        <v>34313.0</v>
      </c>
      <c r="D38" s="12" t="s">
        <v>98</v>
      </c>
      <c r="E38" s="12" t="s">
        <v>100</v>
      </c>
      <c r="F38" s="13"/>
      <c r="G38" s="6" t="b">
        <v>1</v>
      </c>
      <c r="H38" s="6" t="b">
        <v>1</v>
      </c>
      <c r="I38" s="6" t="b">
        <v>0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1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1</v>
      </c>
      <c r="AJ38" s="6" t="b">
        <v>0</v>
      </c>
      <c r="AK38" s="6" t="b">
        <v>0</v>
      </c>
      <c r="AL38" s="9" t="str">
        <f t="shared" si="1"/>
        <v>14 dari 31 (45%)</v>
      </c>
    </row>
    <row r="39" ht="22.5" customHeight="1">
      <c r="A39" s="10">
        <v>38.0</v>
      </c>
      <c r="B39" s="11"/>
      <c r="C39" s="22">
        <v>57542.0</v>
      </c>
      <c r="D39" s="12" t="s">
        <v>80</v>
      </c>
      <c r="E39" s="12" t="s">
        <v>49</v>
      </c>
      <c r="F39" s="13"/>
      <c r="G39" s="16" t="b">
        <v>1</v>
      </c>
      <c r="H39" s="16" t="b">
        <v>1</v>
      </c>
      <c r="I39" s="16" t="b">
        <v>0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1</v>
      </c>
      <c r="AJ39" s="16" t="b">
        <v>0</v>
      </c>
      <c r="AK39" s="16" t="b">
        <v>0</v>
      </c>
      <c r="AL39" s="17" t="str">
        <f t="shared" si="1"/>
        <v>14 dari 31 (45%)</v>
      </c>
    </row>
    <row r="40" ht="22.5" customHeight="1">
      <c r="A40" s="2">
        <v>39.0</v>
      </c>
      <c r="B40" s="18"/>
      <c r="C40" s="22">
        <v>57213.0</v>
      </c>
      <c r="D40" s="12" t="s">
        <v>80</v>
      </c>
      <c r="E40" s="12" t="s">
        <v>43</v>
      </c>
      <c r="F40" s="13"/>
      <c r="G40" s="6" t="b">
        <v>1</v>
      </c>
      <c r="H40" s="6" t="b">
        <v>1</v>
      </c>
      <c r="I40" s="6" t="b">
        <v>0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1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14 dari 31 (45%)</v>
      </c>
    </row>
    <row r="41" ht="22.5" customHeight="1">
      <c r="A41" s="10">
        <v>40.0</v>
      </c>
      <c r="B41" s="11"/>
      <c r="C41" s="22">
        <v>57693.0</v>
      </c>
      <c r="D41" s="12" t="s">
        <v>80</v>
      </c>
      <c r="E41" s="12" t="s">
        <v>43</v>
      </c>
      <c r="F41" s="13"/>
      <c r="G41" s="16" t="b">
        <v>1</v>
      </c>
      <c r="H41" s="16" t="b">
        <v>1</v>
      </c>
      <c r="I41" s="16" t="b">
        <v>0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14 dari 31 (45%)</v>
      </c>
    </row>
    <row r="42" ht="22.5" customHeight="1">
      <c r="A42" s="100">
        <v>41.0</v>
      </c>
      <c r="B42" s="101"/>
      <c r="C42" s="102">
        <v>57549.0</v>
      </c>
      <c r="D42" s="103" t="s">
        <v>80</v>
      </c>
      <c r="E42" s="103" t="s">
        <v>49</v>
      </c>
      <c r="F42" s="104"/>
      <c r="G42" s="105" t="b">
        <v>1</v>
      </c>
      <c r="H42" s="105" t="b">
        <v>1</v>
      </c>
      <c r="I42" s="105" t="b">
        <v>0</v>
      </c>
      <c r="J42" s="105" t="b">
        <v>1</v>
      </c>
      <c r="K42" s="105" t="b">
        <v>1</v>
      </c>
      <c r="L42" s="105" t="b">
        <v>1</v>
      </c>
      <c r="M42" s="105" t="b">
        <v>1</v>
      </c>
      <c r="N42" s="105" t="b">
        <v>1</v>
      </c>
      <c r="O42" s="105" t="b">
        <v>1</v>
      </c>
      <c r="P42" s="105" t="b">
        <v>1</v>
      </c>
      <c r="Q42" s="105" t="b">
        <v>1</v>
      </c>
      <c r="R42" s="105" t="b">
        <v>1</v>
      </c>
      <c r="S42" s="105" t="b">
        <v>1</v>
      </c>
      <c r="T42" s="105" t="b">
        <v>1</v>
      </c>
      <c r="U42" s="105" t="b">
        <v>0</v>
      </c>
      <c r="V42" s="105" t="b">
        <v>0</v>
      </c>
      <c r="W42" s="105" t="b">
        <v>0</v>
      </c>
      <c r="X42" s="105" t="b">
        <v>0</v>
      </c>
      <c r="Y42" s="105" t="b">
        <v>0</v>
      </c>
      <c r="Z42" s="105" t="b">
        <v>0</v>
      </c>
      <c r="AA42" s="105" t="b">
        <v>0</v>
      </c>
      <c r="AB42" s="105" t="b">
        <v>0</v>
      </c>
      <c r="AC42" s="105" t="b">
        <v>0</v>
      </c>
      <c r="AD42" s="105" t="b">
        <v>0</v>
      </c>
      <c r="AE42" s="105" t="b">
        <v>0</v>
      </c>
      <c r="AF42" s="105" t="b">
        <v>0</v>
      </c>
      <c r="AG42" s="105" t="b">
        <v>0</v>
      </c>
      <c r="AH42" s="105" t="b">
        <v>0</v>
      </c>
      <c r="AI42" s="105" t="b">
        <v>1</v>
      </c>
      <c r="AJ42" s="105" t="b">
        <v>0</v>
      </c>
      <c r="AK42" s="105" t="b">
        <v>0</v>
      </c>
      <c r="AL42" s="106" t="str">
        <f t="shared" si="1"/>
        <v>14 dari 31 (45%)</v>
      </c>
    </row>
    <row r="43" ht="22.5" customHeight="1">
      <c r="A43" s="10">
        <v>42.0</v>
      </c>
      <c r="B43" s="11"/>
      <c r="C43" s="20">
        <v>51073.0</v>
      </c>
      <c r="D43" s="12" t="s">
        <v>53</v>
      </c>
      <c r="E43" s="12" t="s">
        <v>48</v>
      </c>
      <c r="F43" s="13"/>
      <c r="G43" s="16" t="b">
        <v>1</v>
      </c>
      <c r="H43" s="16" t="b">
        <v>1</v>
      </c>
      <c r="I43" s="16" t="b">
        <v>1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1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1</v>
      </c>
      <c r="AJ43" s="16" t="b">
        <v>0</v>
      </c>
      <c r="AK43" s="16" t="b">
        <v>0</v>
      </c>
      <c r="AL43" s="17" t="str">
        <f t="shared" si="1"/>
        <v>15 dari 31 (48%)</v>
      </c>
    </row>
    <row r="44" ht="22.5" customHeight="1">
      <c r="A44" s="100">
        <v>43.0</v>
      </c>
      <c r="B44" s="101"/>
      <c r="C44" s="102">
        <v>57686.0</v>
      </c>
      <c r="D44" s="103" t="s">
        <v>80</v>
      </c>
      <c r="E44" s="103" t="s">
        <v>43</v>
      </c>
      <c r="F44" s="104"/>
      <c r="G44" s="105" t="b">
        <v>1</v>
      </c>
      <c r="H44" s="105" t="b">
        <v>1</v>
      </c>
      <c r="I44" s="105" t="b">
        <v>0</v>
      </c>
      <c r="J44" s="105" t="b">
        <v>1</v>
      </c>
      <c r="K44" s="105" t="b">
        <v>1</v>
      </c>
      <c r="L44" s="105" t="b">
        <v>1</v>
      </c>
      <c r="M44" s="105" t="b">
        <v>1</v>
      </c>
      <c r="N44" s="105" t="b">
        <v>1</v>
      </c>
      <c r="O44" s="105" t="b">
        <v>1</v>
      </c>
      <c r="P44" s="105" t="b">
        <v>1</v>
      </c>
      <c r="Q44" s="105" t="b">
        <v>1</v>
      </c>
      <c r="R44" s="105" t="b">
        <v>1</v>
      </c>
      <c r="S44" s="105" t="b">
        <v>1</v>
      </c>
      <c r="T44" s="105" t="b">
        <v>1</v>
      </c>
      <c r="U44" s="105" t="b">
        <v>0</v>
      </c>
      <c r="V44" s="105" t="b">
        <v>0</v>
      </c>
      <c r="W44" s="105" t="b">
        <v>0</v>
      </c>
      <c r="X44" s="105" t="b">
        <v>0</v>
      </c>
      <c r="Y44" s="105" t="b">
        <v>0</v>
      </c>
      <c r="Z44" s="105" t="b">
        <v>0</v>
      </c>
      <c r="AA44" s="105" t="b">
        <v>0</v>
      </c>
      <c r="AB44" s="105" t="b">
        <v>0</v>
      </c>
      <c r="AC44" s="105" t="b">
        <v>0</v>
      </c>
      <c r="AD44" s="105" t="b">
        <v>0</v>
      </c>
      <c r="AE44" s="105" t="b">
        <v>0</v>
      </c>
      <c r="AF44" s="105" t="b">
        <v>0</v>
      </c>
      <c r="AG44" s="105" t="b">
        <v>0</v>
      </c>
      <c r="AH44" s="105" t="b">
        <v>0</v>
      </c>
      <c r="AI44" s="105" t="b">
        <v>0</v>
      </c>
      <c r="AJ44" s="105" t="b">
        <v>0</v>
      </c>
      <c r="AK44" s="105" t="b">
        <v>0</v>
      </c>
      <c r="AL44" s="106" t="str">
        <f t="shared" si="1"/>
        <v>13 dari 31 (42%)</v>
      </c>
    </row>
    <row r="45" ht="22.5" customHeight="1">
      <c r="A45" s="10">
        <v>44.0</v>
      </c>
      <c r="B45" s="11"/>
      <c r="C45" s="22">
        <v>57306.0</v>
      </c>
      <c r="D45" s="12" t="s">
        <v>80</v>
      </c>
      <c r="E45" s="12" t="s">
        <v>91</v>
      </c>
      <c r="F45" s="13"/>
      <c r="G45" s="16" t="b">
        <v>1</v>
      </c>
      <c r="H45" s="16" t="b">
        <v>1</v>
      </c>
      <c r="I45" s="16" t="b">
        <v>0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14 dari 31 (45%)</v>
      </c>
    </row>
    <row r="46" ht="22.5" customHeight="1">
      <c r="A46" s="2">
        <v>45.0</v>
      </c>
      <c r="B46" s="18"/>
      <c r="C46" s="22">
        <v>44002.0</v>
      </c>
      <c r="D46" s="12" t="s">
        <v>80</v>
      </c>
      <c r="E46" s="12" t="s">
        <v>91</v>
      </c>
      <c r="F46" s="13"/>
      <c r="G46" s="6" t="b">
        <v>1</v>
      </c>
      <c r="H46" s="6" t="b">
        <v>1</v>
      </c>
      <c r="I46" s="6" t="b">
        <v>0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1</v>
      </c>
      <c r="AJ46" s="6" t="b">
        <v>0</v>
      </c>
      <c r="AK46" s="6" t="b">
        <v>0</v>
      </c>
      <c r="AL46" s="9" t="str">
        <f t="shared" si="1"/>
        <v>14 dari 31 (45%)</v>
      </c>
    </row>
    <row r="47" ht="22.5" customHeight="1">
      <c r="A47" s="10">
        <v>46.0</v>
      </c>
      <c r="B47" s="11"/>
      <c r="C47" s="22">
        <v>57547.0</v>
      </c>
      <c r="D47" s="12" t="s">
        <v>80</v>
      </c>
      <c r="E47" s="12" t="s">
        <v>130</v>
      </c>
      <c r="F47" s="13"/>
      <c r="G47" s="16" t="b">
        <v>1</v>
      </c>
      <c r="H47" s="16" t="b">
        <v>1</v>
      </c>
      <c r="I47" s="16" t="b">
        <v>0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1</v>
      </c>
      <c r="S47" s="16" t="b">
        <v>1</v>
      </c>
      <c r="T47" s="16" t="b">
        <v>1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14 dari 31 (45%)</v>
      </c>
    </row>
    <row r="48" ht="22.5" customHeight="1">
      <c r="A48" s="10">
        <v>47.0</v>
      </c>
      <c r="B48" s="18"/>
      <c r="C48" s="22">
        <v>60327.0</v>
      </c>
      <c r="D48" s="12" t="s">
        <v>80</v>
      </c>
      <c r="E48" s="12" t="s">
        <v>91</v>
      </c>
      <c r="F48" s="13"/>
      <c r="G48" s="6" t="b">
        <v>1</v>
      </c>
      <c r="H48" s="6" t="b">
        <v>1</v>
      </c>
      <c r="I48" s="6" t="b">
        <v>0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1</v>
      </c>
      <c r="AJ48" s="6" t="b">
        <v>0</v>
      </c>
      <c r="AK48" s="6" t="b">
        <v>0</v>
      </c>
      <c r="AL48" s="9" t="str">
        <f t="shared" si="1"/>
        <v>14 dari 31 (45%)</v>
      </c>
    </row>
    <row r="49" ht="22.5" customHeight="1">
      <c r="A49" s="2">
        <v>48.0</v>
      </c>
      <c r="B49" s="11"/>
      <c r="C49" s="22">
        <v>30305.0</v>
      </c>
      <c r="D49" s="12" t="s">
        <v>80</v>
      </c>
      <c r="E49" s="12" t="s">
        <v>43</v>
      </c>
      <c r="F49" s="13"/>
      <c r="G49" s="16" t="b">
        <v>1</v>
      </c>
      <c r="H49" s="16" t="b">
        <v>1</v>
      </c>
      <c r="I49" s="16" t="b">
        <v>0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14 dari 31 (45%)</v>
      </c>
    </row>
    <row r="50" ht="22.5" customHeight="1">
      <c r="A50" s="109">
        <v>49.0</v>
      </c>
      <c r="B50" s="110"/>
      <c r="C50" s="111">
        <v>57546.0</v>
      </c>
      <c r="D50" s="103" t="s">
        <v>53</v>
      </c>
      <c r="E50" s="103" t="s">
        <v>48</v>
      </c>
      <c r="F50" s="104"/>
      <c r="G50" s="105" t="b">
        <v>1</v>
      </c>
      <c r="H50" s="105" t="b">
        <v>1</v>
      </c>
      <c r="I50" s="105" t="b">
        <v>1</v>
      </c>
      <c r="J50" s="105" t="b">
        <v>1</v>
      </c>
      <c r="K50" s="105" t="b">
        <v>1</v>
      </c>
      <c r="L50" s="105" t="b">
        <v>1</v>
      </c>
      <c r="M50" s="105" t="b">
        <v>1</v>
      </c>
      <c r="N50" s="105" t="b">
        <v>1</v>
      </c>
      <c r="O50" s="105" t="b">
        <v>1</v>
      </c>
      <c r="P50" s="105" t="b">
        <v>1</v>
      </c>
      <c r="Q50" s="105" t="b">
        <v>1</v>
      </c>
      <c r="R50" s="105" t="b">
        <v>1</v>
      </c>
      <c r="S50" s="105" t="b">
        <v>1</v>
      </c>
      <c r="T50" s="105" t="b">
        <v>1</v>
      </c>
      <c r="U50" s="105" t="b">
        <v>0</v>
      </c>
      <c r="V50" s="105" t="b">
        <v>0</v>
      </c>
      <c r="W50" s="105" t="b">
        <v>0</v>
      </c>
      <c r="X50" s="105" t="b">
        <v>0</v>
      </c>
      <c r="Y50" s="105" t="b">
        <v>0</v>
      </c>
      <c r="Z50" s="105" t="b">
        <v>0</v>
      </c>
      <c r="AA50" s="105" t="b">
        <v>0</v>
      </c>
      <c r="AB50" s="105" t="b">
        <v>0</v>
      </c>
      <c r="AC50" s="105" t="b">
        <v>0</v>
      </c>
      <c r="AD50" s="105" t="b">
        <v>0</v>
      </c>
      <c r="AE50" s="105" t="b">
        <v>0</v>
      </c>
      <c r="AF50" s="105" t="b">
        <v>0</v>
      </c>
      <c r="AG50" s="105" t="b">
        <v>0</v>
      </c>
      <c r="AH50" s="105" t="b">
        <v>0</v>
      </c>
      <c r="AI50" s="105" t="b">
        <v>1</v>
      </c>
      <c r="AJ50" s="105" t="b">
        <v>0</v>
      </c>
      <c r="AK50" s="105" t="b">
        <v>0</v>
      </c>
      <c r="AL50" s="106" t="str">
        <f t="shared" si="1"/>
        <v>15 dari 31 (48%)</v>
      </c>
    </row>
    <row r="51" ht="22.5" customHeight="1">
      <c r="A51" s="10">
        <v>50.0</v>
      </c>
      <c r="B51" s="11"/>
      <c r="C51" s="22">
        <v>53061.0</v>
      </c>
      <c r="D51" s="12" t="s">
        <v>53</v>
      </c>
      <c r="E51" s="12" t="s">
        <v>44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1</v>
      </c>
      <c r="AJ51" s="6" t="b">
        <v>0</v>
      </c>
      <c r="AK51" s="6" t="b">
        <v>0</v>
      </c>
      <c r="AL51" s="17" t="str">
        <f t="shared" si="1"/>
        <v>15 dari 31 (48%)</v>
      </c>
    </row>
    <row r="52" ht="22.5" customHeight="1">
      <c r="A52" s="2">
        <v>51.0</v>
      </c>
      <c r="B52" s="11"/>
      <c r="C52" s="22">
        <v>32885.0</v>
      </c>
      <c r="D52" s="12" t="s">
        <v>53</v>
      </c>
      <c r="E52" s="12" t="s">
        <v>44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15 dari 31 (48%)</v>
      </c>
    </row>
    <row r="53" ht="22.5" customHeight="1">
      <c r="A53" s="10">
        <v>52.0</v>
      </c>
      <c r="B53" s="11"/>
      <c r="C53" s="22">
        <v>59698.0</v>
      </c>
      <c r="D53" s="12" t="s">
        <v>56</v>
      </c>
      <c r="E53" s="12" t="s">
        <v>60</v>
      </c>
      <c r="F53" s="13"/>
      <c r="G53" s="6" t="b">
        <v>1</v>
      </c>
      <c r="H53" s="6" t="b">
        <v>1</v>
      </c>
      <c r="I53" s="6" t="b">
        <v>1</v>
      </c>
      <c r="J53" s="6" t="b">
        <v>1</v>
      </c>
      <c r="K53" s="6" t="b">
        <v>1</v>
      </c>
      <c r="L53" s="6" t="b">
        <v>1</v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b">
        <v>1</v>
      </c>
      <c r="T53" s="6" t="b">
        <v>1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1</v>
      </c>
      <c r="AJ53" s="6" t="b">
        <v>0</v>
      </c>
      <c r="AK53" s="6" t="b">
        <v>0</v>
      </c>
      <c r="AL53" s="9" t="str">
        <f t="shared" si="1"/>
        <v>15 dari 31 (48%)</v>
      </c>
    </row>
    <row r="54" ht="22.5" customHeight="1">
      <c r="A54" s="10">
        <v>53.0</v>
      </c>
      <c r="B54" s="11"/>
      <c r="C54" s="22">
        <v>60907.0</v>
      </c>
      <c r="D54" s="12" t="s">
        <v>68</v>
      </c>
      <c r="E54" s="12" t="s">
        <v>126</v>
      </c>
      <c r="F54" s="13"/>
      <c r="G54" s="6" t="b">
        <v>1</v>
      </c>
      <c r="H54" s="6" t="b">
        <v>1</v>
      </c>
      <c r="I54" s="6" t="b">
        <v>1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15 dari 31 (48%)</v>
      </c>
    </row>
    <row r="55" ht="22.5" customHeight="1">
      <c r="A55" s="2">
        <v>54.0</v>
      </c>
      <c r="B55" s="11"/>
      <c r="C55" s="20">
        <v>59531.0</v>
      </c>
      <c r="D55" s="12" t="s">
        <v>56</v>
      </c>
      <c r="E55" s="12" t="s">
        <v>60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1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1</v>
      </c>
      <c r="AJ55" s="6" t="b">
        <v>0</v>
      </c>
      <c r="AK55" s="6" t="b">
        <v>0</v>
      </c>
      <c r="AL55" s="9" t="str">
        <f t="shared" si="1"/>
        <v>15 dari 31 (48%)</v>
      </c>
    </row>
    <row r="56" ht="22.5" customHeight="1">
      <c r="A56" s="10">
        <v>55.0</v>
      </c>
      <c r="B56" s="11"/>
      <c r="C56" s="22">
        <v>57854.0</v>
      </c>
      <c r="D56" s="12" t="s">
        <v>68</v>
      </c>
      <c r="E56" s="12" t="s">
        <v>126</v>
      </c>
      <c r="F56" s="13"/>
      <c r="G56" s="6" t="b">
        <v>1</v>
      </c>
      <c r="H56" s="6" t="b">
        <v>1</v>
      </c>
      <c r="I56" s="6" t="b">
        <v>0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1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1"/>
        <v>14 dari 31 (45%)</v>
      </c>
    </row>
    <row r="57" ht="22.5" customHeight="1">
      <c r="A57" s="10">
        <v>56.0</v>
      </c>
      <c r="B57" s="11"/>
      <c r="C57" s="22">
        <v>60276.0</v>
      </c>
      <c r="D57" s="12" t="s">
        <v>39</v>
      </c>
      <c r="E57" s="12" t="s">
        <v>42</v>
      </c>
      <c r="F57" s="13"/>
      <c r="G57" s="6" t="b">
        <v>1</v>
      </c>
      <c r="H57" s="6" t="b">
        <v>1</v>
      </c>
      <c r="I57" s="6" t="b">
        <v>0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13 dari 31 (42%)</v>
      </c>
    </row>
    <row r="58" ht="22.5" customHeight="1">
      <c r="A58" s="2">
        <v>57.0</v>
      </c>
      <c r="B58" s="11"/>
      <c r="C58" s="22">
        <v>60537.0</v>
      </c>
      <c r="D58" s="12" t="s">
        <v>39</v>
      </c>
      <c r="E58" s="12" t="s">
        <v>57</v>
      </c>
      <c r="F58" s="13"/>
      <c r="G58" s="6" t="b">
        <v>1</v>
      </c>
      <c r="H58" s="6" t="b">
        <v>1</v>
      </c>
      <c r="I58" s="6" t="b">
        <v>0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1</v>
      </c>
      <c r="X58" s="6" t="b">
        <v>1</v>
      </c>
      <c r="Y58" s="6" t="b">
        <v>1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1"/>
        <v>17 dari 31 (55%)</v>
      </c>
    </row>
    <row r="59" ht="22.5" customHeight="1">
      <c r="A59" s="10">
        <v>58.0</v>
      </c>
      <c r="B59" s="11"/>
      <c r="C59" s="22">
        <v>58792.0</v>
      </c>
      <c r="D59" s="12" t="s">
        <v>68</v>
      </c>
      <c r="E59" s="12" t="s">
        <v>126</v>
      </c>
      <c r="F59" s="13"/>
      <c r="G59" s="6" t="b">
        <v>1</v>
      </c>
      <c r="H59" s="6" t="b">
        <v>1</v>
      </c>
      <c r="I59" s="6" t="b">
        <v>0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0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1</v>
      </c>
      <c r="AJ59" s="6" t="b">
        <v>0</v>
      </c>
      <c r="AK59" s="6" t="b">
        <v>0</v>
      </c>
      <c r="AL59" s="9" t="str">
        <f t="shared" si="1"/>
        <v>13 dari 31 (42%)</v>
      </c>
    </row>
    <row r="60" ht="22.5" customHeight="1">
      <c r="A60" s="10">
        <v>59.0</v>
      </c>
      <c r="B60" s="11"/>
      <c r="C60" s="22">
        <v>60858.0</v>
      </c>
      <c r="D60" s="12" t="s">
        <v>53</v>
      </c>
      <c r="E60" s="12" t="s">
        <v>44</v>
      </c>
      <c r="F60" s="13"/>
      <c r="G60" s="6" t="b">
        <v>1</v>
      </c>
      <c r="H60" s="6" t="b">
        <v>1</v>
      </c>
      <c r="I60" s="6" t="b">
        <v>1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1</v>
      </c>
      <c r="AJ60" s="6" t="b">
        <v>0</v>
      </c>
      <c r="AK60" s="6" t="b">
        <v>0</v>
      </c>
      <c r="AL60" s="17" t="str">
        <f t="shared" si="1"/>
        <v>14 dari 31 (45%)</v>
      </c>
    </row>
    <row r="61" ht="22.5" customHeight="1">
      <c r="A61" s="2">
        <v>60.0</v>
      </c>
      <c r="B61" s="11"/>
      <c r="C61" s="22">
        <v>51396.0</v>
      </c>
      <c r="D61" s="12" t="s">
        <v>68</v>
      </c>
      <c r="E61" s="12" t="s">
        <v>126</v>
      </c>
      <c r="F61" s="13"/>
      <c r="G61" s="6" t="b">
        <v>1</v>
      </c>
      <c r="H61" s="6" t="b">
        <v>1</v>
      </c>
      <c r="I61" s="6" t="b">
        <v>0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1</v>
      </c>
      <c r="AJ61" s="6" t="b">
        <v>0</v>
      </c>
      <c r="AK61" s="6" t="b">
        <v>0</v>
      </c>
      <c r="AL61" s="9" t="str">
        <f t="shared" si="1"/>
        <v>14 dari 31 (45%)</v>
      </c>
    </row>
    <row r="62" ht="22.5" customHeight="1">
      <c r="A62" s="10">
        <v>61.0</v>
      </c>
      <c r="B62" s="11"/>
      <c r="C62" s="20">
        <v>56811.0</v>
      </c>
      <c r="D62" s="12" t="s">
        <v>68</v>
      </c>
      <c r="E62" s="12" t="s">
        <v>126</v>
      </c>
      <c r="F62" s="13"/>
      <c r="G62" s="6" t="b">
        <v>1</v>
      </c>
      <c r="H62" s="6" t="b">
        <v>1</v>
      </c>
      <c r="I62" s="6" t="b">
        <v>1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1</v>
      </c>
      <c r="AJ62" s="6" t="b">
        <v>0</v>
      </c>
      <c r="AK62" s="6" t="b">
        <v>0</v>
      </c>
      <c r="AL62" s="9" t="str">
        <f t="shared" si="1"/>
        <v>15 dari 31 (48%)</v>
      </c>
    </row>
    <row r="63" ht="22.5" customHeight="1">
      <c r="A63" s="10">
        <v>62.0</v>
      </c>
      <c r="B63" s="11"/>
      <c r="C63" s="20">
        <v>59396.0</v>
      </c>
      <c r="D63" s="12" t="s">
        <v>51</v>
      </c>
      <c r="E63" s="12" t="s">
        <v>140</v>
      </c>
      <c r="F63" s="13"/>
      <c r="G63" s="6" t="b">
        <v>1</v>
      </c>
      <c r="H63" s="6" t="b">
        <v>1</v>
      </c>
      <c r="I63" s="6" t="b">
        <v>0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13 dari 31 (42%)</v>
      </c>
    </row>
    <row r="64" ht="22.5" customHeight="1">
      <c r="A64" s="2">
        <v>63.0</v>
      </c>
      <c r="B64" s="11"/>
      <c r="C64" s="20">
        <v>61131.0</v>
      </c>
      <c r="D64" s="12" t="s">
        <v>141</v>
      </c>
      <c r="E64" s="12" t="s">
        <v>86</v>
      </c>
      <c r="F64" s="14" t="s">
        <v>50</v>
      </c>
      <c r="G64" s="6" t="b">
        <v>1</v>
      </c>
      <c r="H64" s="6" t="b">
        <v>0</v>
      </c>
      <c r="I64" s="6" t="b">
        <v>0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1</v>
      </c>
      <c r="AJ64" s="6" t="b">
        <v>0</v>
      </c>
      <c r="AK64" s="6" t="b">
        <v>0</v>
      </c>
      <c r="AL64" s="9" t="str">
        <f t="shared" si="1"/>
        <v>12 dari 31 (39%)</v>
      </c>
    </row>
    <row r="65" ht="22.5" customHeight="1">
      <c r="A65" s="10">
        <v>64.0</v>
      </c>
      <c r="B65" s="11"/>
      <c r="C65" s="20">
        <v>55144.0</v>
      </c>
      <c r="D65" s="12" t="s">
        <v>85</v>
      </c>
      <c r="E65" s="12" t="s">
        <v>88</v>
      </c>
      <c r="F65" s="13"/>
      <c r="G65" s="6" t="b">
        <v>1</v>
      </c>
      <c r="H65" s="6" t="b">
        <v>1</v>
      </c>
      <c r="I65" s="6" t="b">
        <v>1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1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1</v>
      </c>
      <c r="AJ65" s="6" t="b">
        <v>0</v>
      </c>
      <c r="AK65" s="6" t="b">
        <v>0</v>
      </c>
      <c r="AL65" s="9" t="str">
        <f t="shared" si="1"/>
        <v>15 dari 31 (48%)</v>
      </c>
    </row>
    <row r="66" ht="22.5" customHeight="1">
      <c r="A66" s="10">
        <v>65.0</v>
      </c>
      <c r="B66" s="11"/>
      <c r="C66" s="20">
        <v>61132.0</v>
      </c>
      <c r="D66" s="12" t="s">
        <v>54</v>
      </c>
      <c r="E66" s="12" t="s">
        <v>62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15 dari 31 (48%)</v>
      </c>
    </row>
    <row r="67" ht="22.5" customHeight="1">
      <c r="A67" s="2">
        <v>66.0</v>
      </c>
      <c r="B67" s="11"/>
      <c r="C67" s="22">
        <v>35011.0</v>
      </c>
      <c r="D67" s="12" t="s">
        <v>40</v>
      </c>
      <c r="E67" s="12" t="s">
        <v>43</v>
      </c>
      <c r="F67" s="13"/>
      <c r="G67" s="6" t="b">
        <v>1</v>
      </c>
      <c r="H67" s="6" t="b">
        <v>1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15 dari 31 (48%)</v>
      </c>
    </row>
    <row r="68" ht="22.5" customHeight="1">
      <c r="A68" s="10">
        <v>67.0</v>
      </c>
      <c r="B68" s="11"/>
      <c r="C68" s="22">
        <v>60526.0</v>
      </c>
      <c r="D68" s="12" t="s">
        <v>39</v>
      </c>
      <c r="E68" s="12" t="s">
        <v>57</v>
      </c>
      <c r="F68" s="13"/>
      <c r="G68" s="6" t="b">
        <v>1</v>
      </c>
      <c r="H68" s="6" t="b">
        <v>1</v>
      </c>
      <c r="I68" s="6" t="b">
        <v>0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1</v>
      </c>
      <c r="X68" s="6" t="b">
        <v>1</v>
      </c>
      <c r="Y68" s="6" t="b">
        <v>1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1</v>
      </c>
      <c r="AJ68" s="6" t="b">
        <v>0</v>
      </c>
      <c r="AK68" s="6" t="b">
        <v>0</v>
      </c>
      <c r="AL68" s="9" t="str">
        <f t="shared" si="1"/>
        <v>17 dari 31 (55%)</v>
      </c>
    </row>
    <row r="69" ht="22.5" customHeight="1">
      <c r="A69" s="10">
        <v>68.0</v>
      </c>
      <c r="B69" s="11"/>
      <c r="C69" s="22">
        <v>60225.0</v>
      </c>
      <c r="D69" s="12" t="s">
        <v>101</v>
      </c>
      <c r="E69" s="12" t="s">
        <v>122</v>
      </c>
      <c r="F69" s="14" t="s">
        <v>50</v>
      </c>
      <c r="G69" s="6" t="b">
        <v>1</v>
      </c>
      <c r="H69" s="6" t="b">
        <v>0</v>
      </c>
      <c r="I69" s="6" t="b">
        <v>0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0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0</v>
      </c>
      <c r="AL69" s="17" t="str">
        <f t="shared" si="1"/>
        <v>12 dari 31 (39%)</v>
      </c>
    </row>
    <row r="70" ht="22.5" customHeight="1">
      <c r="A70" s="2">
        <v>69.0</v>
      </c>
      <c r="B70" s="11"/>
      <c r="C70" s="22">
        <v>39853.0</v>
      </c>
      <c r="D70" s="12" t="s">
        <v>98</v>
      </c>
      <c r="E70" s="12" t="s">
        <v>142</v>
      </c>
      <c r="F70" s="13"/>
      <c r="G70" s="6" t="b">
        <v>1</v>
      </c>
      <c r="H70" s="6" t="b">
        <v>1</v>
      </c>
      <c r="I70" s="6" t="b">
        <v>0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1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13 dari 31 (42%)</v>
      </c>
    </row>
    <row r="71" ht="22.5" customHeight="1">
      <c r="A71" s="10">
        <v>70.0</v>
      </c>
      <c r="B71" s="11"/>
      <c r="C71" s="22">
        <v>60759.0</v>
      </c>
      <c r="D71" s="12" t="s">
        <v>68</v>
      </c>
      <c r="E71" s="12" t="s">
        <v>126</v>
      </c>
      <c r="F71" s="13"/>
      <c r="G71" s="6" t="b">
        <v>1</v>
      </c>
      <c r="H71" s="6" t="b">
        <v>1</v>
      </c>
      <c r="I71" s="6" t="b">
        <v>0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1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1</v>
      </c>
      <c r="AJ71" s="6" t="b">
        <v>0</v>
      </c>
      <c r="AK71" s="6" t="b">
        <v>0</v>
      </c>
      <c r="AL71" s="9" t="str">
        <f t="shared" si="1"/>
        <v>14 dari 31 (45%)</v>
      </c>
    </row>
    <row r="72" ht="22.5" customHeight="1">
      <c r="A72" s="10">
        <v>71.0</v>
      </c>
      <c r="B72" s="11"/>
      <c r="C72" s="20">
        <v>60796.0</v>
      </c>
      <c r="D72" s="12" t="s">
        <v>68</v>
      </c>
      <c r="E72" s="12" t="s">
        <v>126</v>
      </c>
      <c r="F72" s="13"/>
      <c r="G72" s="6" t="b">
        <v>1</v>
      </c>
      <c r="H72" s="6" t="b">
        <v>1</v>
      </c>
      <c r="I72" s="6" t="b">
        <v>1</v>
      </c>
      <c r="J72" s="6" t="b">
        <v>1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1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1</v>
      </c>
      <c r="AJ72" s="6" t="b">
        <v>0</v>
      </c>
      <c r="AK72" s="6" t="b">
        <v>0</v>
      </c>
      <c r="AL72" s="17" t="str">
        <f t="shared" si="1"/>
        <v>15 dari 31 (48%)</v>
      </c>
    </row>
    <row r="73" ht="22.5" customHeight="1">
      <c r="A73" s="2">
        <v>72.0</v>
      </c>
      <c r="B73" s="11"/>
      <c r="C73" s="20">
        <v>60982.0</v>
      </c>
      <c r="D73" s="12" t="s">
        <v>68</v>
      </c>
      <c r="E73" s="12" t="s">
        <v>126</v>
      </c>
      <c r="F73" s="13"/>
      <c r="G73" s="6" t="b">
        <v>1</v>
      </c>
      <c r="H73" s="6" t="b">
        <v>1</v>
      </c>
      <c r="I73" s="6" t="b">
        <v>1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1</v>
      </c>
      <c r="AJ73" s="6" t="b">
        <v>0</v>
      </c>
      <c r="AK73" s="6" t="b">
        <v>0</v>
      </c>
      <c r="AL73" s="9" t="str">
        <f t="shared" si="1"/>
        <v>15 dari 31 (48%)</v>
      </c>
    </row>
    <row r="74" ht="22.5" customHeight="1">
      <c r="A74" s="10">
        <v>73.0</v>
      </c>
      <c r="B74" s="11"/>
      <c r="C74" s="20">
        <v>60294.0</v>
      </c>
      <c r="D74" s="12" t="s">
        <v>39</v>
      </c>
      <c r="E74" s="12" t="s">
        <v>42</v>
      </c>
      <c r="F74" s="13"/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1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0</v>
      </c>
      <c r="AJ74" s="6" t="b">
        <v>0</v>
      </c>
      <c r="AK74" s="6" t="b">
        <v>0</v>
      </c>
      <c r="AL74" s="9" t="str">
        <f t="shared" si="1"/>
        <v>14 dari 31 (45%)</v>
      </c>
    </row>
    <row r="75" ht="22.5" customHeight="1">
      <c r="A75" s="10">
        <v>74.0</v>
      </c>
      <c r="B75" s="11"/>
      <c r="C75" s="20">
        <v>60626.0</v>
      </c>
      <c r="D75" s="12" t="s">
        <v>68</v>
      </c>
      <c r="E75" s="12" t="s">
        <v>126</v>
      </c>
      <c r="F75" s="13"/>
      <c r="G75" s="6" t="b">
        <v>1</v>
      </c>
      <c r="H75" s="6" t="b">
        <v>1</v>
      </c>
      <c r="I75" s="6" t="b">
        <v>1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1</v>
      </c>
      <c r="AJ75" s="6" t="b">
        <v>0</v>
      </c>
      <c r="AK75" s="6" t="b">
        <v>0</v>
      </c>
      <c r="AL75" s="17" t="str">
        <f t="shared" si="1"/>
        <v>15 dari 31 (48%)</v>
      </c>
    </row>
    <row r="76" ht="22.5" customHeight="1">
      <c r="A76" s="2">
        <v>75.0</v>
      </c>
      <c r="B76" s="11"/>
      <c r="C76" s="20">
        <v>59492.0</v>
      </c>
      <c r="D76" s="12" t="s">
        <v>68</v>
      </c>
      <c r="E76" s="12" t="s">
        <v>126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1</v>
      </c>
      <c r="AJ76" s="6" t="b">
        <v>0</v>
      </c>
      <c r="AK76" s="6" t="b">
        <v>0</v>
      </c>
      <c r="AL76" s="9" t="str">
        <f t="shared" si="1"/>
        <v>15 dari 31 (48%)</v>
      </c>
    </row>
    <row r="77" ht="22.5" customHeight="1">
      <c r="A77" s="10">
        <v>76.0</v>
      </c>
      <c r="B77" s="11"/>
      <c r="C77" s="22">
        <v>57822.0</v>
      </c>
      <c r="D77" s="12" t="s">
        <v>68</v>
      </c>
      <c r="E77" s="12" t="s">
        <v>126</v>
      </c>
      <c r="F77" s="13"/>
      <c r="G77" s="6" t="b">
        <v>1</v>
      </c>
      <c r="H77" s="6" t="b">
        <v>1</v>
      </c>
      <c r="I77" s="6" t="b">
        <v>1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1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1</v>
      </c>
      <c r="AJ77" s="6" t="b">
        <v>0</v>
      </c>
      <c r="AK77" s="6" t="b">
        <v>0</v>
      </c>
      <c r="AL77" s="9" t="str">
        <f t="shared" si="1"/>
        <v>15 dari 31 (48%)</v>
      </c>
    </row>
    <row r="78" ht="22.5" customHeight="1">
      <c r="A78" s="10">
        <v>77.0</v>
      </c>
      <c r="B78" s="11"/>
      <c r="C78" s="22">
        <v>61133.0</v>
      </c>
      <c r="D78" s="12" t="s">
        <v>51</v>
      </c>
      <c r="E78" s="12" t="s">
        <v>65</v>
      </c>
      <c r="F78" s="13"/>
      <c r="G78" s="6" t="b">
        <v>1</v>
      </c>
      <c r="H78" s="6" t="b">
        <v>1</v>
      </c>
      <c r="I78" s="6" t="b">
        <v>1</v>
      </c>
      <c r="J78" s="6" t="b">
        <v>1</v>
      </c>
      <c r="K78" s="6" t="b">
        <v>1</v>
      </c>
      <c r="L78" s="6" t="b">
        <v>1</v>
      </c>
      <c r="M78" s="6" t="b">
        <v>1</v>
      </c>
      <c r="N78" s="6" t="b">
        <v>1</v>
      </c>
      <c r="O78" s="6" t="b">
        <v>1</v>
      </c>
      <c r="P78" s="6" t="b">
        <v>1</v>
      </c>
      <c r="Q78" s="6" t="b">
        <v>1</v>
      </c>
      <c r="R78" s="6" t="b">
        <v>1</v>
      </c>
      <c r="S78" s="6" t="b">
        <v>1</v>
      </c>
      <c r="T78" s="6" t="b">
        <v>1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1</v>
      </c>
      <c r="AA78" s="6" t="b">
        <v>1</v>
      </c>
      <c r="AB78" s="6" t="b">
        <v>1</v>
      </c>
      <c r="AC78" s="6" t="b">
        <v>1</v>
      </c>
      <c r="AD78" s="6" t="b">
        <v>1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1</v>
      </c>
      <c r="AJ78" s="6" t="b">
        <v>0</v>
      </c>
      <c r="AK78" s="6" t="b">
        <v>0</v>
      </c>
      <c r="AL78" s="17" t="str">
        <f t="shared" si="1"/>
        <v>20 dari 31 (65%)</v>
      </c>
    </row>
    <row r="79" ht="22.5" customHeight="1">
      <c r="A79" s="2">
        <v>78.0</v>
      </c>
      <c r="B79" s="11"/>
      <c r="C79" s="22">
        <v>57841.0</v>
      </c>
      <c r="D79" s="12" t="s">
        <v>40</v>
      </c>
      <c r="E79" s="12" t="s">
        <v>43</v>
      </c>
      <c r="F79" s="14" t="s">
        <v>50</v>
      </c>
      <c r="G79" s="6" t="b">
        <v>1</v>
      </c>
      <c r="H79" s="6" t="b">
        <v>0</v>
      </c>
      <c r="I79" s="6" t="b">
        <v>0</v>
      </c>
      <c r="J79" s="6" t="b">
        <v>0</v>
      </c>
      <c r="K79" s="6" t="b">
        <v>0</v>
      </c>
      <c r="L79" s="6" t="b">
        <v>0</v>
      </c>
      <c r="M79" s="6" t="b">
        <v>0</v>
      </c>
      <c r="N79" s="6" t="b">
        <v>0</v>
      </c>
      <c r="O79" s="6" t="b">
        <v>0</v>
      </c>
      <c r="P79" s="6" t="b">
        <v>0</v>
      </c>
      <c r="Q79" s="6" t="b">
        <v>0</v>
      </c>
      <c r="R79" s="6" t="b">
        <v>0</v>
      </c>
      <c r="S79" s="6" t="b">
        <v>0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1 dari 31 (3%)</v>
      </c>
    </row>
    <row r="80" ht="22.5" customHeight="1">
      <c r="A80" s="10">
        <v>79.0</v>
      </c>
      <c r="B80" s="11"/>
      <c r="C80" s="22">
        <v>59705.0</v>
      </c>
      <c r="D80" s="12" t="s">
        <v>39</v>
      </c>
      <c r="E80" s="12" t="s">
        <v>42</v>
      </c>
      <c r="F80" s="13"/>
      <c r="G80" s="6" t="b">
        <v>1</v>
      </c>
      <c r="H80" s="6" t="b">
        <v>1</v>
      </c>
      <c r="I80" s="6" t="b">
        <v>0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1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1</v>
      </c>
      <c r="AJ80" s="6" t="b">
        <v>0</v>
      </c>
      <c r="AK80" s="6" t="b">
        <v>0</v>
      </c>
      <c r="AL80" s="9" t="str">
        <f t="shared" si="1"/>
        <v>14 dari 31 (45%)</v>
      </c>
    </row>
    <row r="81" ht="22.5" customHeight="1">
      <c r="A81" s="10">
        <v>80.0</v>
      </c>
      <c r="B81" s="11"/>
      <c r="C81" s="22">
        <v>56688.0</v>
      </c>
      <c r="D81" s="12" t="s">
        <v>68</v>
      </c>
      <c r="E81" s="12" t="s">
        <v>126</v>
      </c>
      <c r="F81" s="13"/>
      <c r="G81" s="6" t="b">
        <v>1</v>
      </c>
      <c r="H81" s="6" t="b">
        <v>1</v>
      </c>
      <c r="I81" s="6" t="b">
        <v>1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1</v>
      </c>
      <c r="AJ81" s="6" t="b">
        <v>0</v>
      </c>
      <c r="AK81" s="6" t="b">
        <v>0</v>
      </c>
      <c r="AL81" s="17" t="str">
        <f t="shared" si="1"/>
        <v>15 dari 31 (48%)</v>
      </c>
    </row>
    <row r="82" ht="22.5" customHeight="1">
      <c r="A82" s="2">
        <v>81.0</v>
      </c>
      <c r="B82" s="11"/>
      <c r="C82" s="20">
        <v>61135.0</v>
      </c>
      <c r="D82" s="12" t="s">
        <v>85</v>
      </c>
      <c r="E82" s="12" t="s">
        <v>88</v>
      </c>
      <c r="F82" s="13"/>
      <c r="G82" s="6" t="b">
        <v>1</v>
      </c>
      <c r="H82" s="6" t="b">
        <v>1</v>
      </c>
      <c r="I82" s="6" t="b">
        <v>1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1</v>
      </c>
      <c r="U82" s="6" t="b">
        <v>0</v>
      </c>
      <c r="V82" s="6" t="b">
        <v>0</v>
      </c>
      <c r="W82" s="6" t="b">
        <v>1</v>
      </c>
      <c r="X82" s="6" t="b">
        <v>1</v>
      </c>
      <c r="Y82" s="6" t="b">
        <v>1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1</v>
      </c>
      <c r="AJ82" s="6" t="b">
        <v>0</v>
      </c>
      <c r="AK82" s="6" t="b">
        <v>0</v>
      </c>
      <c r="AL82" s="9" t="str">
        <f t="shared" si="1"/>
        <v>18 dari 31 (58%)</v>
      </c>
    </row>
    <row r="83" ht="22.5" customHeight="1">
      <c r="A83" s="61">
        <v>82.0</v>
      </c>
      <c r="B83" s="62"/>
      <c r="C83" s="60">
        <v>61134.0</v>
      </c>
      <c r="D83" s="51" t="s">
        <v>98</v>
      </c>
      <c r="E83" s="51" t="s">
        <v>142</v>
      </c>
      <c r="F83" s="53"/>
      <c r="G83" s="35" t="b">
        <v>0</v>
      </c>
      <c r="H83" s="35" t="b">
        <v>0</v>
      </c>
      <c r="I83" s="35" t="b">
        <v>0</v>
      </c>
      <c r="J83" s="35" t="b">
        <v>0</v>
      </c>
      <c r="K83" s="35" t="b">
        <v>0</v>
      </c>
      <c r="L83" s="35" t="b">
        <v>0</v>
      </c>
      <c r="M83" s="35" t="b">
        <v>0</v>
      </c>
      <c r="N83" s="35" t="b">
        <v>0</v>
      </c>
      <c r="O83" s="35" t="b">
        <v>0</v>
      </c>
      <c r="P83" s="35" t="b">
        <v>0</v>
      </c>
      <c r="Q83" s="35" t="b">
        <v>0</v>
      </c>
      <c r="R83" s="35" t="b">
        <v>0</v>
      </c>
      <c r="S83" s="35" t="b">
        <v>0</v>
      </c>
      <c r="T83" s="35" t="b">
        <v>0</v>
      </c>
      <c r="U83" s="35" t="b">
        <v>0</v>
      </c>
      <c r="V83" s="35" t="b">
        <v>0</v>
      </c>
      <c r="W83" s="35" t="b">
        <v>0</v>
      </c>
      <c r="X83" s="35" t="b">
        <v>0</v>
      </c>
      <c r="Y83" s="35" t="b">
        <v>0</v>
      </c>
      <c r="Z83" s="35" t="b">
        <v>0</v>
      </c>
      <c r="AA83" s="35" t="b">
        <v>0</v>
      </c>
      <c r="AB83" s="35" t="b">
        <v>0</v>
      </c>
      <c r="AC83" s="35" t="b">
        <v>0</v>
      </c>
      <c r="AD83" s="35" t="b">
        <v>0</v>
      </c>
      <c r="AE83" s="35" t="b">
        <v>0</v>
      </c>
      <c r="AF83" s="35" t="b">
        <v>0</v>
      </c>
      <c r="AG83" s="35" t="b">
        <v>0</v>
      </c>
      <c r="AH83" s="35" t="b">
        <v>0</v>
      </c>
      <c r="AI83" s="35" t="b">
        <v>0</v>
      </c>
      <c r="AJ83" s="35" t="b">
        <v>0</v>
      </c>
      <c r="AK83" s="35" t="b">
        <v>0</v>
      </c>
      <c r="AL83" s="38" t="str">
        <f t="shared" si="1"/>
        <v>0 dari 31 (0%)</v>
      </c>
    </row>
    <row r="84" ht="22.5" customHeight="1">
      <c r="A84" s="10">
        <v>83.0</v>
      </c>
      <c r="B84" s="11"/>
      <c r="C84" s="22">
        <v>60136.0</v>
      </c>
      <c r="D84" s="12" t="s">
        <v>41</v>
      </c>
      <c r="E84" s="12" t="s">
        <v>136</v>
      </c>
      <c r="F84" s="13"/>
      <c r="G84" s="6" t="b">
        <v>1</v>
      </c>
      <c r="H84" s="6" t="b">
        <v>1</v>
      </c>
      <c r="I84" s="6" t="b">
        <v>0</v>
      </c>
      <c r="J84" s="6" t="b">
        <v>1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1</v>
      </c>
      <c r="P84" s="6" t="b">
        <v>1</v>
      </c>
      <c r="Q84" s="6" t="b">
        <v>1</v>
      </c>
      <c r="R84" s="6" t="b">
        <v>1</v>
      </c>
      <c r="S84" s="6" t="b">
        <v>1</v>
      </c>
      <c r="T84" s="6" t="b">
        <v>1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13 dari 31 (42%)</v>
      </c>
    </row>
    <row r="85" ht="22.5" customHeight="1">
      <c r="A85" s="2">
        <v>84.0</v>
      </c>
      <c r="B85" s="11"/>
      <c r="C85" s="22">
        <v>61136.0</v>
      </c>
      <c r="D85" s="12" t="s">
        <v>54</v>
      </c>
      <c r="E85" s="12" t="s">
        <v>55</v>
      </c>
      <c r="F85" s="13"/>
      <c r="G85" s="6" t="b">
        <v>1</v>
      </c>
      <c r="H85" s="6" t="b">
        <v>1</v>
      </c>
      <c r="I85" s="6" t="b">
        <v>1</v>
      </c>
      <c r="J85" s="6" t="b">
        <v>1</v>
      </c>
      <c r="K85" s="6" t="b">
        <v>1</v>
      </c>
      <c r="L85" s="6" t="b">
        <v>1</v>
      </c>
      <c r="M85" s="6" t="b">
        <v>1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1</v>
      </c>
      <c r="S85" s="6" t="b">
        <v>1</v>
      </c>
      <c r="T85" s="6" t="b">
        <v>1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1</v>
      </c>
      <c r="AA85" s="6" t="b">
        <v>1</v>
      </c>
      <c r="AB85" s="6" t="b">
        <v>1</v>
      </c>
      <c r="AC85" s="6" t="b">
        <v>1</v>
      </c>
      <c r="AD85" s="6" t="b">
        <v>1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1</v>
      </c>
      <c r="AJ85" s="6" t="b">
        <v>0</v>
      </c>
      <c r="AK85" s="6" t="b">
        <v>0</v>
      </c>
      <c r="AL85" s="9" t="str">
        <f t="shared" si="1"/>
        <v>20 dari 31 (65%)</v>
      </c>
    </row>
    <row r="86" ht="22.5" customHeight="1">
      <c r="A86" s="10">
        <v>85.0</v>
      </c>
      <c r="B86" s="11"/>
      <c r="C86" s="22">
        <v>61138.0</v>
      </c>
      <c r="D86" s="12" t="s">
        <v>39</v>
      </c>
      <c r="E86" s="12" t="s">
        <v>42</v>
      </c>
      <c r="F86" s="13"/>
      <c r="G86" s="6" t="b">
        <v>1</v>
      </c>
      <c r="H86" s="6" t="b">
        <v>1</v>
      </c>
      <c r="I86" s="6" t="b">
        <v>1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1</v>
      </c>
      <c r="U86" s="6" t="b">
        <v>0</v>
      </c>
      <c r="V86" s="6" t="b">
        <v>0</v>
      </c>
      <c r="W86" s="6" t="b">
        <v>1</v>
      </c>
      <c r="X86" s="6" t="b">
        <v>1</v>
      </c>
      <c r="Y86" s="6" t="b">
        <v>1</v>
      </c>
      <c r="Z86" s="6" t="b">
        <v>1</v>
      </c>
      <c r="AA86" s="6" t="b">
        <v>1</v>
      </c>
      <c r="AB86" s="6" t="b">
        <v>1</v>
      </c>
      <c r="AC86" s="6" t="b">
        <v>1</v>
      </c>
      <c r="AD86" s="6" t="b">
        <v>1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1</v>
      </c>
      <c r="AJ86" s="6" t="b">
        <v>0</v>
      </c>
      <c r="AK86" s="6" t="b">
        <v>0</v>
      </c>
      <c r="AL86" s="9" t="str">
        <f t="shared" si="1"/>
        <v>23 dari 31 (74%)</v>
      </c>
    </row>
    <row r="87" ht="22.5" customHeight="1">
      <c r="A87" s="10">
        <v>86.0</v>
      </c>
      <c r="B87" s="11"/>
      <c r="C87" s="22">
        <v>60742.0</v>
      </c>
      <c r="D87" s="12" t="s">
        <v>41</v>
      </c>
      <c r="E87" s="12" t="s">
        <v>136</v>
      </c>
      <c r="F87" s="13"/>
      <c r="G87" s="6" t="b">
        <v>1</v>
      </c>
      <c r="H87" s="6" t="b">
        <v>1</v>
      </c>
      <c r="I87" s="6" t="b">
        <v>1</v>
      </c>
      <c r="J87" s="6" t="b">
        <v>1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1</v>
      </c>
      <c r="S87" s="6" t="b">
        <v>1</v>
      </c>
      <c r="T87" s="6" t="b">
        <v>1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14 dari 31 (45%)</v>
      </c>
    </row>
    <row r="88" ht="22.5" customHeight="1">
      <c r="A88" s="2">
        <v>87.0</v>
      </c>
      <c r="B88" s="11"/>
      <c r="C88" s="22">
        <v>54151.0</v>
      </c>
      <c r="D88" s="12" t="s">
        <v>85</v>
      </c>
      <c r="E88" s="12" t="s">
        <v>90</v>
      </c>
      <c r="F88" s="15" t="s">
        <v>50</v>
      </c>
      <c r="G88" s="6" t="b">
        <v>1</v>
      </c>
      <c r="H88" s="6" t="b">
        <v>0</v>
      </c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  <c r="P88" s="6" t="b">
        <v>0</v>
      </c>
      <c r="Q88" s="6" t="b">
        <v>0</v>
      </c>
      <c r="R88" s="6" t="b">
        <v>0</v>
      </c>
      <c r="S88" s="6" t="b">
        <v>0</v>
      </c>
      <c r="T88" s="6" t="b">
        <v>0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1 dari 31 (3%)</v>
      </c>
    </row>
    <row r="89" ht="22.5" customHeight="1">
      <c r="A89" s="10">
        <v>88.0</v>
      </c>
      <c r="B89" s="11"/>
      <c r="C89" s="22">
        <v>60365.0</v>
      </c>
      <c r="D89" s="12" t="s">
        <v>85</v>
      </c>
      <c r="E89" s="12" t="s">
        <v>90</v>
      </c>
      <c r="F89" s="15" t="s">
        <v>50</v>
      </c>
      <c r="G89" s="6" t="b">
        <v>1</v>
      </c>
      <c r="H89" s="6" t="b">
        <v>0</v>
      </c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6" t="b">
        <v>0</v>
      </c>
      <c r="R89" s="6" t="b">
        <v>0</v>
      </c>
      <c r="S89" s="6" t="b">
        <v>0</v>
      </c>
      <c r="T89" s="6" t="b">
        <v>0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1 dari 31 (3%)</v>
      </c>
    </row>
    <row r="90" ht="22.5" customHeight="1">
      <c r="A90" s="10">
        <v>89.0</v>
      </c>
      <c r="B90" s="11"/>
      <c r="C90" s="22">
        <v>48475.0</v>
      </c>
      <c r="D90" s="12" t="s">
        <v>63</v>
      </c>
      <c r="E90" s="12" t="s">
        <v>58</v>
      </c>
      <c r="F90" s="13"/>
      <c r="G90" s="6" t="b">
        <v>1</v>
      </c>
      <c r="H90" s="6" t="b">
        <v>1</v>
      </c>
      <c r="I90" s="6" t="b">
        <v>0</v>
      </c>
      <c r="J90" s="6" t="b">
        <v>1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1</v>
      </c>
      <c r="S90" s="6" t="b">
        <v>1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12 dari 31 (39%)</v>
      </c>
    </row>
    <row r="91" ht="22.5" customHeight="1">
      <c r="A91" s="2">
        <v>90.0</v>
      </c>
      <c r="B91" s="11"/>
      <c r="C91" s="22">
        <v>60337.0</v>
      </c>
      <c r="D91" s="12" t="s">
        <v>63</v>
      </c>
      <c r="E91" s="12" t="s">
        <v>58</v>
      </c>
      <c r="F91" s="13"/>
      <c r="G91" s="6" t="b">
        <v>1</v>
      </c>
      <c r="H91" s="6" t="b">
        <v>1</v>
      </c>
      <c r="I91" s="6" t="b">
        <v>0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0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0</v>
      </c>
      <c r="AJ91" s="6" t="b">
        <v>0</v>
      </c>
      <c r="AK91" s="6" t="b">
        <v>0</v>
      </c>
      <c r="AL91" s="9" t="str">
        <f t="shared" si="1"/>
        <v>12 dari 31 (39%)</v>
      </c>
    </row>
    <row r="92" ht="22.5" customHeight="1">
      <c r="A92" s="10">
        <v>91.0</v>
      </c>
      <c r="B92" s="11"/>
      <c r="C92" s="22">
        <v>59710.0</v>
      </c>
      <c r="D92" s="12" t="s">
        <v>63</v>
      </c>
      <c r="E92" s="12" t="s">
        <v>58</v>
      </c>
      <c r="F92" s="13"/>
      <c r="G92" s="6" t="b">
        <v>1</v>
      </c>
      <c r="H92" s="6" t="b">
        <v>1</v>
      </c>
      <c r="I92" s="6" t="b">
        <v>1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1</v>
      </c>
      <c r="S92" s="6" t="b">
        <v>1</v>
      </c>
      <c r="T92" s="6" t="b">
        <v>0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1</v>
      </c>
      <c r="AJ92" s="6" t="b">
        <v>0</v>
      </c>
      <c r="AK92" s="6" t="b">
        <v>0</v>
      </c>
      <c r="AL92" s="9" t="str">
        <f t="shared" si="1"/>
        <v>14 dari 31 (45%)</v>
      </c>
    </row>
    <row r="93" ht="22.5" customHeight="1">
      <c r="A93" s="10">
        <v>92.0</v>
      </c>
      <c r="B93" s="11"/>
      <c r="C93" s="22">
        <v>60633.0</v>
      </c>
      <c r="D93" s="12" t="s">
        <v>63</v>
      </c>
      <c r="E93" s="12" t="s">
        <v>58</v>
      </c>
      <c r="F93" s="13"/>
      <c r="G93" s="6" t="b">
        <v>1</v>
      </c>
      <c r="H93" s="6" t="b">
        <v>1</v>
      </c>
      <c r="I93" s="6" t="b">
        <v>0</v>
      </c>
      <c r="J93" s="6" t="b">
        <v>1</v>
      </c>
      <c r="K93" s="6" t="b">
        <v>1</v>
      </c>
      <c r="L93" s="6" t="b">
        <v>1</v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1</v>
      </c>
      <c r="S93" s="6" t="b">
        <v>1</v>
      </c>
      <c r="T93" s="6" t="b">
        <v>0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0</v>
      </c>
      <c r="AJ93" s="6" t="b">
        <v>0</v>
      </c>
      <c r="AK93" s="6" t="b">
        <v>0</v>
      </c>
      <c r="AL93" s="17" t="str">
        <f t="shared" si="1"/>
        <v>12 dari 31 (39%)</v>
      </c>
    </row>
    <row r="94" ht="22.5" customHeight="1">
      <c r="A94" s="2">
        <v>93.0</v>
      </c>
      <c r="B94" s="11"/>
      <c r="C94" s="22">
        <v>58474.0</v>
      </c>
      <c r="D94" s="12" t="s">
        <v>63</v>
      </c>
      <c r="E94" s="12" t="s">
        <v>58</v>
      </c>
      <c r="F94" s="13"/>
      <c r="G94" s="6" t="b">
        <v>1</v>
      </c>
      <c r="H94" s="6" t="b">
        <v>1</v>
      </c>
      <c r="I94" s="6" t="b">
        <v>1</v>
      </c>
      <c r="J94" s="6" t="b">
        <v>1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0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1</v>
      </c>
      <c r="AJ94" s="6" t="b">
        <v>0</v>
      </c>
      <c r="AK94" s="6" t="b">
        <v>0</v>
      </c>
      <c r="AL94" s="9" t="str">
        <f t="shared" si="1"/>
        <v>14 dari 31 (45%)</v>
      </c>
    </row>
    <row r="95" ht="22.5" customHeight="1">
      <c r="A95" s="10">
        <v>94.0</v>
      </c>
      <c r="B95" s="11"/>
      <c r="C95" s="22">
        <v>59483.0</v>
      </c>
      <c r="D95" s="12" t="s">
        <v>63</v>
      </c>
      <c r="E95" s="12" t="s">
        <v>58</v>
      </c>
      <c r="F95" s="13"/>
      <c r="G95" s="6" t="b">
        <v>1</v>
      </c>
      <c r="H95" s="6" t="b">
        <v>1</v>
      </c>
      <c r="I95" s="6" t="b">
        <v>0</v>
      </c>
      <c r="J95" s="6" t="b">
        <v>1</v>
      </c>
      <c r="K95" s="6" t="b">
        <v>1</v>
      </c>
      <c r="L95" s="6" t="b">
        <v>1</v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1</v>
      </c>
      <c r="S95" s="6" t="b">
        <v>1</v>
      </c>
      <c r="T95" s="6" t="b">
        <v>0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0</v>
      </c>
      <c r="AJ95" s="6" t="b">
        <v>0</v>
      </c>
      <c r="AK95" s="6" t="b">
        <v>0</v>
      </c>
      <c r="AL95" s="9" t="str">
        <f t="shared" si="1"/>
        <v>12 dari 31 (39%)</v>
      </c>
    </row>
    <row r="96" ht="22.5" customHeight="1">
      <c r="A96" s="10">
        <v>95.0</v>
      </c>
      <c r="B96" s="11"/>
      <c r="C96" s="22">
        <v>59784.0</v>
      </c>
      <c r="D96" s="12" t="s">
        <v>63</v>
      </c>
      <c r="E96" s="12" t="s">
        <v>58</v>
      </c>
      <c r="F96" s="13"/>
      <c r="G96" s="6" t="b">
        <v>1</v>
      </c>
      <c r="H96" s="6" t="b">
        <v>1</v>
      </c>
      <c r="I96" s="6" t="b">
        <v>0</v>
      </c>
      <c r="J96" s="6" t="b">
        <v>1</v>
      </c>
      <c r="K96" s="6" t="b">
        <v>1</v>
      </c>
      <c r="L96" s="6" t="b">
        <v>1</v>
      </c>
      <c r="M96" s="6" t="b">
        <v>1</v>
      </c>
      <c r="N96" s="6" t="b">
        <v>1</v>
      </c>
      <c r="O96" s="6" t="b">
        <v>1</v>
      </c>
      <c r="P96" s="6" t="b">
        <v>1</v>
      </c>
      <c r="Q96" s="6" t="b">
        <v>1</v>
      </c>
      <c r="R96" s="6" t="b">
        <v>1</v>
      </c>
      <c r="S96" s="6" t="b">
        <v>1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12 dari 31 (39%)</v>
      </c>
    </row>
    <row r="97" ht="22.5" customHeight="1">
      <c r="A97" s="2">
        <v>96.0</v>
      </c>
      <c r="B97" s="11"/>
      <c r="C97" s="22">
        <v>59414.0</v>
      </c>
      <c r="D97" s="12" t="s">
        <v>63</v>
      </c>
      <c r="E97" s="12" t="s">
        <v>58</v>
      </c>
      <c r="F97" s="13"/>
      <c r="G97" s="6" t="b">
        <v>1</v>
      </c>
      <c r="H97" s="6" t="b">
        <v>1</v>
      </c>
      <c r="I97" s="6" t="b">
        <v>0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1</v>
      </c>
      <c r="S97" s="6" t="b">
        <v>1</v>
      </c>
      <c r="T97" s="6" t="b">
        <v>0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0</v>
      </c>
      <c r="AJ97" s="6" t="b">
        <v>0</v>
      </c>
      <c r="AK97" s="6" t="b">
        <v>0</v>
      </c>
      <c r="AL97" s="9" t="str">
        <f t="shared" si="1"/>
        <v>12 dari 31 (39%)</v>
      </c>
    </row>
    <row r="98" ht="22.5" customHeight="1">
      <c r="A98" s="10">
        <v>97.0</v>
      </c>
      <c r="B98" s="11"/>
      <c r="C98" s="22">
        <v>60844.0</v>
      </c>
      <c r="D98" s="12" t="s">
        <v>63</v>
      </c>
      <c r="E98" s="12" t="s">
        <v>58</v>
      </c>
      <c r="F98" s="13"/>
      <c r="G98" s="6" t="b">
        <v>1</v>
      </c>
      <c r="H98" s="6" t="b">
        <v>1</v>
      </c>
      <c r="I98" s="6" t="b">
        <v>0</v>
      </c>
      <c r="J98" s="6" t="b">
        <v>1</v>
      </c>
      <c r="K98" s="6" t="b">
        <v>1</v>
      </c>
      <c r="L98" s="6" t="b">
        <v>1</v>
      </c>
      <c r="M98" s="6" t="b">
        <v>1</v>
      </c>
      <c r="N98" s="6" t="b">
        <v>1</v>
      </c>
      <c r="O98" s="6" t="b">
        <v>1</v>
      </c>
      <c r="P98" s="6" t="b">
        <v>1</v>
      </c>
      <c r="Q98" s="6" t="b">
        <v>1</v>
      </c>
      <c r="R98" s="6" t="b">
        <v>1</v>
      </c>
      <c r="S98" s="6" t="b">
        <v>1</v>
      </c>
      <c r="T98" s="6" t="b">
        <v>0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12 dari 31 (39%)</v>
      </c>
    </row>
    <row r="99" ht="22.5" customHeight="1">
      <c r="A99" s="10">
        <v>98.0</v>
      </c>
      <c r="B99" s="11"/>
      <c r="C99" s="22">
        <v>60218.0</v>
      </c>
      <c r="D99" s="12" t="s">
        <v>63</v>
      </c>
      <c r="E99" s="12" t="s">
        <v>58</v>
      </c>
      <c r="F99" s="13"/>
      <c r="G99" s="6" t="b">
        <v>1</v>
      </c>
      <c r="H99" s="6" t="b">
        <v>1</v>
      </c>
      <c r="I99" s="6" t="b">
        <v>0</v>
      </c>
      <c r="J99" s="6" t="b">
        <v>1</v>
      </c>
      <c r="K99" s="6" t="b">
        <v>1</v>
      </c>
      <c r="L99" s="6" t="b">
        <v>1</v>
      </c>
      <c r="M99" s="6" t="b">
        <v>1</v>
      </c>
      <c r="N99" s="6" t="b">
        <v>1</v>
      </c>
      <c r="O99" s="6" t="b">
        <v>1</v>
      </c>
      <c r="P99" s="6" t="b">
        <v>1</v>
      </c>
      <c r="Q99" s="6" t="b">
        <v>1</v>
      </c>
      <c r="R99" s="6" t="b">
        <v>1</v>
      </c>
      <c r="S99" s="6" t="b">
        <v>1</v>
      </c>
      <c r="T99" s="6" t="b">
        <v>0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12 dari 31 (39%)</v>
      </c>
    </row>
    <row r="100" ht="22.5" customHeight="1">
      <c r="A100" s="2">
        <v>99.0</v>
      </c>
      <c r="B100" s="11"/>
      <c r="C100" s="22">
        <v>58313.0</v>
      </c>
      <c r="D100" s="12" t="s">
        <v>63</v>
      </c>
      <c r="E100" s="12" t="s">
        <v>58</v>
      </c>
      <c r="F100" s="13"/>
      <c r="G100" s="6" t="b">
        <v>1</v>
      </c>
      <c r="H100" s="6" t="b">
        <v>1</v>
      </c>
      <c r="I100" s="6" t="b">
        <v>0</v>
      </c>
      <c r="J100" s="6" t="b">
        <v>1</v>
      </c>
      <c r="K100" s="6" t="b">
        <v>1</v>
      </c>
      <c r="L100" s="6" t="b">
        <v>1</v>
      </c>
      <c r="M100" s="6" t="b">
        <v>1</v>
      </c>
      <c r="N100" s="6" t="b">
        <v>1</v>
      </c>
      <c r="O100" s="6" t="b">
        <v>1</v>
      </c>
      <c r="P100" s="6" t="b">
        <v>1</v>
      </c>
      <c r="Q100" s="6" t="b">
        <v>1</v>
      </c>
      <c r="R100" s="6" t="b">
        <v>1</v>
      </c>
      <c r="S100" s="6" t="b">
        <v>1</v>
      </c>
      <c r="T100" s="6" t="b">
        <v>0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0</v>
      </c>
      <c r="AJ100" s="6" t="b">
        <v>0</v>
      </c>
      <c r="AK100" s="6" t="b">
        <v>0</v>
      </c>
      <c r="AL100" s="9" t="str">
        <f t="shared" si="1"/>
        <v>12 dari 31 (39%)</v>
      </c>
    </row>
    <row r="101" ht="22.5" customHeight="1">
      <c r="A101" s="10">
        <v>100.0</v>
      </c>
      <c r="B101" s="11"/>
      <c r="C101" s="22">
        <v>52436.0</v>
      </c>
      <c r="D101" s="12" t="s">
        <v>63</v>
      </c>
      <c r="E101" s="12" t="s">
        <v>58</v>
      </c>
      <c r="F101" s="15" t="s">
        <v>50</v>
      </c>
      <c r="G101" s="6" t="b">
        <v>1</v>
      </c>
      <c r="H101" s="6" t="b">
        <v>0</v>
      </c>
      <c r="I101" s="6" t="b">
        <v>0</v>
      </c>
      <c r="J101" s="6" t="b">
        <v>1</v>
      </c>
      <c r="K101" s="6" t="b">
        <v>1</v>
      </c>
      <c r="L101" s="6" t="b">
        <v>1</v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b">
        <v>1</v>
      </c>
      <c r="T101" s="6" t="b">
        <v>0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0</v>
      </c>
      <c r="AJ101" s="6" t="b">
        <v>0</v>
      </c>
      <c r="AK101" s="6" t="b">
        <v>0</v>
      </c>
      <c r="AL101" s="9" t="str">
        <f t="shared" si="1"/>
        <v>11 dari 31 (35%)</v>
      </c>
    </row>
    <row r="102" ht="22.5" customHeight="1">
      <c r="A102" s="10">
        <v>101.0</v>
      </c>
      <c r="B102" s="11"/>
      <c r="C102" s="20">
        <v>60306.0</v>
      </c>
      <c r="D102" s="12" t="s">
        <v>63</v>
      </c>
      <c r="E102" s="12" t="s">
        <v>58</v>
      </c>
      <c r="F102" s="13"/>
      <c r="G102" s="6" t="b">
        <v>1</v>
      </c>
      <c r="H102" s="6" t="b">
        <v>1</v>
      </c>
      <c r="I102" s="6" t="b">
        <v>0</v>
      </c>
      <c r="J102" s="6" t="b">
        <v>1</v>
      </c>
      <c r="K102" s="6" t="b">
        <v>1</v>
      </c>
      <c r="L102" s="6" t="b">
        <v>1</v>
      </c>
      <c r="M102" s="6" t="b">
        <v>1</v>
      </c>
      <c r="N102" s="6" t="b">
        <v>1</v>
      </c>
      <c r="O102" s="6" t="b">
        <v>1</v>
      </c>
      <c r="P102" s="6" t="b">
        <v>1</v>
      </c>
      <c r="Q102" s="6" t="b">
        <v>1</v>
      </c>
      <c r="R102" s="6" t="b">
        <v>1</v>
      </c>
      <c r="S102" s="6" t="b">
        <v>1</v>
      </c>
      <c r="T102" s="6" t="b">
        <v>0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0</v>
      </c>
      <c r="AJ102" s="6" t="b">
        <v>0</v>
      </c>
      <c r="AK102" s="6" t="b">
        <v>0</v>
      </c>
      <c r="AL102" s="17" t="str">
        <f t="shared" si="1"/>
        <v>12 dari 31 (39%)</v>
      </c>
    </row>
    <row r="103" ht="22.5" customHeight="1">
      <c r="A103" s="2">
        <v>102.0</v>
      </c>
      <c r="B103" s="11"/>
      <c r="C103" s="20">
        <v>57762.0</v>
      </c>
      <c r="D103" s="12" t="s">
        <v>63</v>
      </c>
      <c r="E103" s="12" t="s">
        <v>58</v>
      </c>
      <c r="F103" s="13"/>
      <c r="G103" s="6" t="b">
        <v>1</v>
      </c>
      <c r="H103" s="6" t="b">
        <v>1</v>
      </c>
      <c r="I103" s="6" t="b">
        <v>0</v>
      </c>
      <c r="J103" s="6" t="b">
        <v>1</v>
      </c>
      <c r="K103" s="6" t="b">
        <v>1</v>
      </c>
      <c r="L103" s="6" t="b">
        <v>1</v>
      </c>
      <c r="M103" s="6" t="b">
        <v>1</v>
      </c>
      <c r="N103" s="6" t="b">
        <v>1</v>
      </c>
      <c r="O103" s="6" t="b">
        <v>1</v>
      </c>
      <c r="P103" s="6" t="b">
        <v>1</v>
      </c>
      <c r="Q103" s="6" t="b">
        <v>1</v>
      </c>
      <c r="R103" s="6" t="b">
        <v>1</v>
      </c>
      <c r="S103" s="6" t="b">
        <v>1</v>
      </c>
      <c r="T103" s="6" t="b">
        <v>0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12 dari 31 (39%)</v>
      </c>
    </row>
    <row r="104" ht="22.5" customHeight="1">
      <c r="A104" s="10">
        <v>103.0</v>
      </c>
      <c r="B104" s="11"/>
      <c r="C104" s="20">
        <v>44119.0</v>
      </c>
      <c r="D104" s="12" t="s">
        <v>63</v>
      </c>
      <c r="E104" s="12" t="s">
        <v>58</v>
      </c>
      <c r="F104" s="13"/>
      <c r="G104" s="6" t="b">
        <v>1</v>
      </c>
      <c r="H104" s="6" t="b">
        <v>1</v>
      </c>
      <c r="I104" s="6" t="b">
        <v>0</v>
      </c>
      <c r="J104" s="6" t="b">
        <v>1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0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0</v>
      </c>
      <c r="AJ104" s="6" t="b">
        <v>0</v>
      </c>
      <c r="AK104" s="6" t="b">
        <v>0</v>
      </c>
      <c r="AL104" s="9" t="str">
        <f t="shared" si="1"/>
        <v>12 dari 31 (39%)</v>
      </c>
    </row>
    <row r="105" ht="22.5" customHeight="1">
      <c r="A105" s="10">
        <v>104.0</v>
      </c>
      <c r="B105" s="11"/>
      <c r="C105" s="20">
        <v>50440.0</v>
      </c>
      <c r="D105" s="12" t="s">
        <v>63</v>
      </c>
      <c r="E105" s="12" t="s">
        <v>58</v>
      </c>
      <c r="F105" s="13"/>
      <c r="G105" s="6" t="b">
        <v>1</v>
      </c>
      <c r="H105" s="6" t="b">
        <v>1</v>
      </c>
      <c r="I105" s="6" t="b">
        <v>0</v>
      </c>
      <c r="J105" s="6" t="b">
        <v>1</v>
      </c>
      <c r="K105" s="6" t="b">
        <v>1</v>
      </c>
      <c r="L105" s="6" t="b">
        <v>1</v>
      </c>
      <c r="M105" s="6" t="b">
        <v>1</v>
      </c>
      <c r="N105" s="6" t="b">
        <v>1</v>
      </c>
      <c r="O105" s="6" t="b">
        <v>1</v>
      </c>
      <c r="P105" s="6" t="b">
        <v>1</v>
      </c>
      <c r="Q105" s="6" t="b">
        <v>1</v>
      </c>
      <c r="R105" s="6" t="b">
        <v>1</v>
      </c>
      <c r="S105" s="6" t="b">
        <v>1</v>
      </c>
      <c r="T105" s="6" t="b">
        <v>0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1</v>
      </c>
      <c r="AA105" s="6" t="b">
        <v>1</v>
      </c>
      <c r="AB105" s="6" t="b">
        <v>1</v>
      </c>
      <c r="AC105" s="6" t="b">
        <v>1</v>
      </c>
      <c r="AD105" s="6" t="b">
        <v>1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17" t="str">
        <f t="shared" si="1"/>
        <v>17 dari 31 (55%)</v>
      </c>
    </row>
    <row r="106" ht="22.5" customHeight="1">
      <c r="A106" s="2">
        <v>105.0</v>
      </c>
      <c r="B106" s="11"/>
      <c r="C106" s="20">
        <v>19935.0</v>
      </c>
      <c r="D106" s="12" t="s">
        <v>63</v>
      </c>
      <c r="E106" s="12" t="s">
        <v>58</v>
      </c>
      <c r="F106" s="15" t="s">
        <v>50</v>
      </c>
      <c r="G106" s="6" t="b">
        <v>1</v>
      </c>
      <c r="H106" s="6" t="b">
        <v>0</v>
      </c>
      <c r="I106" s="6" t="b">
        <v>0</v>
      </c>
      <c r="J106" s="6" t="b">
        <v>0</v>
      </c>
      <c r="K106" s="6" t="b">
        <v>0</v>
      </c>
      <c r="L106" s="6" t="b">
        <v>1</v>
      </c>
      <c r="M106" s="6" t="b">
        <v>1</v>
      </c>
      <c r="N106" s="6" t="b">
        <v>1</v>
      </c>
      <c r="O106" s="6" t="b">
        <v>1</v>
      </c>
      <c r="P106" s="6" t="b">
        <v>0</v>
      </c>
      <c r="Q106" s="6" t="b">
        <v>0</v>
      </c>
      <c r="R106" s="6" t="b">
        <v>1</v>
      </c>
      <c r="S106" s="6" t="b">
        <v>1</v>
      </c>
      <c r="T106" s="6" t="b">
        <v>0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1</v>
      </c>
      <c r="AJ106" s="6" t="b">
        <v>0</v>
      </c>
      <c r="AK106" s="6" t="b">
        <v>0</v>
      </c>
      <c r="AL106" s="9" t="str">
        <f t="shared" si="1"/>
        <v>8 dari 31 (26%)</v>
      </c>
    </row>
    <row r="107" ht="22.5" customHeight="1">
      <c r="A107" s="10">
        <v>106.0</v>
      </c>
      <c r="B107" s="11"/>
      <c r="C107" s="22">
        <v>59710.0</v>
      </c>
      <c r="D107" s="12" t="s">
        <v>63</v>
      </c>
      <c r="E107" s="12" t="s">
        <v>58</v>
      </c>
      <c r="F107" s="15" t="s">
        <v>50</v>
      </c>
      <c r="G107" s="6" t="b">
        <v>1</v>
      </c>
      <c r="H107" s="6" t="b">
        <v>0</v>
      </c>
      <c r="I107" s="6" t="b">
        <v>0</v>
      </c>
      <c r="J107" s="6" t="b">
        <v>0</v>
      </c>
      <c r="K107" s="6" t="b">
        <v>1</v>
      </c>
      <c r="L107" s="6" t="b">
        <v>1</v>
      </c>
      <c r="M107" s="6" t="b">
        <v>1</v>
      </c>
      <c r="N107" s="6" t="b">
        <v>1</v>
      </c>
      <c r="O107" s="6" t="b">
        <v>1</v>
      </c>
      <c r="P107" s="6" t="b">
        <v>0</v>
      </c>
      <c r="Q107" s="6" t="b">
        <v>0</v>
      </c>
      <c r="R107" s="6" t="b">
        <v>1</v>
      </c>
      <c r="S107" s="6" t="b">
        <v>1</v>
      </c>
      <c r="T107" s="6" t="b">
        <v>0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1</v>
      </c>
      <c r="AJ107" s="6" t="b">
        <v>0</v>
      </c>
      <c r="AK107" s="6" t="b">
        <v>0</v>
      </c>
      <c r="AL107" s="9" t="str">
        <f t="shared" si="1"/>
        <v>9 dari 31 (29%)</v>
      </c>
    </row>
    <row r="108" ht="22.5" customHeight="1">
      <c r="A108" s="10">
        <v>107.0</v>
      </c>
      <c r="B108" s="11"/>
      <c r="C108" s="22">
        <v>61144.0</v>
      </c>
      <c r="D108" s="12" t="s">
        <v>93</v>
      </c>
      <c r="E108" s="12" t="s">
        <v>151</v>
      </c>
      <c r="F108" s="15" t="s">
        <v>50</v>
      </c>
      <c r="G108" s="6" t="b">
        <v>1</v>
      </c>
      <c r="H108" s="6" t="b">
        <v>0</v>
      </c>
      <c r="I108" s="6" t="b">
        <v>0</v>
      </c>
      <c r="J108" s="6" t="b">
        <v>1</v>
      </c>
      <c r="K108" s="6" t="b">
        <v>1</v>
      </c>
      <c r="L108" s="6" t="b">
        <v>1</v>
      </c>
      <c r="M108" s="6" t="b">
        <v>1</v>
      </c>
      <c r="N108" s="6" t="b">
        <v>1</v>
      </c>
      <c r="O108" s="6" t="b">
        <v>1</v>
      </c>
      <c r="P108" s="6" t="b">
        <v>1</v>
      </c>
      <c r="Q108" s="6" t="b">
        <v>1</v>
      </c>
      <c r="R108" s="6" t="b">
        <v>1</v>
      </c>
      <c r="S108" s="6" t="b">
        <v>1</v>
      </c>
      <c r="T108" s="6" t="b">
        <v>0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0</v>
      </c>
      <c r="AJ108" s="6" t="b">
        <v>0</v>
      </c>
      <c r="AK108" s="6" t="b">
        <v>0</v>
      </c>
      <c r="AL108" s="17" t="str">
        <f t="shared" si="1"/>
        <v>11 dari 31 (35%)</v>
      </c>
    </row>
    <row r="109" ht="22.5" customHeight="1">
      <c r="A109" s="2">
        <v>108.0</v>
      </c>
      <c r="B109" s="11"/>
      <c r="C109" s="22">
        <v>61146.0</v>
      </c>
      <c r="D109" s="12" t="s">
        <v>93</v>
      </c>
      <c r="E109" s="12" t="s">
        <v>113</v>
      </c>
      <c r="F109" s="13"/>
      <c r="G109" s="6" t="b">
        <v>1</v>
      </c>
      <c r="H109" s="6" t="b">
        <v>1</v>
      </c>
      <c r="I109" s="6" t="b">
        <v>1</v>
      </c>
      <c r="J109" s="6" t="b">
        <v>1</v>
      </c>
      <c r="K109" s="6" t="b">
        <v>1</v>
      </c>
      <c r="L109" s="6" t="b">
        <v>1</v>
      </c>
      <c r="M109" s="6" t="b">
        <v>1</v>
      </c>
      <c r="N109" s="6" t="b">
        <v>1</v>
      </c>
      <c r="O109" s="6" t="b">
        <v>1</v>
      </c>
      <c r="P109" s="6" t="b">
        <v>1</v>
      </c>
      <c r="Q109" s="6" t="b">
        <v>1</v>
      </c>
      <c r="R109" s="6" t="b">
        <v>1</v>
      </c>
      <c r="S109" s="6" t="b">
        <v>1</v>
      </c>
      <c r="T109" s="6" t="b">
        <v>0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1</v>
      </c>
      <c r="AJ109" s="6" t="b">
        <v>0</v>
      </c>
      <c r="AK109" s="6" t="b">
        <v>0</v>
      </c>
      <c r="AL109" s="9" t="str">
        <f t="shared" si="1"/>
        <v>14 dari 31 (45%)</v>
      </c>
    </row>
    <row r="110" ht="22.5" customHeight="1">
      <c r="A110" s="10">
        <v>109.0</v>
      </c>
      <c r="B110" s="11"/>
      <c r="C110" s="22">
        <v>43774.0</v>
      </c>
      <c r="D110" s="12" t="s">
        <v>89</v>
      </c>
      <c r="E110" s="12" t="s">
        <v>95</v>
      </c>
      <c r="F110" s="15" t="s">
        <v>50</v>
      </c>
      <c r="G110" s="6" t="b">
        <v>1</v>
      </c>
      <c r="H110" s="6" t="b">
        <v>0</v>
      </c>
      <c r="I110" s="6" t="b">
        <v>0</v>
      </c>
      <c r="J110" s="6" t="b">
        <v>0</v>
      </c>
      <c r="K110" s="6" t="b">
        <v>0</v>
      </c>
      <c r="L110" s="6" t="b">
        <v>0</v>
      </c>
      <c r="M110" s="6" t="b">
        <v>0</v>
      </c>
      <c r="N110" s="6" t="b">
        <v>0</v>
      </c>
      <c r="O110" s="6" t="b">
        <v>0</v>
      </c>
      <c r="P110" s="6" t="b">
        <v>0</v>
      </c>
      <c r="Q110" s="6" t="b">
        <v>0</v>
      </c>
      <c r="R110" s="6" t="b">
        <v>0</v>
      </c>
      <c r="S110" s="6" t="b">
        <v>0</v>
      </c>
      <c r="T110" s="6" t="b">
        <v>0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0</v>
      </c>
      <c r="AJ110" s="6" t="b">
        <v>0</v>
      </c>
      <c r="AK110" s="6" t="b">
        <v>0</v>
      </c>
      <c r="AL110" s="9" t="str">
        <f t="shared" si="1"/>
        <v>1 dari 31 (3%)</v>
      </c>
    </row>
    <row r="111" ht="22.5" customHeight="1">
      <c r="A111" s="10">
        <v>110.0</v>
      </c>
      <c r="B111" s="11"/>
      <c r="C111" s="22">
        <v>61137.0</v>
      </c>
      <c r="D111" s="12" t="s">
        <v>89</v>
      </c>
      <c r="E111" s="12" t="s">
        <v>95</v>
      </c>
      <c r="F111" s="15" t="s">
        <v>50</v>
      </c>
      <c r="G111" s="6" t="b">
        <v>1</v>
      </c>
      <c r="H111" s="6" t="b">
        <v>0</v>
      </c>
      <c r="I111" s="6" t="b">
        <v>0</v>
      </c>
      <c r="J111" s="6" t="b">
        <v>0</v>
      </c>
      <c r="K111" s="6" t="b">
        <v>0</v>
      </c>
      <c r="L111" s="6" t="b">
        <v>0</v>
      </c>
      <c r="M111" s="6" t="b">
        <v>0</v>
      </c>
      <c r="N111" s="6" t="b">
        <v>0</v>
      </c>
      <c r="O111" s="6" t="b">
        <v>0</v>
      </c>
      <c r="P111" s="6" t="b">
        <v>0</v>
      </c>
      <c r="Q111" s="6" t="b">
        <v>0</v>
      </c>
      <c r="R111" s="6" t="b">
        <v>0</v>
      </c>
      <c r="S111" s="6" t="b">
        <v>0</v>
      </c>
      <c r="T111" s="6" t="b">
        <v>0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0</v>
      </c>
      <c r="AJ111" s="6" t="b">
        <v>0</v>
      </c>
      <c r="AK111" s="6" t="b">
        <v>0</v>
      </c>
      <c r="AL111" s="17" t="str">
        <f t="shared" si="1"/>
        <v>1 dari 31 (3%)</v>
      </c>
    </row>
    <row r="112" ht="22.5" customHeight="1">
      <c r="A112" s="2">
        <v>111.0</v>
      </c>
      <c r="B112" s="11"/>
      <c r="C112" s="20">
        <v>61139.0</v>
      </c>
      <c r="D112" s="12" t="s">
        <v>89</v>
      </c>
      <c r="E112" s="12" t="s">
        <v>95</v>
      </c>
      <c r="F112" s="15" t="s">
        <v>50</v>
      </c>
      <c r="G112" s="6" t="b">
        <v>1</v>
      </c>
      <c r="H112" s="6" t="b">
        <v>0</v>
      </c>
      <c r="I112" s="6" t="b">
        <v>0</v>
      </c>
      <c r="J112" s="6" t="b">
        <v>0</v>
      </c>
      <c r="K112" s="6" t="b">
        <v>0</v>
      </c>
      <c r="L112" s="6" t="b">
        <v>0</v>
      </c>
      <c r="M112" s="6" t="b">
        <v>0</v>
      </c>
      <c r="N112" s="6" t="b">
        <v>0</v>
      </c>
      <c r="O112" s="6" t="b">
        <v>0</v>
      </c>
      <c r="P112" s="6" t="b">
        <v>0</v>
      </c>
      <c r="Q112" s="6" t="b">
        <v>0</v>
      </c>
      <c r="R112" s="6" t="b">
        <v>0</v>
      </c>
      <c r="S112" s="6" t="b">
        <v>0</v>
      </c>
      <c r="T112" s="6" t="b">
        <v>0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0</v>
      </c>
      <c r="AJ112" s="6" t="b">
        <v>0</v>
      </c>
      <c r="AK112" s="6" t="b">
        <v>0</v>
      </c>
      <c r="AL112" s="9" t="str">
        <f t="shared" si="1"/>
        <v>1 dari 31 (3%)</v>
      </c>
    </row>
    <row r="113" ht="22.5" customHeight="1">
      <c r="A113" s="10">
        <v>112.0</v>
      </c>
      <c r="B113" s="11"/>
      <c r="C113" s="20">
        <v>61140.0</v>
      </c>
      <c r="D113" s="12" t="s">
        <v>89</v>
      </c>
      <c r="E113" s="12" t="s">
        <v>95</v>
      </c>
      <c r="F113" s="15" t="s">
        <v>50</v>
      </c>
      <c r="G113" s="6" t="b">
        <v>1</v>
      </c>
      <c r="H113" s="6" t="b">
        <v>0</v>
      </c>
      <c r="I113" s="6" t="b">
        <v>0</v>
      </c>
      <c r="J113" s="6" t="b">
        <v>0</v>
      </c>
      <c r="K113" s="6" t="b">
        <v>0</v>
      </c>
      <c r="L113" s="6" t="b">
        <v>0</v>
      </c>
      <c r="M113" s="6" t="b">
        <v>0</v>
      </c>
      <c r="N113" s="6" t="b">
        <v>0</v>
      </c>
      <c r="O113" s="6" t="b">
        <v>0</v>
      </c>
      <c r="P113" s="6" t="b">
        <v>0</v>
      </c>
      <c r="Q113" s="6" t="b">
        <v>0</v>
      </c>
      <c r="R113" s="6" t="b">
        <v>0</v>
      </c>
      <c r="S113" s="6" t="b">
        <v>0</v>
      </c>
      <c r="T113" s="6" t="b">
        <v>0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0</v>
      </c>
      <c r="AJ113" s="6" t="b">
        <v>0</v>
      </c>
      <c r="AK113" s="6" t="b">
        <v>0</v>
      </c>
      <c r="AL113" s="9" t="str">
        <f t="shared" si="1"/>
        <v>1 dari 31 (3%)</v>
      </c>
    </row>
    <row r="114" ht="22.5" customHeight="1">
      <c r="A114" s="10">
        <v>113.0</v>
      </c>
      <c r="B114" s="11"/>
      <c r="C114" s="20">
        <v>61141.0</v>
      </c>
      <c r="D114" s="12" t="s">
        <v>89</v>
      </c>
      <c r="E114" s="12" t="s">
        <v>95</v>
      </c>
      <c r="F114" s="15" t="s">
        <v>50</v>
      </c>
      <c r="G114" s="6" t="b">
        <v>1</v>
      </c>
      <c r="H114" s="6" t="b">
        <v>0</v>
      </c>
      <c r="I114" s="6" t="b">
        <v>0</v>
      </c>
      <c r="J114" s="6" t="b">
        <v>0</v>
      </c>
      <c r="K114" s="6" t="b">
        <v>0</v>
      </c>
      <c r="L114" s="6" t="b">
        <v>0</v>
      </c>
      <c r="M114" s="6" t="b">
        <v>0</v>
      </c>
      <c r="N114" s="6" t="b">
        <v>0</v>
      </c>
      <c r="O114" s="6" t="b">
        <v>0</v>
      </c>
      <c r="P114" s="6" t="b">
        <v>0</v>
      </c>
      <c r="Q114" s="6" t="b">
        <v>0</v>
      </c>
      <c r="R114" s="6" t="b">
        <v>0</v>
      </c>
      <c r="S114" s="6" t="b">
        <v>0</v>
      </c>
      <c r="T114" s="6" t="b">
        <v>0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0</v>
      </c>
      <c r="AJ114" s="6" t="b">
        <v>0</v>
      </c>
      <c r="AK114" s="6" t="b">
        <v>0</v>
      </c>
      <c r="AL114" s="17" t="str">
        <f t="shared" si="1"/>
        <v>1 dari 31 (3%)</v>
      </c>
    </row>
    <row r="115" ht="22.5" customHeight="1">
      <c r="A115" s="2">
        <v>114.0</v>
      </c>
      <c r="B115" s="11"/>
      <c r="C115" s="20">
        <v>61143.0</v>
      </c>
      <c r="D115" s="12" t="s">
        <v>89</v>
      </c>
      <c r="E115" s="12" t="s">
        <v>95</v>
      </c>
      <c r="F115" s="15" t="s">
        <v>50</v>
      </c>
      <c r="G115" s="6" t="b">
        <v>1</v>
      </c>
      <c r="H115" s="6" t="b">
        <v>0</v>
      </c>
      <c r="I115" s="6" t="b">
        <v>0</v>
      </c>
      <c r="J115" s="6" t="b">
        <v>0</v>
      </c>
      <c r="K115" s="6" t="b">
        <v>0</v>
      </c>
      <c r="L115" s="6" t="b">
        <v>0</v>
      </c>
      <c r="M115" s="6" t="b">
        <v>0</v>
      </c>
      <c r="N115" s="6" t="b">
        <v>0</v>
      </c>
      <c r="O115" s="6" t="b">
        <v>0</v>
      </c>
      <c r="P115" s="6" t="b">
        <v>0</v>
      </c>
      <c r="Q115" s="6" t="b">
        <v>0</v>
      </c>
      <c r="R115" s="6" t="b">
        <v>0</v>
      </c>
      <c r="S115" s="6" t="b">
        <v>0</v>
      </c>
      <c r="T115" s="6" t="b">
        <v>0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1 dari 31 (3%)</v>
      </c>
    </row>
    <row r="116" ht="22.5" customHeight="1">
      <c r="A116" s="10">
        <v>115.0</v>
      </c>
      <c r="B116" s="11"/>
      <c r="C116" s="20">
        <v>61145.0</v>
      </c>
      <c r="D116" s="12" t="s">
        <v>89</v>
      </c>
      <c r="E116" s="12" t="s">
        <v>95</v>
      </c>
      <c r="F116" s="15" t="s">
        <v>50</v>
      </c>
      <c r="G116" s="6" t="b">
        <v>1</v>
      </c>
      <c r="H116" s="6" t="b">
        <v>0</v>
      </c>
      <c r="I116" s="6" t="b">
        <v>0</v>
      </c>
      <c r="J116" s="6" t="b">
        <v>0</v>
      </c>
      <c r="K116" s="6" t="b">
        <v>0</v>
      </c>
      <c r="L116" s="6" t="b">
        <v>0</v>
      </c>
      <c r="M116" s="6" t="b">
        <v>0</v>
      </c>
      <c r="N116" s="6" t="b">
        <v>0</v>
      </c>
      <c r="O116" s="6" t="b">
        <v>0</v>
      </c>
      <c r="P116" s="6" t="b">
        <v>0</v>
      </c>
      <c r="Q116" s="6" t="b">
        <v>0</v>
      </c>
      <c r="R116" s="6" t="b">
        <v>0</v>
      </c>
      <c r="S116" s="6" t="b">
        <v>0</v>
      </c>
      <c r="T116" s="6" t="b">
        <v>0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0</v>
      </c>
      <c r="AJ116" s="6" t="b">
        <v>0</v>
      </c>
      <c r="AK116" s="6" t="b">
        <v>0</v>
      </c>
      <c r="AL116" s="9" t="str">
        <f t="shared" si="1"/>
        <v>1 dari 31 (3%)</v>
      </c>
    </row>
    <row r="117" ht="22.5" customHeight="1">
      <c r="A117" s="10">
        <v>116.0</v>
      </c>
      <c r="B117" s="11"/>
      <c r="C117" s="22">
        <v>10166.0</v>
      </c>
      <c r="D117" s="12" t="s">
        <v>89</v>
      </c>
      <c r="E117" s="12" t="s">
        <v>95</v>
      </c>
      <c r="F117" s="15" t="s">
        <v>50</v>
      </c>
      <c r="G117" s="6" t="b">
        <v>1</v>
      </c>
      <c r="H117" s="6" t="b">
        <v>0</v>
      </c>
      <c r="I117" s="6" t="b">
        <v>0</v>
      </c>
      <c r="J117" s="6" t="b">
        <v>0</v>
      </c>
      <c r="K117" s="6" t="b">
        <v>0</v>
      </c>
      <c r="L117" s="6" t="b">
        <v>0</v>
      </c>
      <c r="M117" s="6" t="b">
        <v>0</v>
      </c>
      <c r="N117" s="6" t="b">
        <v>0</v>
      </c>
      <c r="O117" s="6" t="b">
        <v>0</v>
      </c>
      <c r="P117" s="6" t="b">
        <v>0</v>
      </c>
      <c r="Q117" s="6" t="b">
        <v>0</v>
      </c>
      <c r="R117" s="6" t="b">
        <v>0</v>
      </c>
      <c r="S117" s="6" t="b">
        <v>0</v>
      </c>
      <c r="T117" s="6" t="b">
        <v>0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0</v>
      </c>
      <c r="AJ117" s="6" t="b">
        <v>0</v>
      </c>
      <c r="AK117" s="6" t="b">
        <v>0</v>
      </c>
      <c r="AL117" s="17" t="str">
        <f t="shared" si="1"/>
        <v>1 dari 31 (3%)</v>
      </c>
    </row>
    <row r="118" ht="22.5" customHeight="1">
      <c r="A118" s="2">
        <v>117.0</v>
      </c>
      <c r="B118" s="11"/>
      <c r="C118" s="22">
        <v>61142.0</v>
      </c>
      <c r="D118" s="12" t="s">
        <v>89</v>
      </c>
      <c r="E118" s="12" t="s">
        <v>95</v>
      </c>
      <c r="F118" s="15" t="s">
        <v>50</v>
      </c>
      <c r="G118" s="6" t="b">
        <v>1</v>
      </c>
      <c r="H118" s="6" t="b">
        <v>0</v>
      </c>
      <c r="I118" s="6" t="b">
        <v>0</v>
      </c>
      <c r="J118" s="6" t="b">
        <v>0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  <c r="P118" s="6" t="b">
        <v>0</v>
      </c>
      <c r="Q118" s="6" t="b">
        <v>0</v>
      </c>
      <c r="R118" s="6" t="b">
        <v>0</v>
      </c>
      <c r="S118" s="6" t="b">
        <v>0</v>
      </c>
      <c r="T118" s="6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0</v>
      </c>
      <c r="AJ118" s="6" t="b">
        <v>0</v>
      </c>
      <c r="AK118" s="6" t="b">
        <v>0</v>
      </c>
      <c r="AL118" s="9" t="str">
        <f t="shared" si="1"/>
        <v>1 dari 31 (3%)</v>
      </c>
    </row>
    <row r="120">
      <c r="B120" s="71" t="s">
        <v>38</v>
      </c>
      <c r="C120" s="72"/>
      <c r="D120" s="72"/>
      <c r="E120" s="72"/>
      <c r="F120" s="73"/>
      <c r="G120" s="74">
        <f>COUNTIF(JULI_7[ID Encounter], TRUE)</f>
        <v>116</v>
      </c>
      <c r="H120" s="74">
        <f>COUNTIF(JULI_7[ID Condition], TRUE)</f>
        <v>98</v>
      </c>
      <c r="I120" s="74">
        <f>COUNTIF(JULI_7[ID Clinical Impression], TRUE)</f>
        <v>35</v>
      </c>
      <c r="J120" s="74">
        <f>COUNTIF(JULI_7[ID Observation Tensi], TRUE)</f>
        <v>95</v>
      </c>
      <c r="K120" s="74">
        <f>COUNTIF(JULI_7[ID Observation Nadi], TRUE)</f>
        <v>103</v>
      </c>
      <c r="L120" s="74">
        <f>COUNTIF(JULI_7[ID Observation RR], TRUE)</f>
        <v>104</v>
      </c>
      <c r="M120" s="74">
        <f>COUNTIF(JULI_7[ID Observation Suhu], TRUE)</f>
        <v>104</v>
      </c>
      <c r="N120" s="74">
        <f>COUNTIF(JULI_7[ID Observation SPO2], TRUE)</f>
        <v>104</v>
      </c>
      <c r="O120" s="74">
        <f>COUNTIF(JULI_7[ID Observation GCS], TRUE)</f>
        <v>104</v>
      </c>
      <c r="P120" s="74">
        <f>COUNTIF(JULI_7[ID Observation Tinggi], TRUE)</f>
        <v>102</v>
      </c>
      <c r="Q120" s="74">
        <f>COUNTIF(JULI_7[ID Observation Berat], TRUE)</f>
        <v>102</v>
      </c>
      <c r="R120" s="74">
        <f>COUNTIF(JULI_7[ID Observation Perut], TRUE)</f>
        <v>103</v>
      </c>
      <c r="S120" s="74">
        <f>COUNTIF(JULI_7[ID Observation Kesadaran], TRUE)</f>
        <v>104</v>
      </c>
      <c r="T120" s="74">
        <f>COUNTIF(JULI_7[ID Procedure], TRUE)</f>
        <v>79</v>
      </c>
      <c r="U120" s="74">
        <f>COUNTIF(JULI_7[ID Composition], TRUE)</f>
        <v>0</v>
      </c>
      <c r="V120" s="74">
        <f>COUNTIF(JULI_7[ID Vaksin/Imunisasi], TRUE)</f>
        <v>0</v>
      </c>
      <c r="W120" s="74">
        <f>COUNTIF(JULI_7[ID Medication Request], TRUE)</f>
        <v>4</v>
      </c>
      <c r="X120" s="74">
        <f>COUNTIF(JULI_7[ID Medication Dispense], TRUE)</f>
        <v>4</v>
      </c>
      <c r="Y120" s="74">
        <f>COUNTIF(JULI_7[ID Medication Statement], TRUE)</f>
        <v>4</v>
      </c>
      <c r="Z120" s="74">
        <f>COUNTIF(JULI_7[ID Service Request Radiologi], TRUE)</f>
        <v>6</v>
      </c>
      <c r="AA120" s="74">
        <f>COUNTIF(JULI_7[ID Specimen Radiologi], TRUE)</f>
        <v>6</v>
      </c>
      <c r="AB120" s="74">
        <f>COUNTIF(JULI_7[ID Observation Radiologi], TRUE)</f>
        <v>6</v>
      </c>
      <c r="AC120" s="74">
        <f>COUNTIF(JULI_7[ID Diagnostic Report Radiologi], TRUE)</f>
        <v>6</v>
      </c>
      <c r="AD120" s="74">
        <f>COUNTIF(JULI_7[Image Study], TRUE)</f>
        <v>6</v>
      </c>
      <c r="AE120" s="74">
        <f>COUNTIF(JULI_7[ID Service Request Lab PK], TRUE)</f>
        <v>2</v>
      </c>
      <c r="AF120" s="74">
        <f>COUNTIF(JULI_7[ID Specimen Lab PK], TRUE)</f>
        <v>2</v>
      </c>
      <c r="AG120" s="74">
        <f>COUNTIF(JULI_7[ID Observation Lab PK], TRUE)</f>
        <v>2</v>
      </c>
      <c r="AH120" s="74">
        <f>COUNTIF(JULI_7[ID Diagnostic Report Lab PK], TRUE)</f>
        <v>2</v>
      </c>
      <c r="AI120" s="74">
        <f>COUNTIF(JULI_7[ID Care Plan], TRUE)</f>
        <v>59</v>
      </c>
      <c r="AJ120" s="74">
        <f>COUNTIF(JULI_7[ID Allergy], TRUE)</f>
        <v>0</v>
      </c>
      <c r="AK120" s="74">
        <f>COUNTIF(JULI_7[ID Questionnaire], TRUE)</f>
        <v>0</v>
      </c>
      <c r="AL120" s="75" t="str">
        <f>COUNTIF(JULI_7[[ID Encounter]:[ID Questionnaire]], TRUE()) &amp; " dari " &amp; (ROWS(JULI_7[[ID Encounter]:[ID Questionnaire]])*COLUMNS(JULI_7[[ID Encounter]:[ID Questionnaire]])) &amp; " (" &amp; TEXT(COUNTIF(JULI_7[[ID Encounter]:[ID Questionnaire]], TRUE())/(ROWS(JULI_7[[ID Encounter]:[ID Questionnaire]])*COLUMNS(JULI_7[[ID Encounter]:[ID Questionnaire]])),"0%") &amp; ")"</f>
        <v>1462 dari 3627 (40%)</v>
      </c>
    </row>
    <row r="121">
      <c r="B121" s="76"/>
      <c r="C121" s="77"/>
      <c r="D121" s="77"/>
      <c r="E121" s="77"/>
      <c r="F121" s="78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</row>
  </sheetData>
  <mergeCells count="33">
    <mergeCell ref="B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H120:AH121"/>
    <mergeCell ref="AI120:AI121"/>
    <mergeCell ref="AJ120:AJ121"/>
    <mergeCell ref="AK120:AK121"/>
    <mergeCell ref="AL120:AL121"/>
    <mergeCell ref="AA120:AA121"/>
    <mergeCell ref="AB120:AB121"/>
    <mergeCell ref="AC120:AC121"/>
    <mergeCell ref="AD120:AD121"/>
    <mergeCell ref="AE120:AE121"/>
    <mergeCell ref="AF120:AF121"/>
    <mergeCell ref="AG120:AG12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88"/>
    <col customWidth="1" min="3" max="3" width="14.88"/>
    <col customWidth="1" min="4" max="4" width="33.63"/>
    <col customWidth="1" min="5" max="5" width="50.38"/>
    <col customWidth="1" min="6" max="6" width="20.75"/>
    <col customWidth="1" min="7" max="7" width="15.13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0" max="20" width="15.25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28" max="28" width="24.0"/>
    <col customWidth="1" min="29" max="29" width="28.38"/>
    <col customWidth="1" min="30" max="30" width="14.88"/>
    <col customWidth="1" min="38" max="38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46211.0</v>
      </c>
      <c r="C2" s="22">
        <v>60990.0</v>
      </c>
      <c r="D2" s="7" t="s">
        <v>54</v>
      </c>
      <c r="E2" s="7" t="s">
        <v>55</v>
      </c>
      <c r="F2" s="13"/>
      <c r="G2" s="6" t="b">
        <v>1</v>
      </c>
      <c r="H2" s="6" t="b">
        <v>1</v>
      </c>
      <c r="I2" s="6" t="b">
        <v>0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1</v>
      </c>
      <c r="AA2" s="6" t="b">
        <v>1</v>
      </c>
      <c r="AB2" s="6" t="b">
        <v>1</v>
      </c>
      <c r="AC2" s="6" t="b">
        <v>1</v>
      </c>
      <c r="AD2" s="6" t="b">
        <v>1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156" si="1">COUNTIF(G2:AK2, TRUE()) &amp; " dari " &amp; COLUMNS(G2:AK2) &amp; " (" &amp; TEXT(COUNTIF(G2:AK2, TRUE())/COLUMNS(G2:AK2),"0%") &amp; ")"</f>
        <v>18 dari 31 (58%)</v>
      </c>
    </row>
    <row r="3" ht="22.5" customHeight="1">
      <c r="A3" s="10">
        <v>2.0</v>
      </c>
      <c r="B3" s="11"/>
      <c r="C3" s="22">
        <v>60435.0</v>
      </c>
      <c r="D3" s="7" t="s">
        <v>54</v>
      </c>
      <c r="E3" s="7" t="s">
        <v>55</v>
      </c>
      <c r="F3" s="13"/>
      <c r="G3" s="16" t="b">
        <v>1</v>
      </c>
      <c r="H3" s="16" t="b">
        <v>1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6" t="b">
        <v>0</v>
      </c>
      <c r="O3" s="16" t="b">
        <v>0</v>
      </c>
      <c r="P3" s="16" t="b">
        <v>0</v>
      </c>
      <c r="Q3" s="16" t="b">
        <v>0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5 dari 31 (16%)</v>
      </c>
    </row>
    <row r="4" ht="22.5" customHeight="1">
      <c r="A4" s="2">
        <v>3.0</v>
      </c>
      <c r="B4" s="18"/>
      <c r="C4" s="22">
        <v>56483.0</v>
      </c>
      <c r="D4" s="7" t="s">
        <v>54</v>
      </c>
      <c r="E4" s="7" t="s">
        <v>55</v>
      </c>
      <c r="F4" s="13"/>
      <c r="G4" s="6" t="b">
        <v>1</v>
      </c>
      <c r="H4" s="6" t="b">
        <v>1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5 dari 31 (16%)</v>
      </c>
    </row>
    <row r="5" ht="22.5" customHeight="1">
      <c r="A5" s="10">
        <v>4.0</v>
      </c>
      <c r="B5" s="11"/>
      <c r="C5" s="22">
        <v>61054.0</v>
      </c>
      <c r="D5" s="7" t="s">
        <v>54</v>
      </c>
      <c r="E5" s="7" t="s">
        <v>55</v>
      </c>
      <c r="F5" s="13"/>
      <c r="G5" s="16" t="b">
        <v>1</v>
      </c>
      <c r="H5" s="16" t="b">
        <v>1</v>
      </c>
      <c r="I5" s="16" t="b">
        <v>0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0</v>
      </c>
      <c r="AJ5" s="16" t="b">
        <v>0</v>
      </c>
      <c r="AK5" s="16" t="b">
        <v>0</v>
      </c>
      <c r="AL5" s="17" t="str">
        <f t="shared" si="1"/>
        <v>13 dari 31 (42%)</v>
      </c>
    </row>
    <row r="6" ht="22.5" customHeight="1">
      <c r="A6" s="2">
        <v>5.0</v>
      </c>
      <c r="B6" s="18"/>
      <c r="C6" s="20">
        <v>60694.0</v>
      </c>
      <c r="D6" s="7" t="s">
        <v>54</v>
      </c>
      <c r="E6" s="7" t="s">
        <v>55</v>
      </c>
      <c r="F6" s="13"/>
      <c r="G6" s="6" t="b">
        <v>1</v>
      </c>
      <c r="H6" s="6" t="b">
        <v>1</v>
      </c>
      <c r="I6" s="6" t="b">
        <v>0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9" t="str">
        <f t="shared" si="1"/>
        <v>13 dari 31 (42%)</v>
      </c>
    </row>
    <row r="7" ht="22.5" customHeight="1">
      <c r="A7" s="10">
        <v>6.0</v>
      </c>
      <c r="B7" s="11"/>
      <c r="C7" s="20">
        <v>57332.0</v>
      </c>
      <c r="D7" s="7" t="s">
        <v>54</v>
      </c>
      <c r="E7" s="7" t="s">
        <v>55</v>
      </c>
      <c r="F7" s="13"/>
      <c r="G7" s="16" t="b">
        <v>1</v>
      </c>
      <c r="H7" s="16" t="b">
        <v>1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  <c r="N7" s="16" t="b">
        <v>0</v>
      </c>
      <c r="O7" s="16" t="b">
        <v>0</v>
      </c>
      <c r="P7" s="16" t="b">
        <v>0</v>
      </c>
      <c r="Q7" s="16" t="b">
        <v>0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1</v>
      </c>
      <c r="AA7" s="16" t="b">
        <v>1</v>
      </c>
      <c r="AB7" s="16" t="b">
        <v>1</v>
      </c>
      <c r="AC7" s="16" t="b">
        <v>1</v>
      </c>
      <c r="AD7" s="16" t="b">
        <v>1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7" t="str">
        <f t="shared" si="1"/>
        <v>10 dari 31 (32%)</v>
      </c>
    </row>
    <row r="8" ht="22.5" customHeight="1">
      <c r="A8" s="2">
        <v>7.0</v>
      </c>
      <c r="B8" s="18"/>
      <c r="C8" s="20">
        <v>61015.0</v>
      </c>
      <c r="D8" s="7" t="s">
        <v>54</v>
      </c>
      <c r="E8" s="7" t="s">
        <v>55</v>
      </c>
      <c r="F8" s="13"/>
      <c r="G8" s="6" t="b">
        <v>1</v>
      </c>
      <c r="H8" s="6" t="b">
        <v>1</v>
      </c>
      <c r="I8" s="6" t="b">
        <v>0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1</v>
      </c>
      <c r="AA8" s="6" t="b">
        <v>1</v>
      </c>
      <c r="AB8" s="6" t="b">
        <v>1</v>
      </c>
      <c r="AC8" s="6" t="b">
        <v>1</v>
      </c>
      <c r="AD8" s="6" t="b">
        <v>1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9" t="str">
        <f t="shared" si="1"/>
        <v>18 dari 31 (58%)</v>
      </c>
    </row>
    <row r="9" ht="22.5" customHeight="1">
      <c r="A9" s="10">
        <v>8.0</v>
      </c>
      <c r="B9" s="11"/>
      <c r="C9" s="22">
        <v>57622.0</v>
      </c>
      <c r="D9" s="7" t="s">
        <v>54</v>
      </c>
      <c r="E9" s="7" t="s">
        <v>55</v>
      </c>
      <c r="F9" s="13"/>
      <c r="G9" s="16" t="b">
        <v>1</v>
      </c>
      <c r="H9" s="16" t="b">
        <v>1</v>
      </c>
      <c r="I9" s="16" t="b">
        <v>0</v>
      </c>
      <c r="J9" s="16" t="b">
        <v>0</v>
      </c>
      <c r="K9" s="16" t="b">
        <v>0</v>
      </c>
      <c r="L9" s="16" t="b">
        <v>0</v>
      </c>
      <c r="M9" s="16" t="b">
        <v>0</v>
      </c>
      <c r="N9" s="16" t="b">
        <v>0</v>
      </c>
      <c r="O9" s="16" t="b">
        <v>0</v>
      </c>
      <c r="P9" s="16" t="b">
        <v>0</v>
      </c>
      <c r="Q9" s="16" t="b">
        <v>0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5 dari 31 (16%)</v>
      </c>
    </row>
    <row r="10" ht="22.5" customHeight="1">
      <c r="A10" s="2">
        <v>9.0</v>
      </c>
      <c r="B10" s="18"/>
      <c r="C10" s="22">
        <v>60854.0</v>
      </c>
      <c r="D10" s="7" t="s">
        <v>54</v>
      </c>
      <c r="E10" s="7" t="s">
        <v>55</v>
      </c>
      <c r="F10" s="13"/>
      <c r="G10" s="6" t="b">
        <v>1</v>
      </c>
      <c r="H10" s="6" t="b">
        <v>1</v>
      </c>
      <c r="I10" s="6" t="b">
        <v>0</v>
      </c>
      <c r="J10" s="6" t="b">
        <v>0</v>
      </c>
      <c r="K10" s="6" t="b">
        <v>0</v>
      </c>
      <c r="L10" s="6" t="b">
        <v>0</v>
      </c>
      <c r="M10" s="6" t="b">
        <v>0</v>
      </c>
      <c r="N10" s="6" t="b">
        <v>0</v>
      </c>
      <c r="O10" s="6" t="b">
        <v>0</v>
      </c>
      <c r="P10" s="6" t="b">
        <v>0</v>
      </c>
      <c r="Q10" s="6" t="b">
        <v>0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5 dari 31 (16%)</v>
      </c>
    </row>
    <row r="11" ht="22.5" customHeight="1">
      <c r="A11" s="10">
        <v>10.0</v>
      </c>
      <c r="B11" s="11"/>
      <c r="C11" s="22">
        <v>60832.0</v>
      </c>
      <c r="D11" s="7" t="s">
        <v>54</v>
      </c>
      <c r="E11" s="7" t="s">
        <v>55</v>
      </c>
      <c r="F11" s="13"/>
      <c r="G11" s="16" t="b">
        <v>1</v>
      </c>
      <c r="H11" s="16" t="b">
        <v>1</v>
      </c>
      <c r="I11" s="16" t="b">
        <v>0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7" t="str">
        <f t="shared" si="1"/>
        <v>13 dari 31 (42%)</v>
      </c>
    </row>
    <row r="12" ht="22.5" customHeight="1">
      <c r="A12" s="2">
        <v>11.0</v>
      </c>
      <c r="B12" s="18"/>
      <c r="C12" s="20">
        <v>60370.0</v>
      </c>
      <c r="D12" s="12" t="s">
        <v>54</v>
      </c>
      <c r="E12" s="12" t="s">
        <v>55</v>
      </c>
      <c r="F12" s="13"/>
      <c r="G12" s="6" t="b">
        <v>1</v>
      </c>
      <c r="H12" s="6" t="b">
        <v>1</v>
      </c>
      <c r="I12" s="6" t="b">
        <v>0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13 dari 31 (42%)</v>
      </c>
    </row>
    <row r="13" ht="22.5" customHeight="1">
      <c r="A13" s="10">
        <v>12.0</v>
      </c>
      <c r="B13" s="11"/>
      <c r="C13" s="20">
        <v>54660.0</v>
      </c>
      <c r="D13" s="12" t="s">
        <v>54</v>
      </c>
      <c r="E13" s="12" t="s">
        <v>55</v>
      </c>
      <c r="F13" s="13"/>
      <c r="G13" s="16" t="b">
        <v>1</v>
      </c>
      <c r="H13" s="16" t="b">
        <v>1</v>
      </c>
      <c r="I13" s="16" t="b">
        <v>0</v>
      </c>
      <c r="J13" s="16" t="b">
        <v>0</v>
      </c>
      <c r="K13" s="16" t="b">
        <v>0</v>
      </c>
      <c r="L13" s="16" t="b">
        <v>0</v>
      </c>
      <c r="M13" s="16" t="b">
        <v>0</v>
      </c>
      <c r="N13" s="16" t="b">
        <v>0</v>
      </c>
      <c r="O13" s="16" t="b">
        <v>0</v>
      </c>
      <c r="P13" s="16" t="b">
        <v>0</v>
      </c>
      <c r="Q13" s="16" t="b">
        <v>0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7" t="str">
        <f t="shared" si="1"/>
        <v>5 dari 31 (16%)</v>
      </c>
    </row>
    <row r="14" ht="22.5" customHeight="1">
      <c r="A14" s="2">
        <v>13.0</v>
      </c>
      <c r="B14" s="18"/>
      <c r="C14" s="20">
        <v>42476.0</v>
      </c>
      <c r="D14" s="12" t="s">
        <v>39</v>
      </c>
      <c r="E14" s="12" t="s">
        <v>57</v>
      </c>
      <c r="F14" s="13"/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1</v>
      </c>
      <c r="AJ14" s="6" t="b">
        <v>0</v>
      </c>
      <c r="AK14" s="6" t="b">
        <v>0</v>
      </c>
      <c r="AL14" s="9" t="str">
        <f t="shared" si="1"/>
        <v>15 dari 31 (48%)</v>
      </c>
    </row>
    <row r="15" ht="22.5" customHeight="1">
      <c r="A15" s="10">
        <v>14.0</v>
      </c>
      <c r="B15" s="11"/>
      <c r="C15" s="20">
        <v>60564.0</v>
      </c>
      <c r="D15" s="12" t="s">
        <v>39</v>
      </c>
      <c r="E15" s="12" t="s">
        <v>57</v>
      </c>
      <c r="F15" s="13"/>
      <c r="G15" s="16" t="b">
        <v>1</v>
      </c>
      <c r="H15" s="16" t="b">
        <v>1</v>
      </c>
      <c r="I15" s="16" t="b">
        <v>0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1</v>
      </c>
      <c r="X15" s="16" t="b">
        <v>1</v>
      </c>
      <c r="Y15" s="16" t="b">
        <v>1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16 dari 31 (52%)</v>
      </c>
    </row>
    <row r="16" ht="22.5" customHeight="1">
      <c r="A16" s="2">
        <v>15.0</v>
      </c>
      <c r="B16" s="18"/>
      <c r="C16" s="20">
        <v>60014.0</v>
      </c>
      <c r="D16" s="12" t="s">
        <v>39</v>
      </c>
      <c r="E16" s="12" t="s">
        <v>57</v>
      </c>
      <c r="F16" s="13"/>
      <c r="G16" s="6" t="b">
        <v>1</v>
      </c>
      <c r="H16" s="6" t="b">
        <v>1</v>
      </c>
      <c r="I16" s="6" t="b">
        <v>0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13 dari 31 (42%)</v>
      </c>
    </row>
    <row r="17" ht="22.5" customHeight="1">
      <c r="A17" s="10">
        <v>16.0</v>
      </c>
      <c r="B17" s="11"/>
      <c r="C17" s="22">
        <v>60704.0</v>
      </c>
      <c r="D17" s="12" t="s">
        <v>39</v>
      </c>
      <c r="E17" s="12" t="s">
        <v>42</v>
      </c>
      <c r="F17" s="13"/>
      <c r="G17" s="16" t="b">
        <v>1</v>
      </c>
      <c r="H17" s="16" t="b">
        <v>1</v>
      </c>
      <c r="I17" s="16" t="b">
        <v>1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14 dari 31 (45%)</v>
      </c>
    </row>
    <row r="18" ht="22.5" customHeight="1">
      <c r="A18" s="2">
        <v>17.0</v>
      </c>
      <c r="B18" s="18"/>
      <c r="C18" s="20">
        <v>60158.0</v>
      </c>
      <c r="D18" s="12" t="s">
        <v>39</v>
      </c>
      <c r="E18" s="12" t="s">
        <v>42</v>
      </c>
      <c r="F18" s="13"/>
      <c r="G18" s="6" t="b">
        <v>1</v>
      </c>
      <c r="H18" s="6" t="b">
        <v>1</v>
      </c>
      <c r="I18" s="6" t="b">
        <v>0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13 dari 31 (42%)</v>
      </c>
    </row>
    <row r="19" ht="22.5" customHeight="1">
      <c r="A19" s="10">
        <v>18.0</v>
      </c>
      <c r="B19" s="11"/>
      <c r="C19" s="20">
        <v>60469.0</v>
      </c>
      <c r="D19" s="12" t="s">
        <v>39</v>
      </c>
      <c r="E19" s="12" t="s">
        <v>42</v>
      </c>
      <c r="F19" s="13"/>
      <c r="G19" s="16" t="b">
        <v>1</v>
      </c>
      <c r="H19" s="16" t="b">
        <v>1</v>
      </c>
      <c r="I19" s="16" t="b">
        <v>0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1</v>
      </c>
      <c r="X19" s="16" t="b">
        <v>1</v>
      </c>
      <c r="Y19" s="16" t="b">
        <v>1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16 dari 31 (52%)</v>
      </c>
    </row>
    <row r="20" ht="22.5" customHeight="1">
      <c r="A20" s="30">
        <v>19.0</v>
      </c>
      <c r="B20" s="31"/>
      <c r="C20" s="60">
        <v>61006.0</v>
      </c>
      <c r="D20" s="51" t="s">
        <v>51</v>
      </c>
      <c r="E20" s="51" t="s">
        <v>61</v>
      </c>
      <c r="F20" s="53"/>
      <c r="G20" s="35" t="b">
        <v>0</v>
      </c>
      <c r="H20" s="35" t="b">
        <v>0</v>
      </c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5" t="b">
        <v>0</v>
      </c>
      <c r="R20" s="35" t="b">
        <v>0</v>
      </c>
      <c r="S20" s="35" t="b">
        <v>0</v>
      </c>
      <c r="T20" s="35" t="b">
        <v>0</v>
      </c>
      <c r="U20" s="35" t="b">
        <v>0</v>
      </c>
      <c r="V20" s="35" t="b">
        <v>0</v>
      </c>
      <c r="W20" s="35" t="b">
        <v>0</v>
      </c>
      <c r="X20" s="35" t="b">
        <v>0</v>
      </c>
      <c r="Y20" s="35" t="b">
        <v>0</v>
      </c>
      <c r="Z20" s="35" t="b">
        <v>0</v>
      </c>
      <c r="AA20" s="35" t="b">
        <v>0</v>
      </c>
      <c r="AB20" s="35" t="b">
        <v>0</v>
      </c>
      <c r="AC20" s="35" t="b">
        <v>0</v>
      </c>
      <c r="AD20" s="35" t="b">
        <v>0</v>
      </c>
      <c r="AE20" s="35" t="b">
        <v>0</v>
      </c>
      <c r="AF20" s="35" t="b">
        <v>0</v>
      </c>
      <c r="AG20" s="35" t="b">
        <v>0</v>
      </c>
      <c r="AH20" s="35" t="b">
        <v>0</v>
      </c>
      <c r="AI20" s="35" t="b">
        <v>0</v>
      </c>
      <c r="AJ20" s="35" t="b">
        <v>0</v>
      </c>
      <c r="AK20" s="35" t="b">
        <v>0</v>
      </c>
      <c r="AL20" s="38" t="str">
        <f t="shared" si="1"/>
        <v>0 dari 31 (0%)</v>
      </c>
    </row>
    <row r="21" ht="22.5" customHeight="1">
      <c r="A21" s="10">
        <v>20.0</v>
      </c>
      <c r="B21" s="11"/>
      <c r="C21" s="20">
        <v>60863.0</v>
      </c>
      <c r="D21" s="12" t="s">
        <v>51</v>
      </c>
      <c r="E21" s="12" t="s">
        <v>61</v>
      </c>
      <c r="F21" s="13"/>
      <c r="G21" s="16" t="b">
        <v>1</v>
      </c>
      <c r="H21" s="16" t="b">
        <v>1</v>
      </c>
      <c r="I21" s="16" t="b">
        <v>0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13 dari 31 (42%)</v>
      </c>
    </row>
    <row r="22" ht="22.5" customHeight="1">
      <c r="A22" s="2">
        <v>21.0</v>
      </c>
      <c r="B22" s="18"/>
      <c r="C22" s="20">
        <v>28789.0</v>
      </c>
      <c r="D22" s="12" t="s">
        <v>51</v>
      </c>
      <c r="E22" s="12" t="s">
        <v>61</v>
      </c>
      <c r="F22" s="13"/>
      <c r="G22" s="6" t="b">
        <v>1</v>
      </c>
      <c r="H22" s="6" t="b">
        <v>1</v>
      </c>
      <c r="I22" s="6" t="b">
        <v>0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13 dari 31 (42%)</v>
      </c>
    </row>
    <row r="23" ht="22.5" customHeight="1">
      <c r="A23" s="10">
        <v>22.0</v>
      </c>
      <c r="B23" s="11"/>
      <c r="C23" s="20">
        <v>58232.0</v>
      </c>
      <c r="D23" s="12" t="s">
        <v>63</v>
      </c>
      <c r="E23" s="12" t="s">
        <v>64</v>
      </c>
      <c r="F23" s="13"/>
      <c r="G23" s="16" t="b">
        <v>1</v>
      </c>
      <c r="H23" s="16" t="b">
        <v>1</v>
      </c>
      <c r="I23" s="16" t="b">
        <v>1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1</v>
      </c>
      <c r="AJ23" s="16" t="b">
        <v>0</v>
      </c>
      <c r="AK23" s="16" t="b">
        <v>0</v>
      </c>
      <c r="AL23" s="17" t="str">
        <f t="shared" si="1"/>
        <v>15 dari 31 (48%)</v>
      </c>
    </row>
    <row r="24" ht="22.5" customHeight="1">
      <c r="A24" s="2">
        <v>23.0</v>
      </c>
      <c r="B24" s="18"/>
      <c r="C24" s="20">
        <v>60852.0</v>
      </c>
      <c r="D24" s="12" t="s">
        <v>63</v>
      </c>
      <c r="E24" s="12" t="s">
        <v>64</v>
      </c>
      <c r="F24" s="13"/>
      <c r="G24" s="6" t="b">
        <v>1</v>
      </c>
      <c r="H24" s="6" t="b">
        <v>1</v>
      </c>
      <c r="I24" s="6" t="b">
        <v>1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1</v>
      </c>
      <c r="AJ24" s="6" t="b">
        <v>0</v>
      </c>
      <c r="AK24" s="6" t="b">
        <v>0</v>
      </c>
      <c r="AL24" s="9" t="str">
        <f t="shared" si="1"/>
        <v>15 dari 31 (48%)</v>
      </c>
    </row>
    <row r="25" ht="22.5" customHeight="1">
      <c r="A25" s="10">
        <v>24.0</v>
      </c>
      <c r="B25" s="11"/>
      <c r="C25" s="20">
        <v>60859.0</v>
      </c>
      <c r="D25" s="12" t="s">
        <v>63</v>
      </c>
      <c r="E25" s="12" t="s">
        <v>64</v>
      </c>
      <c r="F25" s="13"/>
      <c r="G25" s="16" t="b">
        <v>1</v>
      </c>
      <c r="H25" s="16" t="b">
        <v>1</v>
      </c>
      <c r="I25" s="16" t="b">
        <v>1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1</v>
      </c>
      <c r="AJ25" s="16" t="b">
        <v>0</v>
      </c>
      <c r="AK25" s="16" t="b">
        <v>0</v>
      </c>
      <c r="AL25" s="17" t="str">
        <f t="shared" si="1"/>
        <v>15 dari 31 (48%)</v>
      </c>
    </row>
    <row r="26" ht="22.5" customHeight="1">
      <c r="A26" s="2">
        <v>25.0</v>
      </c>
      <c r="B26" s="18"/>
      <c r="C26" s="20">
        <v>54421.0</v>
      </c>
      <c r="D26" s="12" t="s">
        <v>63</v>
      </c>
      <c r="E26" s="12" t="s">
        <v>64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0</v>
      </c>
      <c r="M26" s="6" t="b">
        <v>1</v>
      </c>
      <c r="N26" s="6" t="b">
        <v>1</v>
      </c>
      <c r="O26" s="6" t="b">
        <v>1</v>
      </c>
      <c r="P26" s="6" t="b">
        <v>0</v>
      </c>
      <c r="Q26" s="6" t="b">
        <v>0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1</v>
      </c>
      <c r="AJ26" s="6" t="b">
        <v>0</v>
      </c>
      <c r="AK26" s="6" t="b">
        <v>0</v>
      </c>
      <c r="AL26" s="9" t="str">
        <f t="shared" si="1"/>
        <v>12 dari 31 (39%)</v>
      </c>
    </row>
    <row r="27" ht="22.5" customHeight="1">
      <c r="A27" s="10">
        <v>26.0</v>
      </c>
      <c r="B27" s="11"/>
      <c r="C27" s="22">
        <v>61013.0</v>
      </c>
      <c r="D27" s="12" t="s">
        <v>63</v>
      </c>
      <c r="E27" s="12" t="s">
        <v>64</v>
      </c>
      <c r="F27" s="13"/>
      <c r="G27" s="16" t="b">
        <v>1</v>
      </c>
      <c r="H27" s="16" t="b">
        <v>1</v>
      </c>
      <c r="I27" s="16" t="b">
        <v>1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1</v>
      </c>
      <c r="AJ27" s="16" t="b">
        <v>0</v>
      </c>
      <c r="AK27" s="16" t="b">
        <v>0</v>
      </c>
      <c r="AL27" s="17" t="str">
        <f t="shared" si="1"/>
        <v>15 dari 31 (48%)</v>
      </c>
    </row>
    <row r="28" ht="22.5" customHeight="1">
      <c r="A28" s="2">
        <v>27.0</v>
      </c>
      <c r="B28" s="18"/>
      <c r="C28" s="22">
        <v>45934.0</v>
      </c>
      <c r="D28" s="12" t="s">
        <v>63</v>
      </c>
      <c r="E28" s="12" t="s">
        <v>64</v>
      </c>
      <c r="F28" s="13"/>
      <c r="G28" s="6" t="b">
        <v>1</v>
      </c>
      <c r="H28" s="6" t="b">
        <v>1</v>
      </c>
      <c r="I28" s="6" t="b">
        <v>1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1</v>
      </c>
      <c r="AJ28" s="6" t="b">
        <v>0</v>
      </c>
      <c r="AK28" s="6" t="b">
        <v>0</v>
      </c>
      <c r="AL28" s="9" t="str">
        <f t="shared" si="1"/>
        <v>15 dari 31 (48%)</v>
      </c>
    </row>
    <row r="29" ht="22.5" customHeight="1">
      <c r="A29" s="10">
        <v>28.0</v>
      </c>
      <c r="B29" s="11"/>
      <c r="C29" s="22">
        <v>60979.0</v>
      </c>
      <c r="D29" s="12" t="s">
        <v>63</v>
      </c>
      <c r="E29" s="12" t="s">
        <v>64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1</v>
      </c>
      <c r="AJ29" s="16" t="b">
        <v>0</v>
      </c>
      <c r="AK29" s="16" t="b">
        <v>0</v>
      </c>
      <c r="AL29" s="17" t="str">
        <f t="shared" si="1"/>
        <v>15 dari 31 (48%)</v>
      </c>
    </row>
    <row r="30" ht="22.5" customHeight="1">
      <c r="A30" s="30">
        <v>29.0</v>
      </c>
      <c r="B30" s="31"/>
      <c r="C30" s="32">
        <v>20870.0</v>
      </c>
      <c r="D30" s="51" t="s">
        <v>63</v>
      </c>
      <c r="E30" s="51" t="s">
        <v>64</v>
      </c>
      <c r="F30" s="53"/>
      <c r="G30" s="35" t="b">
        <v>0</v>
      </c>
      <c r="H30" s="35" t="b">
        <v>0</v>
      </c>
      <c r="I30" s="35" t="b">
        <v>0</v>
      </c>
      <c r="J30" s="35" t="b">
        <v>0</v>
      </c>
      <c r="K30" s="35" t="b">
        <v>0</v>
      </c>
      <c r="L30" s="35" t="b">
        <v>0</v>
      </c>
      <c r="M30" s="35" t="b">
        <v>0</v>
      </c>
      <c r="N30" s="35" t="b">
        <v>0</v>
      </c>
      <c r="O30" s="35" t="b">
        <v>0</v>
      </c>
      <c r="P30" s="35" t="b">
        <v>0</v>
      </c>
      <c r="Q30" s="35" t="b">
        <v>0</v>
      </c>
      <c r="R30" s="35" t="b">
        <v>0</v>
      </c>
      <c r="S30" s="35" t="b">
        <v>0</v>
      </c>
      <c r="T30" s="35" t="b">
        <v>0</v>
      </c>
      <c r="U30" s="35" t="b">
        <v>0</v>
      </c>
      <c r="V30" s="35" t="b">
        <v>0</v>
      </c>
      <c r="W30" s="35" t="b">
        <v>0</v>
      </c>
      <c r="X30" s="35" t="b">
        <v>0</v>
      </c>
      <c r="Y30" s="35" t="b">
        <v>0</v>
      </c>
      <c r="Z30" s="35" t="b">
        <v>0</v>
      </c>
      <c r="AA30" s="35" t="b">
        <v>0</v>
      </c>
      <c r="AB30" s="35" t="b">
        <v>0</v>
      </c>
      <c r="AC30" s="35" t="b">
        <v>0</v>
      </c>
      <c r="AD30" s="35" t="b">
        <v>0</v>
      </c>
      <c r="AE30" s="35" t="b">
        <v>0</v>
      </c>
      <c r="AF30" s="35" t="b">
        <v>0</v>
      </c>
      <c r="AG30" s="35" t="b">
        <v>0</v>
      </c>
      <c r="AH30" s="35" t="b">
        <v>0</v>
      </c>
      <c r="AI30" s="35" t="b">
        <v>0</v>
      </c>
      <c r="AJ30" s="35" t="b">
        <v>0</v>
      </c>
      <c r="AK30" s="35" t="b">
        <v>0</v>
      </c>
      <c r="AL30" s="38" t="str">
        <f t="shared" si="1"/>
        <v>0 dari 31 (0%)</v>
      </c>
    </row>
    <row r="31" ht="22.5" customHeight="1">
      <c r="A31" s="10">
        <v>30.0</v>
      </c>
      <c r="B31" s="11"/>
      <c r="C31" s="22">
        <v>61042.0</v>
      </c>
      <c r="D31" s="12" t="s">
        <v>63</v>
      </c>
      <c r="E31" s="12" t="s">
        <v>64</v>
      </c>
      <c r="F31" s="13"/>
      <c r="G31" s="16" t="b">
        <v>1</v>
      </c>
      <c r="H31" s="16" t="b">
        <v>1</v>
      </c>
      <c r="I31" s="16" t="b">
        <v>1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15 dari 31 (48%)</v>
      </c>
    </row>
    <row r="32" ht="22.5" customHeight="1">
      <c r="A32" s="2">
        <v>31.0</v>
      </c>
      <c r="B32" s="18"/>
      <c r="C32" s="20">
        <v>55357.0</v>
      </c>
      <c r="D32" s="12" t="s">
        <v>63</v>
      </c>
      <c r="E32" s="12" t="s">
        <v>64</v>
      </c>
      <c r="F32" s="13"/>
      <c r="G32" s="6" t="b">
        <v>1</v>
      </c>
      <c r="H32" s="6" t="b">
        <v>1</v>
      </c>
      <c r="I32" s="6" t="b">
        <v>0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1</v>
      </c>
      <c r="AJ32" s="6" t="b">
        <v>0</v>
      </c>
      <c r="AK32" s="6" t="b">
        <v>0</v>
      </c>
      <c r="AL32" s="9" t="str">
        <f t="shared" si="1"/>
        <v>14 dari 31 (45%)</v>
      </c>
    </row>
    <row r="33" ht="22.5" customHeight="1">
      <c r="A33" s="10">
        <v>32.0</v>
      </c>
      <c r="B33" s="11"/>
      <c r="C33" s="20">
        <v>59422.0</v>
      </c>
      <c r="D33" s="12" t="s">
        <v>80</v>
      </c>
      <c r="E33" s="12" t="s">
        <v>91</v>
      </c>
      <c r="F33" s="13"/>
      <c r="G33" s="16" t="b">
        <v>1</v>
      </c>
      <c r="H33" s="16" t="b">
        <v>1</v>
      </c>
      <c r="I33" s="16" t="b">
        <v>0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14 dari 31 (45%)</v>
      </c>
    </row>
    <row r="34" ht="22.5" customHeight="1">
      <c r="A34" s="2">
        <v>33.0</v>
      </c>
      <c r="B34" s="18"/>
      <c r="C34" s="20">
        <v>60800.0</v>
      </c>
      <c r="D34" s="12" t="s">
        <v>39</v>
      </c>
      <c r="E34" s="12" t="s">
        <v>42</v>
      </c>
      <c r="F34" s="13"/>
      <c r="G34" s="6" t="b">
        <v>1</v>
      </c>
      <c r="H34" s="6" t="b">
        <v>1</v>
      </c>
      <c r="I34" s="6" t="b">
        <v>0</v>
      </c>
      <c r="J34" s="6" t="b">
        <v>0</v>
      </c>
      <c r="K34" s="6" t="b">
        <v>0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0</v>
      </c>
      <c r="U34" s="6" t="b">
        <v>0</v>
      </c>
      <c r="V34" s="6" t="b">
        <v>0</v>
      </c>
      <c r="W34" s="6" t="b">
        <v>1</v>
      </c>
      <c r="X34" s="6" t="b">
        <v>1</v>
      </c>
      <c r="Y34" s="6" t="b">
        <v>1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0</v>
      </c>
      <c r="AJ34" s="6" t="b">
        <v>0</v>
      </c>
      <c r="AK34" s="6" t="b">
        <v>0</v>
      </c>
      <c r="AL34" s="9" t="str">
        <f t="shared" si="1"/>
        <v>13 dari 31 (42%)</v>
      </c>
    </row>
    <row r="35" ht="22.5" customHeight="1">
      <c r="A35" s="10">
        <v>34.0</v>
      </c>
      <c r="B35" s="11"/>
      <c r="C35" s="20">
        <v>58116.0</v>
      </c>
      <c r="D35" s="12" t="s">
        <v>80</v>
      </c>
      <c r="E35" s="12" t="s">
        <v>49</v>
      </c>
      <c r="F35" s="14" t="s">
        <v>50</v>
      </c>
      <c r="G35" s="16" t="b">
        <v>1</v>
      </c>
      <c r="H35" s="16" t="b">
        <v>0</v>
      </c>
      <c r="I35" s="16" t="b">
        <v>0</v>
      </c>
      <c r="J35" s="16" t="b">
        <v>0</v>
      </c>
      <c r="K35" s="16" t="b">
        <v>0</v>
      </c>
      <c r="L35" s="16" t="b">
        <v>0</v>
      </c>
      <c r="M35" s="16" t="b">
        <v>0</v>
      </c>
      <c r="N35" s="16" t="b">
        <v>0</v>
      </c>
      <c r="O35" s="16" t="b">
        <v>0</v>
      </c>
      <c r="P35" s="16" t="b">
        <v>0</v>
      </c>
      <c r="Q35" s="16" t="b">
        <v>0</v>
      </c>
      <c r="R35" s="16" t="b">
        <v>0</v>
      </c>
      <c r="S35" s="16" t="b">
        <v>0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7" t="str">
        <f t="shared" si="1"/>
        <v>1 dari 31 (3%)</v>
      </c>
    </row>
    <row r="36" ht="22.5" customHeight="1">
      <c r="A36" s="2">
        <v>35.0</v>
      </c>
      <c r="B36" s="18"/>
      <c r="C36" s="20">
        <v>57868.0</v>
      </c>
      <c r="D36" s="12" t="s">
        <v>80</v>
      </c>
      <c r="E36" s="12" t="s">
        <v>43</v>
      </c>
      <c r="F36" s="13"/>
      <c r="G36" s="6" t="b">
        <v>1</v>
      </c>
      <c r="H36" s="6" t="b">
        <v>1</v>
      </c>
      <c r="I36" s="6" t="b">
        <v>0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14 dari 31 (45%)</v>
      </c>
    </row>
    <row r="37" ht="22.5" customHeight="1">
      <c r="A37" s="10">
        <v>36.0</v>
      </c>
      <c r="B37" s="11"/>
      <c r="C37" s="22">
        <v>52573.0</v>
      </c>
      <c r="D37" s="12" t="s">
        <v>80</v>
      </c>
      <c r="E37" s="12" t="s">
        <v>148</v>
      </c>
      <c r="F37" s="13"/>
      <c r="G37" s="16" t="b">
        <v>1</v>
      </c>
      <c r="H37" s="16" t="b">
        <v>1</v>
      </c>
      <c r="I37" s="16" t="b">
        <v>0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14 dari 31 (45%)</v>
      </c>
    </row>
    <row r="38" ht="22.5" customHeight="1">
      <c r="A38" s="2">
        <v>37.0</v>
      </c>
      <c r="B38" s="18"/>
      <c r="C38" s="22">
        <v>34933.0</v>
      </c>
      <c r="D38" s="12" t="s">
        <v>80</v>
      </c>
      <c r="E38" s="12" t="s">
        <v>49</v>
      </c>
      <c r="F38" s="13"/>
      <c r="G38" s="6" t="b">
        <v>1</v>
      </c>
      <c r="H38" s="6" t="b">
        <v>1</v>
      </c>
      <c r="I38" s="6" t="b">
        <v>0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1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1</v>
      </c>
      <c r="AJ38" s="6" t="b">
        <v>0</v>
      </c>
      <c r="AK38" s="6" t="b">
        <v>0</v>
      </c>
      <c r="AL38" s="9" t="str">
        <f t="shared" si="1"/>
        <v>14 dari 31 (45%)</v>
      </c>
    </row>
    <row r="39" ht="22.5" customHeight="1">
      <c r="A39" s="10">
        <v>38.0</v>
      </c>
      <c r="B39" s="11"/>
      <c r="C39" s="22">
        <v>56617.0</v>
      </c>
      <c r="D39" s="12" t="s">
        <v>53</v>
      </c>
      <c r="E39" s="12" t="s">
        <v>125</v>
      </c>
      <c r="F39" s="13"/>
      <c r="G39" s="16" t="b">
        <v>1</v>
      </c>
      <c r="H39" s="16" t="b">
        <v>1</v>
      </c>
      <c r="I39" s="16" t="b">
        <v>1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1</v>
      </c>
      <c r="AJ39" s="16" t="b">
        <v>0</v>
      </c>
      <c r="AK39" s="16" t="b">
        <v>0</v>
      </c>
      <c r="AL39" s="17" t="str">
        <f t="shared" si="1"/>
        <v>15 dari 31 (48%)</v>
      </c>
    </row>
    <row r="40" ht="22.5" customHeight="1">
      <c r="A40" s="30">
        <v>39.0</v>
      </c>
      <c r="B40" s="31"/>
      <c r="C40" s="32">
        <v>58700.0</v>
      </c>
      <c r="D40" s="51" t="s">
        <v>53</v>
      </c>
      <c r="E40" s="51" t="s">
        <v>125</v>
      </c>
      <c r="F40" s="53"/>
      <c r="G40" s="35" t="b">
        <v>0</v>
      </c>
      <c r="H40" s="35" t="b">
        <v>0</v>
      </c>
      <c r="I40" s="35" t="b">
        <v>0</v>
      </c>
      <c r="J40" s="35" t="b">
        <v>0</v>
      </c>
      <c r="K40" s="35" t="b">
        <v>0</v>
      </c>
      <c r="L40" s="35" t="b">
        <v>0</v>
      </c>
      <c r="M40" s="35" t="b">
        <v>0</v>
      </c>
      <c r="N40" s="35" t="b">
        <v>0</v>
      </c>
      <c r="O40" s="35" t="b">
        <v>0</v>
      </c>
      <c r="P40" s="35" t="b">
        <v>0</v>
      </c>
      <c r="Q40" s="35" t="b">
        <v>0</v>
      </c>
      <c r="R40" s="35" t="b">
        <v>0</v>
      </c>
      <c r="S40" s="35" t="b">
        <v>0</v>
      </c>
      <c r="T40" s="35" t="b">
        <v>0</v>
      </c>
      <c r="U40" s="35" t="b">
        <v>0</v>
      </c>
      <c r="V40" s="35" t="b">
        <v>0</v>
      </c>
      <c r="W40" s="35" t="b">
        <v>0</v>
      </c>
      <c r="X40" s="35" t="b">
        <v>0</v>
      </c>
      <c r="Y40" s="35" t="b">
        <v>0</v>
      </c>
      <c r="Z40" s="35" t="b">
        <v>0</v>
      </c>
      <c r="AA40" s="35" t="b">
        <v>0</v>
      </c>
      <c r="AB40" s="35" t="b">
        <v>0</v>
      </c>
      <c r="AC40" s="35" t="b">
        <v>0</v>
      </c>
      <c r="AD40" s="35" t="b">
        <v>0</v>
      </c>
      <c r="AE40" s="35" t="b">
        <v>0</v>
      </c>
      <c r="AF40" s="35" t="b">
        <v>0</v>
      </c>
      <c r="AG40" s="35" t="b">
        <v>0</v>
      </c>
      <c r="AH40" s="35" t="b">
        <v>0</v>
      </c>
      <c r="AI40" s="35" t="b">
        <v>0</v>
      </c>
      <c r="AJ40" s="35" t="b">
        <v>0</v>
      </c>
      <c r="AK40" s="35" t="b">
        <v>0</v>
      </c>
      <c r="AL40" s="38" t="str">
        <f t="shared" si="1"/>
        <v>0 dari 31 (0%)</v>
      </c>
    </row>
    <row r="41" ht="22.5" customHeight="1">
      <c r="A41" s="10">
        <v>40.0</v>
      </c>
      <c r="B41" s="11"/>
      <c r="C41" s="22">
        <v>58297.0</v>
      </c>
      <c r="D41" s="12" t="s">
        <v>53</v>
      </c>
      <c r="E41" s="12" t="s">
        <v>125</v>
      </c>
      <c r="F41" s="13"/>
      <c r="G41" s="16" t="b">
        <v>1</v>
      </c>
      <c r="H41" s="16" t="b">
        <v>1</v>
      </c>
      <c r="I41" s="16" t="b">
        <v>1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15 dari 31 (48%)</v>
      </c>
    </row>
    <row r="42" ht="22.5" customHeight="1">
      <c r="A42" s="2">
        <v>41.0</v>
      </c>
      <c r="B42" s="18"/>
      <c r="C42" s="20">
        <v>40030.0</v>
      </c>
      <c r="D42" s="12" t="s">
        <v>53</v>
      </c>
      <c r="E42" s="12" t="s">
        <v>139</v>
      </c>
      <c r="F42" s="13"/>
      <c r="G42" s="6" t="b">
        <v>1</v>
      </c>
      <c r="H42" s="6" t="b">
        <v>1</v>
      </c>
      <c r="I42" s="6" t="b">
        <v>1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1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1</v>
      </c>
      <c r="AJ42" s="6" t="b">
        <v>0</v>
      </c>
      <c r="AK42" s="6" t="b">
        <v>0</v>
      </c>
      <c r="AL42" s="9" t="str">
        <f t="shared" si="1"/>
        <v>15 dari 31 (48%)</v>
      </c>
    </row>
    <row r="43" ht="22.5" customHeight="1">
      <c r="A43" s="10">
        <v>42.0</v>
      </c>
      <c r="B43" s="11"/>
      <c r="C43" s="20">
        <v>51073.0</v>
      </c>
      <c r="D43" s="12" t="s">
        <v>53</v>
      </c>
      <c r="E43" s="12" t="s">
        <v>139</v>
      </c>
      <c r="F43" s="13"/>
      <c r="G43" s="16" t="b">
        <v>1</v>
      </c>
      <c r="H43" s="16" t="b">
        <v>1</v>
      </c>
      <c r="I43" s="16" t="b">
        <v>1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1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1</v>
      </c>
      <c r="AJ43" s="16" t="b">
        <v>0</v>
      </c>
      <c r="AK43" s="16" t="b">
        <v>0</v>
      </c>
      <c r="AL43" s="17" t="str">
        <f t="shared" si="1"/>
        <v>15 dari 31 (48%)</v>
      </c>
    </row>
    <row r="44" ht="22.5" customHeight="1">
      <c r="A44" s="30">
        <v>43.0</v>
      </c>
      <c r="B44" s="31"/>
      <c r="C44" s="60">
        <v>39415.0</v>
      </c>
      <c r="D44" s="51" t="s">
        <v>53</v>
      </c>
      <c r="E44" s="51" t="s">
        <v>139</v>
      </c>
      <c r="F44" s="53"/>
      <c r="G44" s="35" t="b">
        <v>0</v>
      </c>
      <c r="H44" s="35" t="b">
        <v>0</v>
      </c>
      <c r="I44" s="35" t="b">
        <v>0</v>
      </c>
      <c r="J44" s="35" t="b">
        <v>0</v>
      </c>
      <c r="K44" s="35" t="b">
        <v>0</v>
      </c>
      <c r="L44" s="35" t="b">
        <v>0</v>
      </c>
      <c r="M44" s="35" t="b">
        <v>0</v>
      </c>
      <c r="N44" s="35" t="b">
        <v>0</v>
      </c>
      <c r="O44" s="35" t="b">
        <v>0</v>
      </c>
      <c r="P44" s="35" t="b">
        <v>0</v>
      </c>
      <c r="Q44" s="35" t="b">
        <v>0</v>
      </c>
      <c r="R44" s="35" t="b">
        <v>0</v>
      </c>
      <c r="S44" s="35" t="b">
        <v>0</v>
      </c>
      <c r="T44" s="35" t="b">
        <v>0</v>
      </c>
      <c r="U44" s="35" t="b">
        <v>0</v>
      </c>
      <c r="V44" s="35" t="b">
        <v>0</v>
      </c>
      <c r="W44" s="35" t="b">
        <v>0</v>
      </c>
      <c r="X44" s="35" t="b">
        <v>0</v>
      </c>
      <c r="Y44" s="35" t="b">
        <v>0</v>
      </c>
      <c r="Z44" s="35" t="b">
        <v>0</v>
      </c>
      <c r="AA44" s="35" t="b">
        <v>0</v>
      </c>
      <c r="AB44" s="35" t="b">
        <v>0</v>
      </c>
      <c r="AC44" s="35" t="b">
        <v>0</v>
      </c>
      <c r="AD44" s="35" t="b">
        <v>0</v>
      </c>
      <c r="AE44" s="35" t="b">
        <v>0</v>
      </c>
      <c r="AF44" s="35" t="b">
        <v>0</v>
      </c>
      <c r="AG44" s="35" t="b">
        <v>0</v>
      </c>
      <c r="AH44" s="35" t="b">
        <v>0</v>
      </c>
      <c r="AI44" s="35" t="b">
        <v>0</v>
      </c>
      <c r="AJ44" s="35" t="b">
        <v>0</v>
      </c>
      <c r="AK44" s="35" t="b">
        <v>0</v>
      </c>
      <c r="AL44" s="38" t="str">
        <f t="shared" si="1"/>
        <v>0 dari 31 (0%)</v>
      </c>
    </row>
    <row r="45" ht="22.5" customHeight="1">
      <c r="A45" s="10">
        <v>44.0</v>
      </c>
      <c r="B45" s="11"/>
      <c r="C45" s="20">
        <v>56565.0</v>
      </c>
      <c r="D45" s="12" t="s">
        <v>53</v>
      </c>
      <c r="E45" s="12" t="s">
        <v>139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15 dari 31 (48%)</v>
      </c>
    </row>
    <row r="46" ht="22.5" customHeight="1">
      <c r="A46" s="2">
        <v>45.0</v>
      </c>
      <c r="B46" s="18"/>
      <c r="C46" s="20">
        <v>60616.0</v>
      </c>
      <c r="D46" s="12" t="s">
        <v>56</v>
      </c>
      <c r="E46" s="12" t="s">
        <v>60</v>
      </c>
      <c r="F46" s="13"/>
      <c r="G46" s="6" t="b">
        <v>1</v>
      </c>
      <c r="H46" s="6" t="b">
        <v>1</v>
      </c>
      <c r="I46" s="6" t="b">
        <v>1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1</v>
      </c>
      <c r="AJ46" s="6" t="b">
        <v>0</v>
      </c>
      <c r="AK46" s="6" t="b">
        <v>0</v>
      </c>
      <c r="AL46" s="9" t="str">
        <f t="shared" si="1"/>
        <v>15 dari 31 (48%)</v>
      </c>
    </row>
    <row r="47" ht="22.5" customHeight="1">
      <c r="A47" s="10">
        <v>46.0</v>
      </c>
      <c r="B47" s="11"/>
      <c r="C47" s="22">
        <v>51249.0</v>
      </c>
      <c r="D47" s="12" t="s">
        <v>56</v>
      </c>
      <c r="E47" s="12" t="s">
        <v>87</v>
      </c>
      <c r="F47" s="13"/>
      <c r="G47" s="16" t="b">
        <v>1</v>
      </c>
      <c r="H47" s="16" t="b">
        <v>1</v>
      </c>
      <c r="I47" s="16" t="b">
        <v>1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1</v>
      </c>
      <c r="S47" s="16" t="b">
        <v>1</v>
      </c>
      <c r="T47" s="16" t="b">
        <v>1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15 dari 31 (48%)</v>
      </c>
    </row>
    <row r="48" ht="22.5" customHeight="1">
      <c r="A48" s="10">
        <v>47.0</v>
      </c>
      <c r="B48" s="18"/>
      <c r="C48" s="22">
        <v>57803.0</v>
      </c>
      <c r="D48" s="12" t="s">
        <v>54</v>
      </c>
      <c r="E48" s="12" t="s">
        <v>55</v>
      </c>
      <c r="F48" s="13"/>
      <c r="G48" s="6" t="b">
        <v>1</v>
      </c>
      <c r="H48" s="6" t="b">
        <v>1</v>
      </c>
      <c r="I48" s="6" t="b">
        <v>0</v>
      </c>
      <c r="J48" s="6" t="b">
        <v>0</v>
      </c>
      <c r="K48" s="6" t="b">
        <v>0</v>
      </c>
      <c r="L48" s="6" t="b">
        <v>0</v>
      </c>
      <c r="M48" s="6" t="b">
        <v>0</v>
      </c>
      <c r="N48" s="6" t="b">
        <v>0</v>
      </c>
      <c r="O48" s="6" t="b">
        <v>0</v>
      </c>
      <c r="P48" s="6" t="b">
        <v>0</v>
      </c>
      <c r="Q48" s="6" t="b">
        <v>0</v>
      </c>
      <c r="R48" s="6" t="b">
        <v>1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5 dari 31 (16%)</v>
      </c>
    </row>
    <row r="49" ht="22.5" customHeight="1">
      <c r="A49" s="2">
        <v>48.0</v>
      </c>
      <c r="B49" s="11"/>
      <c r="C49" s="22">
        <v>58813.0</v>
      </c>
      <c r="D49" s="12" t="s">
        <v>68</v>
      </c>
      <c r="E49" s="12" t="s">
        <v>152</v>
      </c>
      <c r="F49" s="13"/>
      <c r="G49" s="16" t="b">
        <v>1</v>
      </c>
      <c r="H49" s="16" t="b">
        <v>1</v>
      </c>
      <c r="I49" s="16" t="b">
        <v>1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14 dari 31 (45%)</v>
      </c>
    </row>
    <row r="50" ht="22.5" customHeight="1">
      <c r="A50" s="10">
        <v>49.0</v>
      </c>
      <c r="B50" s="11"/>
      <c r="C50" s="22">
        <v>60907.0</v>
      </c>
      <c r="D50" s="12" t="s">
        <v>68</v>
      </c>
      <c r="E50" s="12" t="s">
        <v>69</v>
      </c>
      <c r="F50" s="13"/>
      <c r="G50" s="6" t="b">
        <v>1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0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1</v>
      </c>
      <c r="AJ50" s="6" t="b">
        <v>0</v>
      </c>
      <c r="AK50" s="6" t="b">
        <v>0</v>
      </c>
      <c r="AL50" s="9" t="str">
        <f t="shared" si="1"/>
        <v>14 dari 31 (45%)</v>
      </c>
    </row>
    <row r="51" ht="22.5" customHeight="1">
      <c r="A51" s="10">
        <v>50.0</v>
      </c>
      <c r="B51" s="11"/>
      <c r="C51" s="22">
        <v>61148.0</v>
      </c>
      <c r="D51" s="12" t="s">
        <v>68</v>
      </c>
      <c r="E51" s="12" t="s">
        <v>86</v>
      </c>
      <c r="F51" s="15" t="s">
        <v>50</v>
      </c>
      <c r="G51" s="6" t="b">
        <v>1</v>
      </c>
      <c r="H51" s="6" t="b">
        <v>0</v>
      </c>
      <c r="I51" s="6" t="b">
        <v>0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1</v>
      </c>
      <c r="AJ51" s="6" t="b">
        <v>0</v>
      </c>
      <c r="AK51" s="6" t="b">
        <v>0</v>
      </c>
      <c r="AL51" s="17" t="str">
        <f t="shared" si="1"/>
        <v>12 dari 31 (39%)</v>
      </c>
    </row>
    <row r="52" ht="22.5" customHeight="1">
      <c r="A52" s="2">
        <v>51.0</v>
      </c>
      <c r="B52" s="11"/>
      <c r="C52" s="20">
        <v>61147.0</v>
      </c>
      <c r="D52" s="12" t="s">
        <v>39</v>
      </c>
      <c r="E52" s="12" t="s">
        <v>57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1</v>
      </c>
      <c r="AA52" s="6" t="b">
        <v>1</v>
      </c>
      <c r="AB52" s="6" t="b">
        <v>1</v>
      </c>
      <c r="AC52" s="6" t="b">
        <v>1</v>
      </c>
      <c r="AD52" s="6" t="b">
        <v>1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20 dari 31 (65%)</v>
      </c>
    </row>
    <row r="53" ht="22.5" customHeight="1">
      <c r="A53" s="10">
        <v>52.0</v>
      </c>
      <c r="B53" s="11"/>
      <c r="C53" s="20">
        <v>44277.0</v>
      </c>
      <c r="D53" s="12" t="s">
        <v>40</v>
      </c>
      <c r="E53" s="12" t="s">
        <v>49</v>
      </c>
      <c r="F53" s="15" t="s">
        <v>50</v>
      </c>
      <c r="G53" s="6" t="b">
        <v>1</v>
      </c>
      <c r="H53" s="6" t="b">
        <v>1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  <c r="P53" s="6" t="b">
        <v>0</v>
      </c>
      <c r="Q53" s="6" t="b">
        <v>0</v>
      </c>
      <c r="R53" s="6" t="b">
        <v>0</v>
      </c>
      <c r="S53" s="6" t="b">
        <v>0</v>
      </c>
      <c r="T53" s="6" t="b">
        <v>0</v>
      </c>
      <c r="U53" s="6" t="b">
        <v>1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3 dari 31 (10%)</v>
      </c>
    </row>
    <row r="54" ht="22.5" customHeight="1">
      <c r="A54" s="10">
        <v>53.0</v>
      </c>
      <c r="B54" s="11"/>
      <c r="C54" s="20">
        <v>57348.0</v>
      </c>
      <c r="D54" s="12" t="s">
        <v>39</v>
      </c>
      <c r="E54" s="12" t="s">
        <v>57</v>
      </c>
      <c r="F54" s="13"/>
      <c r="G54" s="6" t="b">
        <v>1</v>
      </c>
      <c r="H54" s="6" t="b">
        <v>1</v>
      </c>
      <c r="I54" s="6" t="b">
        <v>1</v>
      </c>
      <c r="J54" s="6" t="b">
        <v>0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1</v>
      </c>
      <c r="X54" s="6" t="b">
        <v>1</v>
      </c>
      <c r="Y54" s="6" t="b">
        <v>1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17 dari 31 (55%)</v>
      </c>
    </row>
    <row r="55" ht="22.5" customHeight="1">
      <c r="A55" s="2">
        <v>54.0</v>
      </c>
      <c r="B55" s="11"/>
      <c r="C55" s="20">
        <v>61009.0</v>
      </c>
      <c r="D55" s="12" t="s">
        <v>63</v>
      </c>
      <c r="E55" s="12" t="s">
        <v>64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1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1</v>
      </c>
      <c r="AJ55" s="6" t="b">
        <v>0</v>
      </c>
      <c r="AK55" s="6" t="b">
        <v>0</v>
      </c>
      <c r="AL55" s="9" t="str">
        <f t="shared" si="1"/>
        <v>15 dari 31 (48%)</v>
      </c>
    </row>
    <row r="56" ht="22.5" customHeight="1">
      <c r="A56" s="10">
        <v>55.0</v>
      </c>
      <c r="B56" s="11"/>
      <c r="C56" s="20">
        <v>61152.0</v>
      </c>
      <c r="D56" s="12" t="s">
        <v>41</v>
      </c>
      <c r="E56" s="12" t="s">
        <v>48</v>
      </c>
      <c r="F56" s="13"/>
      <c r="G56" s="6" t="b">
        <v>1</v>
      </c>
      <c r="H56" s="6" t="b">
        <v>1</v>
      </c>
      <c r="I56" s="6" t="b">
        <v>1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1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1</v>
      </c>
      <c r="AA56" s="6" t="b">
        <v>1</v>
      </c>
      <c r="AB56" s="6" t="b">
        <v>1</v>
      </c>
      <c r="AC56" s="6" t="b">
        <v>1</v>
      </c>
      <c r="AD56" s="6" t="b">
        <v>1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1"/>
        <v>20 dari 31 (65%)</v>
      </c>
    </row>
    <row r="57" ht="22.5" customHeight="1">
      <c r="A57" s="10">
        <v>56.0</v>
      </c>
      <c r="B57" s="11"/>
      <c r="C57" s="22">
        <v>61150.0</v>
      </c>
      <c r="D57" s="12" t="s">
        <v>85</v>
      </c>
      <c r="E57" s="12" t="s">
        <v>86</v>
      </c>
      <c r="F57" s="15" t="s">
        <v>50</v>
      </c>
      <c r="G57" s="6" t="b">
        <v>1</v>
      </c>
      <c r="H57" s="6" t="b">
        <v>1</v>
      </c>
      <c r="I57" s="6" t="b">
        <v>0</v>
      </c>
      <c r="J57" s="6" t="b">
        <v>0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1</v>
      </c>
      <c r="AJ57" s="6" t="b">
        <v>0</v>
      </c>
      <c r="AK57" s="6" t="b">
        <v>0</v>
      </c>
      <c r="AL57" s="17" t="str">
        <f t="shared" si="1"/>
        <v>12 dari 31 (39%)</v>
      </c>
    </row>
    <row r="58" ht="22.5" customHeight="1">
      <c r="A58" s="2">
        <v>57.0</v>
      </c>
      <c r="B58" s="11"/>
      <c r="C58" s="22">
        <v>61149.0</v>
      </c>
      <c r="D58" s="12" t="s">
        <v>39</v>
      </c>
      <c r="E58" s="12" t="s">
        <v>42</v>
      </c>
      <c r="F58" s="13"/>
      <c r="G58" s="6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1"/>
        <v>15 dari 31 (48%)</v>
      </c>
    </row>
    <row r="59" ht="22.5" customHeight="1">
      <c r="A59" s="10">
        <v>58.0</v>
      </c>
      <c r="B59" s="11"/>
      <c r="C59" s="22">
        <v>59933.0</v>
      </c>
      <c r="D59" s="12" t="s">
        <v>68</v>
      </c>
      <c r="E59" s="12" t="s">
        <v>153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1</v>
      </c>
      <c r="AJ59" s="6" t="b">
        <v>0</v>
      </c>
      <c r="AK59" s="6" t="b">
        <v>0</v>
      </c>
      <c r="AL59" s="9" t="str">
        <f t="shared" si="1"/>
        <v>14 dari 31 (45%)</v>
      </c>
    </row>
    <row r="60" ht="22.5" customHeight="1">
      <c r="A60" s="10">
        <v>59.0</v>
      </c>
      <c r="B60" s="11"/>
      <c r="C60" s="22">
        <v>60982.0</v>
      </c>
      <c r="D60" s="12" t="s">
        <v>68</v>
      </c>
      <c r="E60" s="12" t="s">
        <v>69</v>
      </c>
      <c r="F60" s="13"/>
      <c r="G60" s="6" t="b">
        <v>1</v>
      </c>
      <c r="H60" s="6" t="b">
        <v>1</v>
      </c>
      <c r="I60" s="6" t="b">
        <v>1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1</v>
      </c>
      <c r="AJ60" s="6" t="b">
        <v>0</v>
      </c>
      <c r="AK60" s="6" t="b">
        <v>0</v>
      </c>
      <c r="AL60" s="17" t="str">
        <f t="shared" si="1"/>
        <v>14 dari 31 (45%)</v>
      </c>
    </row>
    <row r="61" ht="22.5" customHeight="1">
      <c r="A61" s="2">
        <v>60.0</v>
      </c>
      <c r="B61" s="11"/>
      <c r="C61" s="22">
        <v>61151.0</v>
      </c>
      <c r="D61" s="12" t="s">
        <v>54</v>
      </c>
      <c r="E61" s="12" t="s">
        <v>55</v>
      </c>
      <c r="F61" s="13"/>
      <c r="G61" s="6" t="b">
        <v>1</v>
      </c>
      <c r="H61" s="6" t="b">
        <v>1</v>
      </c>
      <c r="I61" s="6" t="b">
        <v>1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1</v>
      </c>
      <c r="AJ61" s="6" t="b">
        <v>0</v>
      </c>
      <c r="AK61" s="6" t="b">
        <v>0</v>
      </c>
      <c r="AL61" s="9" t="str">
        <f t="shared" si="1"/>
        <v>15 dari 31 (48%)</v>
      </c>
    </row>
    <row r="62" ht="22.5" customHeight="1">
      <c r="A62" s="10">
        <v>61.0</v>
      </c>
      <c r="B62" s="11"/>
      <c r="C62" s="20">
        <v>60653.0</v>
      </c>
      <c r="D62" s="12" t="s">
        <v>101</v>
      </c>
      <c r="E62" s="12" t="s">
        <v>106</v>
      </c>
      <c r="F62" s="13"/>
      <c r="G62" s="6" t="b">
        <v>1</v>
      </c>
      <c r="H62" s="6" t="b">
        <v>1</v>
      </c>
      <c r="I62" s="6" t="b">
        <v>1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14 dari 31 (45%)</v>
      </c>
    </row>
    <row r="63" ht="22.5" customHeight="1">
      <c r="A63" s="10">
        <v>62.0</v>
      </c>
      <c r="B63" s="11"/>
      <c r="C63" s="20">
        <v>56193.0</v>
      </c>
      <c r="D63" s="12" t="s">
        <v>101</v>
      </c>
      <c r="E63" s="12" t="s">
        <v>106</v>
      </c>
      <c r="F63" s="13"/>
      <c r="G63" s="6" t="b">
        <v>1</v>
      </c>
      <c r="H63" s="6" t="b">
        <v>1</v>
      </c>
      <c r="I63" s="6" t="b">
        <v>1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14 dari 31 (45%)</v>
      </c>
    </row>
    <row r="64" ht="22.5" customHeight="1">
      <c r="A64" s="30">
        <v>63.0</v>
      </c>
      <c r="B64" s="62"/>
      <c r="C64" s="60">
        <v>55787.0</v>
      </c>
      <c r="D64" s="51" t="s">
        <v>80</v>
      </c>
      <c r="E64" s="51" t="s">
        <v>91</v>
      </c>
      <c r="F64" s="53"/>
      <c r="G64" s="35" t="b">
        <v>0</v>
      </c>
      <c r="H64" s="35" t="b">
        <v>0</v>
      </c>
      <c r="I64" s="35" t="b">
        <v>0</v>
      </c>
      <c r="J64" s="35" t="b">
        <v>0</v>
      </c>
      <c r="K64" s="35" t="b">
        <v>0</v>
      </c>
      <c r="L64" s="35" t="b">
        <v>0</v>
      </c>
      <c r="M64" s="35" t="b">
        <v>0</v>
      </c>
      <c r="N64" s="35" t="b">
        <v>0</v>
      </c>
      <c r="O64" s="35" t="b">
        <v>0</v>
      </c>
      <c r="P64" s="35" t="b">
        <v>0</v>
      </c>
      <c r="Q64" s="35" t="b">
        <v>0</v>
      </c>
      <c r="R64" s="35" t="b">
        <v>0</v>
      </c>
      <c r="S64" s="35" t="b">
        <v>0</v>
      </c>
      <c r="T64" s="35" t="b">
        <v>0</v>
      </c>
      <c r="U64" s="35" t="b">
        <v>0</v>
      </c>
      <c r="V64" s="35" t="b">
        <v>0</v>
      </c>
      <c r="W64" s="35" t="b">
        <v>0</v>
      </c>
      <c r="X64" s="35" t="b">
        <v>0</v>
      </c>
      <c r="Y64" s="35" t="b">
        <v>0</v>
      </c>
      <c r="Z64" s="35" t="b">
        <v>0</v>
      </c>
      <c r="AA64" s="35" t="b">
        <v>0</v>
      </c>
      <c r="AB64" s="35" t="b">
        <v>0</v>
      </c>
      <c r="AC64" s="35" t="b">
        <v>0</v>
      </c>
      <c r="AD64" s="35" t="b">
        <v>0</v>
      </c>
      <c r="AE64" s="35" t="b">
        <v>0</v>
      </c>
      <c r="AF64" s="35" t="b">
        <v>0</v>
      </c>
      <c r="AG64" s="35" t="b">
        <v>0</v>
      </c>
      <c r="AH64" s="35" t="b">
        <v>0</v>
      </c>
      <c r="AI64" s="35" t="b">
        <v>0</v>
      </c>
      <c r="AJ64" s="35" t="b">
        <v>0</v>
      </c>
      <c r="AK64" s="35" t="b">
        <v>0</v>
      </c>
      <c r="AL64" s="38" t="str">
        <f t="shared" si="1"/>
        <v>0 dari 31 (0%)</v>
      </c>
    </row>
    <row r="65" ht="22.5" customHeight="1">
      <c r="A65" s="10">
        <v>64.0</v>
      </c>
      <c r="B65" s="11"/>
      <c r="C65" s="20">
        <v>52070.0</v>
      </c>
      <c r="D65" s="12" t="s">
        <v>80</v>
      </c>
      <c r="E65" s="12" t="s">
        <v>43</v>
      </c>
      <c r="F65" s="13"/>
      <c r="G65" s="6" t="b">
        <v>1</v>
      </c>
      <c r="H65" s="6" t="b">
        <v>1</v>
      </c>
      <c r="I65" s="6" t="b">
        <v>0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1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1</v>
      </c>
      <c r="AJ65" s="6" t="b">
        <v>0</v>
      </c>
      <c r="AK65" s="6" t="b">
        <v>0</v>
      </c>
      <c r="AL65" s="9" t="str">
        <f t="shared" si="1"/>
        <v>14 dari 31 (45%)</v>
      </c>
    </row>
    <row r="66" ht="22.5" customHeight="1">
      <c r="A66" s="10">
        <v>65.0</v>
      </c>
      <c r="B66" s="11"/>
      <c r="C66" s="20">
        <v>40522.0</v>
      </c>
      <c r="D66" s="12" t="s">
        <v>80</v>
      </c>
      <c r="E66" s="12" t="s">
        <v>49</v>
      </c>
      <c r="F66" s="13"/>
      <c r="G66" s="6" t="b">
        <v>1</v>
      </c>
      <c r="H66" s="6" t="b">
        <v>1</v>
      </c>
      <c r="I66" s="6" t="b">
        <v>0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14 dari 31 (45%)</v>
      </c>
    </row>
    <row r="67" ht="22.5" customHeight="1">
      <c r="A67" s="2">
        <v>66.0</v>
      </c>
      <c r="B67" s="11"/>
      <c r="C67" s="22">
        <v>58114.0</v>
      </c>
      <c r="D67" s="12" t="s">
        <v>80</v>
      </c>
      <c r="E67" s="12" t="s">
        <v>154</v>
      </c>
      <c r="F67" s="13"/>
      <c r="G67" s="6" t="b">
        <v>1</v>
      </c>
      <c r="H67" s="6" t="b">
        <v>1</v>
      </c>
      <c r="I67" s="6" t="b">
        <v>0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14 dari 31 (45%)</v>
      </c>
    </row>
    <row r="68" ht="22.5" customHeight="1">
      <c r="A68" s="10">
        <v>67.0</v>
      </c>
      <c r="B68" s="11"/>
      <c r="C68" s="22">
        <v>58357.0</v>
      </c>
      <c r="D68" s="12" t="s">
        <v>68</v>
      </c>
      <c r="E68" s="12" t="s">
        <v>153</v>
      </c>
      <c r="F68" s="13"/>
      <c r="G68" s="6" t="b">
        <v>1</v>
      </c>
      <c r="H68" s="6" t="b">
        <v>1</v>
      </c>
      <c r="I68" s="6" t="b">
        <v>1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1</v>
      </c>
      <c r="AJ68" s="6" t="b">
        <v>0</v>
      </c>
      <c r="AK68" s="6" t="b">
        <v>0</v>
      </c>
      <c r="AL68" s="9" t="str">
        <f t="shared" si="1"/>
        <v>14 dari 31 (45%)</v>
      </c>
    </row>
    <row r="69" ht="22.5" customHeight="1">
      <c r="A69" s="10">
        <v>68.0</v>
      </c>
      <c r="B69" s="11"/>
      <c r="C69" s="22">
        <v>51396.0</v>
      </c>
      <c r="D69" s="12" t="s">
        <v>68</v>
      </c>
      <c r="E69" s="12" t="s">
        <v>69</v>
      </c>
      <c r="F69" s="13"/>
      <c r="G69" s="6" t="b">
        <v>1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0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0</v>
      </c>
      <c r="AL69" s="17" t="str">
        <f t="shared" si="1"/>
        <v>14 dari 31 (45%)</v>
      </c>
    </row>
    <row r="70" ht="22.5" customHeight="1">
      <c r="A70" s="2">
        <v>69.0</v>
      </c>
      <c r="B70" s="11"/>
      <c r="C70" s="22">
        <v>60280.0</v>
      </c>
      <c r="D70" s="12" t="s">
        <v>39</v>
      </c>
      <c r="E70" s="12" t="s">
        <v>42</v>
      </c>
      <c r="F70" s="13"/>
      <c r="G70" s="6" t="b">
        <v>1</v>
      </c>
      <c r="H70" s="6" t="b">
        <v>1</v>
      </c>
      <c r="I70" s="6" t="b">
        <v>0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1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13 dari 31 (42%)</v>
      </c>
    </row>
    <row r="71" ht="22.5" customHeight="1">
      <c r="A71" s="10">
        <v>70.0</v>
      </c>
      <c r="B71" s="11"/>
      <c r="C71" s="22">
        <v>60625.0</v>
      </c>
      <c r="D71" s="12" t="s">
        <v>68</v>
      </c>
      <c r="E71" s="12" t="s">
        <v>153</v>
      </c>
      <c r="F71" s="13"/>
      <c r="G71" s="6" t="b">
        <v>1</v>
      </c>
      <c r="H71" s="6" t="b">
        <v>1</v>
      </c>
      <c r="I71" s="6" t="b">
        <v>1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0</v>
      </c>
      <c r="U71" s="6" t="b">
        <v>0</v>
      </c>
      <c r="V71" s="6" t="b">
        <v>0</v>
      </c>
      <c r="W71" s="6" t="b">
        <v>1</v>
      </c>
      <c r="X71" s="6" t="b">
        <v>1</v>
      </c>
      <c r="Y71" s="6" t="b">
        <v>1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1</v>
      </c>
      <c r="AJ71" s="6" t="b">
        <v>0</v>
      </c>
      <c r="AK71" s="6" t="b">
        <v>0</v>
      </c>
      <c r="AL71" s="9" t="str">
        <f t="shared" si="1"/>
        <v>17 dari 31 (55%)</v>
      </c>
    </row>
    <row r="72" ht="22.5" customHeight="1">
      <c r="A72" s="10">
        <v>71.0</v>
      </c>
      <c r="B72" s="11"/>
      <c r="C72" s="20">
        <v>44836.0</v>
      </c>
      <c r="D72" s="12" t="s">
        <v>68</v>
      </c>
      <c r="E72" s="12" t="s">
        <v>69</v>
      </c>
      <c r="F72" s="14" t="s">
        <v>50</v>
      </c>
      <c r="G72" s="6" t="b">
        <v>1</v>
      </c>
      <c r="H72" s="6" t="b">
        <v>0</v>
      </c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6" t="b">
        <v>0</v>
      </c>
      <c r="R72" s="6" t="b">
        <v>0</v>
      </c>
      <c r="S72" s="6" t="b">
        <v>0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0</v>
      </c>
      <c r="AJ72" s="6" t="b">
        <v>0</v>
      </c>
      <c r="AK72" s="6" t="b">
        <v>0</v>
      </c>
      <c r="AL72" s="17" t="str">
        <f t="shared" si="1"/>
        <v>1 dari 31 (3%)</v>
      </c>
    </row>
    <row r="73" ht="22.5" customHeight="1">
      <c r="A73" s="2">
        <v>72.0</v>
      </c>
      <c r="B73" s="11"/>
      <c r="C73" s="20">
        <v>57381.0</v>
      </c>
      <c r="D73" s="12" t="s">
        <v>68</v>
      </c>
      <c r="E73" s="12" t="s">
        <v>69</v>
      </c>
      <c r="F73" s="13"/>
      <c r="G73" s="6" t="b">
        <v>1</v>
      </c>
      <c r="H73" s="6" t="b">
        <v>1</v>
      </c>
      <c r="I73" s="6" t="b">
        <v>1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0</v>
      </c>
      <c r="U73" s="6" t="b">
        <v>0</v>
      </c>
      <c r="V73" s="6" t="b">
        <v>0</v>
      </c>
      <c r="W73" s="6" t="b">
        <v>1</v>
      </c>
      <c r="X73" s="6" t="b">
        <v>1</v>
      </c>
      <c r="Y73" s="6" t="b">
        <v>1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1</v>
      </c>
      <c r="AJ73" s="6" t="b">
        <v>0</v>
      </c>
      <c r="AK73" s="6" t="b">
        <v>0</v>
      </c>
      <c r="AL73" s="9" t="str">
        <f t="shared" si="1"/>
        <v>17 dari 31 (55%)</v>
      </c>
    </row>
    <row r="74" ht="22.5" customHeight="1">
      <c r="A74" s="10">
        <v>73.0</v>
      </c>
      <c r="B74" s="11"/>
      <c r="C74" s="20">
        <v>57854.0</v>
      </c>
      <c r="D74" s="12" t="s">
        <v>68</v>
      </c>
      <c r="E74" s="12" t="s">
        <v>69</v>
      </c>
      <c r="F74" s="13"/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0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1</v>
      </c>
      <c r="AJ74" s="6" t="b">
        <v>0</v>
      </c>
      <c r="AK74" s="6" t="b">
        <v>0</v>
      </c>
      <c r="AL74" s="9" t="str">
        <f t="shared" si="1"/>
        <v>14 dari 31 (45%)</v>
      </c>
    </row>
    <row r="75" ht="22.5" customHeight="1">
      <c r="A75" s="10">
        <v>74.0</v>
      </c>
      <c r="B75" s="11"/>
      <c r="C75" s="20">
        <v>60725.0</v>
      </c>
      <c r="D75" s="12" t="s">
        <v>98</v>
      </c>
      <c r="E75" s="12" t="s">
        <v>133</v>
      </c>
      <c r="F75" s="13"/>
      <c r="G75" s="6" t="b">
        <v>1</v>
      </c>
      <c r="H75" s="6" t="b">
        <v>1</v>
      </c>
      <c r="I75" s="6" t="b">
        <v>1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0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13 dari 31 (42%)</v>
      </c>
    </row>
    <row r="76" ht="22.5" customHeight="1">
      <c r="A76" s="2">
        <v>75.0</v>
      </c>
      <c r="B76" s="11"/>
      <c r="C76" s="20">
        <v>49132.0</v>
      </c>
      <c r="D76" s="12" t="s">
        <v>98</v>
      </c>
      <c r="E76" s="12" t="s">
        <v>61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1</v>
      </c>
      <c r="AJ76" s="6" t="b">
        <v>0</v>
      </c>
      <c r="AK76" s="6" t="b">
        <v>0</v>
      </c>
      <c r="AL76" s="9" t="str">
        <f t="shared" si="1"/>
        <v>15 dari 31 (48%)</v>
      </c>
    </row>
    <row r="77" ht="22.5" customHeight="1">
      <c r="A77" s="10">
        <v>76.0</v>
      </c>
      <c r="B77" s="11"/>
      <c r="C77" s="22">
        <v>60023.0</v>
      </c>
      <c r="D77" s="12" t="s">
        <v>98</v>
      </c>
      <c r="E77" s="12" t="s">
        <v>133</v>
      </c>
      <c r="F77" s="13"/>
      <c r="G77" s="6" t="b">
        <v>1</v>
      </c>
      <c r="H77" s="6" t="b">
        <v>1</v>
      </c>
      <c r="I77" s="6" t="b">
        <v>1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1</v>
      </c>
      <c r="AJ77" s="6" t="b">
        <v>0</v>
      </c>
      <c r="AK77" s="6" t="b">
        <v>0</v>
      </c>
      <c r="AL77" s="9" t="str">
        <f t="shared" si="1"/>
        <v>14 dari 31 (45%)</v>
      </c>
    </row>
    <row r="78" ht="22.5" customHeight="1">
      <c r="A78" s="61">
        <v>77.0</v>
      </c>
      <c r="B78" s="62"/>
      <c r="C78" s="32">
        <v>24000.0</v>
      </c>
      <c r="D78" s="51" t="s">
        <v>53</v>
      </c>
      <c r="E78" s="51" t="s">
        <v>125</v>
      </c>
      <c r="F78" s="53"/>
      <c r="G78" s="35" t="b">
        <v>0</v>
      </c>
      <c r="H78" s="35" t="b">
        <v>0</v>
      </c>
      <c r="I78" s="35" t="b">
        <v>0</v>
      </c>
      <c r="J78" s="35" t="b">
        <v>0</v>
      </c>
      <c r="K78" s="35" t="b">
        <v>0</v>
      </c>
      <c r="L78" s="35" t="b">
        <v>0</v>
      </c>
      <c r="M78" s="35" t="b">
        <v>0</v>
      </c>
      <c r="N78" s="35" t="b">
        <v>0</v>
      </c>
      <c r="O78" s="35" t="b">
        <v>0</v>
      </c>
      <c r="P78" s="35" t="b">
        <v>0</v>
      </c>
      <c r="Q78" s="35" t="b">
        <v>0</v>
      </c>
      <c r="R78" s="35" t="b">
        <v>0</v>
      </c>
      <c r="S78" s="35" t="b">
        <v>0</v>
      </c>
      <c r="T78" s="35" t="b">
        <v>0</v>
      </c>
      <c r="U78" s="35" t="b">
        <v>0</v>
      </c>
      <c r="V78" s="35" t="b">
        <v>0</v>
      </c>
      <c r="W78" s="35" t="b">
        <v>0</v>
      </c>
      <c r="X78" s="35" t="b">
        <v>0</v>
      </c>
      <c r="Y78" s="35" t="b">
        <v>0</v>
      </c>
      <c r="Z78" s="35" t="b">
        <v>0</v>
      </c>
      <c r="AA78" s="35" t="b">
        <v>0</v>
      </c>
      <c r="AB78" s="35" t="b">
        <v>0</v>
      </c>
      <c r="AC78" s="35" t="b">
        <v>0</v>
      </c>
      <c r="AD78" s="35" t="b">
        <v>0</v>
      </c>
      <c r="AE78" s="35" t="b">
        <v>0</v>
      </c>
      <c r="AF78" s="35" t="b">
        <v>0</v>
      </c>
      <c r="AG78" s="35" t="b">
        <v>0</v>
      </c>
      <c r="AH78" s="35" t="b">
        <v>0</v>
      </c>
      <c r="AI78" s="35" t="b">
        <v>0</v>
      </c>
      <c r="AJ78" s="35" t="b">
        <v>0</v>
      </c>
      <c r="AK78" s="35" t="b">
        <v>0</v>
      </c>
      <c r="AL78" s="64" t="str">
        <f t="shared" si="1"/>
        <v>0 dari 31 (0%)</v>
      </c>
    </row>
    <row r="79" ht="22.5" customHeight="1">
      <c r="A79" s="2">
        <v>78.0</v>
      </c>
      <c r="B79" s="11"/>
      <c r="C79" s="22">
        <v>59688.0</v>
      </c>
      <c r="D79" s="12" t="s">
        <v>39</v>
      </c>
      <c r="E79" s="12" t="s">
        <v>42</v>
      </c>
      <c r="F79" s="13"/>
      <c r="G79" s="6" t="b">
        <v>1</v>
      </c>
      <c r="H79" s="6" t="b">
        <v>1</v>
      </c>
      <c r="I79" s="6" t="b">
        <v>1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1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14 dari 31 (45%)</v>
      </c>
    </row>
    <row r="80" ht="22.5" customHeight="1">
      <c r="A80" s="10">
        <v>79.0</v>
      </c>
      <c r="B80" s="11"/>
      <c r="C80" s="22">
        <v>61153.0</v>
      </c>
      <c r="D80" s="12" t="s">
        <v>54</v>
      </c>
      <c r="E80" s="12" t="s">
        <v>55</v>
      </c>
      <c r="F80" s="13"/>
      <c r="G80" s="6" t="b">
        <v>1</v>
      </c>
      <c r="H80" s="6" t="b">
        <v>1</v>
      </c>
      <c r="I80" s="6" t="b">
        <v>1</v>
      </c>
      <c r="J80" s="6" t="b">
        <v>0</v>
      </c>
      <c r="K80" s="6" t="b">
        <v>0</v>
      </c>
      <c r="L80" s="6" t="b">
        <v>0</v>
      </c>
      <c r="M80" s="6" t="b">
        <v>0</v>
      </c>
      <c r="N80" s="6" t="b">
        <v>0</v>
      </c>
      <c r="O80" s="6" t="b">
        <v>0</v>
      </c>
      <c r="P80" s="6" t="b">
        <v>0</v>
      </c>
      <c r="Q80" s="6" t="b">
        <v>0</v>
      </c>
      <c r="R80" s="6" t="b">
        <v>1</v>
      </c>
      <c r="S80" s="6" t="b">
        <v>1</v>
      </c>
      <c r="T80" s="6" t="b">
        <v>1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1</v>
      </c>
      <c r="AJ80" s="6" t="b">
        <v>0</v>
      </c>
      <c r="AK80" s="6" t="b">
        <v>0</v>
      </c>
      <c r="AL80" s="9" t="str">
        <f t="shared" si="1"/>
        <v>7 dari 31 (23%)</v>
      </c>
    </row>
    <row r="81" ht="22.5" customHeight="1">
      <c r="A81" s="10">
        <v>80.0</v>
      </c>
      <c r="B81" s="11"/>
      <c r="C81" s="22">
        <v>60955.0</v>
      </c>
      <c r="D81" s="12" t="s">
        <v>39</v>
      </c>
      <c r="E81" s="12" t="s">
        <v>42</v>
      </c>
      <c r="F81" s="13"/>
      <c r="G81" s="6" t="b">
        <v>1</v>
      </c>
      <c r="H81" s="6" t="b">
        <v>1</v>
      </c>
      <c r="I81" s="6" t="b">
        <v>0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13 dari 31 (42%)</v>
      </c>
    </row>
    <row r="82" ht="22.5" customHeight="1">
      <c r="A82" s="2">
        <v>81.0</v>
      </c>
      <c r="B82" s="11"/>
      <c r="C82" s="20">
        <v>59492.0</v>
      </c>
      <c r="D82" s="12" t="s">
        <v>68</v>
      </c>
      <c r="E82" s="12" t="s">
        <v>153</v>
      </c>
      <c r="F82" s="13"/>
      <c r="G82" s="6" t="b">
        <v>1</v>
      </c>
      <c r="H82" s="6" t="b">
        <v>1</v>
      </c>
      <c r="I82" s="6" t="b">
        <v>1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0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1</v>
      </c>
      <c r="AJ82" s="6" t="b">
        <v>0</v>
      </c>
      <c r="AK82" s="6" t="b">
        <v>0</v>
      </c>
      <c r="AL82" s="9" t="str">
        <f t="shared" si="1"/>
        <v>14 dari 31 (45%)</v>
      </c>
    </row>
    <row r="83" ht="22.5" customHeight="1">
      <c r="A83" s="61">
        <v>82.0</v>
      </c>
      <c r="B83" s="62"/>
      <c r="C83" s="60">
        <v>57958.0</v>
      </c>
      <c r="D83" s="51" t="s">
        <v>68</v>
      </c>
      <c r="E83" s="51" t="s">
        <v>69</v>
      </c>
      <c r="F83" s="53"/>
      <c r="G83" s="35" t="b">
        <v>0</v>
      </c>
      <c r="H83" s="35" t="b">
        <v>0</v>
      </c>
      <c r="I83" s="35" t="b">
        <v>0</v>
      </c>
      <c r="J83" s="35" t="b">
        <v>0</v>
      </c>
      <c r="K83" s="35" t="b">
        <v>0</v>
      </c>
      <c r="L83" s="35" t="b">
        <v>0</v>
      </c>
      <c r="M83" s="35" t="b">
        <v>0</v>
      </c>
      <c r="N83" s="35" t="b">
        <v>0</v>
      </c>
      <c r="O83" s="35" t="b">
        <v>0</v>
      </c>
      <c r="P83" s="35" t="b">
        <v>0</v>
      </c>
      <c r="Q83" s="35" t="b">
        <v>0</v>
      </c>
      <c r="R83" s="35" t="b">
        <v>0</v>
      </c>
      <c r="S83" s="35" t="b">
        <v>0</v>
      </c>
      <c r="T83" s="35" t="b">
        <v>0</v>
      </c>
      <c r="U83" s="35" t="b">
        <v>0</v>
      </c>
      <c r="V83" s="35" t="b">
        <v>0</v>
      </c>
      <c r="W83" s="35" t="b">
        <v>0</v>
      </c>
      <c r="X83" s="35" t="b">
        <v>0</v>
      </c>
      <c r="Y83" s="35" t="b">
        <v>0</v>
      </c>
      <c r="Z83" s="35" t="b">
        <v>0</v>
      </c>
      <c r="AA83" s="35" t="b">
        <v>0</v>
      </c>
      <c r="AB83" s="35" t="b">
        <v>0</v>
      </c>
      <c r="AC83" s="35" t="b">
        <v>0</v>
      </c>
      <c r="AD83" s="35" t="b">
        <v>0</v>
      </c>
      <c r="AE83" s="35" t="b">
        <v>0</v>
      </c>
      <c r="AF83" s="35" t="b">
        <v>0</v>
      </c>
      <c r="AG83" s="35" t="b">
        <v>0</v>
      </c>
      <c r="AH83" s="35" t="b">
        <v>0</v>
      </c>
      <c r="AI83" s="35" t="b">
        <v>0</v>
      </c>
      <c r="AJ83" s="35" t="b">
        <v>0</v>
      </c>
      <c r="AK83" s="35" t="b">
        <v>0</v>
      </c>
      <c r="AL83" s="38" t="str">
        <f t="shared" si="1"/>
        <v>0 dari 31 (0%)</v>
      </c>
    </row>
    <row r="84" ht="22.5" customHeight="1">
      <c r="A84" s="10">
        <v>83.0</v>
      </c>
      <c r="B84" s="11"/>
      <c r="C84" s="20">
        <v>54903.0</v>
      </c>
      <c r="D84" s="12" t="s">
        <v>39</v>
      </c>
      <c r="E84" s="12" t="s">
        <v>42</v>
      </c>
      <c r="F84" s="13"/>
      <c r="G84" s="6" t="b">
        <v>1</v>
      </c>
      <c r="H84" s="6" t="b">
        <v>1</v>
      </c>
      <c r="I84" s="6" t="b">
        <v>0</v>
      </c>
      <c r="J84" s="6" t="b">
        <v>1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1</v>
      </c>
      <c r="P84" s="6" t="b">
        <v>1</v>
      </c>
      <c r="Q84" s="6" t="b">
        <v>1</v>
      </c>
      <c r="R84" s="6" t="b">
        <v>1</v>
      </c>
      <c r="S84" s="6" t="b">
        <v>1</v>
      </c>
      <c r="T84" s="6" t="b">
        <v>1</v>
      </c>
      <c r="U84" s="6" t="b">
        <v>0</v>
      </c>
      <c r="V84" s="6" t="b">
        <v>0</v>
      </c>
      <c r="W84" s="6" t="b">
        <v>1</v>
      </c>
      <c r="X84" s="6" t="b">
        <v>1</v>
      </c>
      <c r="Y84" s="6" t="b">
        <v>1</v>
      </c>
      <c r="Z84" s="6" t="b">
        <v>1</v>
      </c>
      <c r="AA84" s="6" t="b">
        <v>1</v>
      </c>
      <c r="AB84" s="6" t="b">
        <v>1</v>
      </c>
      <c r="AC84" s="6" t="b">
        <v>1</v>
      </c>
      <c r="AD84" s="6" t="b">
        <v>1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21 dari 31 (68%)</v>
      </c>
    </row>
    <row r="85" ht="22.5" customHeight="1">
      <c r="A85" s="2">
        <v>84.0</v>
      </c>
      <c r="B85" s="11"/>
      <c r="C85" s="20">
        <v>58703.0</v>
      </c>
      <c r="D85" s="12" t="s">
        <v>68</v>
      </c>
      <c r="E85" s="12" t="s">
        <v>153</v>
      </c>
      <c r="F85" s="13"/>
      <c r="G85" s="6" t="b">
        <v>1</v>
      </c>
      <c r="H85" s="6" t="b">
        <v>1</v>
      </c>
      <c r="I85" s="6" t="b">
        <v>1</v>
      </c>
      <c r="J85" s="6" t="b">
        <v>1</v>
      </c>
      <c r="K85" s="6" t="b">
        <v>1</v>
      </c>
      <c r="L85" s="6" t="b">
        <v>1</v>
      </c>
      <c r="M85" s="6" t="b">
        <v>1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1</v>
      </c>
      <c r="S85" s="6" t="b">
        <v>1</v>
      </c>
      <c r="T85" s="6" t="b">
        <v>0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1</v>
      </c>
      <c r="AJ85" s="6" t="b">
        <v>0</v>
      </c>
      <c r="AK85" s="6" t="b">
        <v>0</v>
      </c>
      <c r="AL85" s="9" t="str">
        <f t="shared" si="1"/>
        <v>14 dari 31 (45%)</v>
      </c>
    </row>
    <row r="86" ht="22.5" customHeight="1">
      <c r="A86" s="10">
        <v>85.0</v>
      </c>
      <c r="B86" s="11"/>
      <c r="C86" s="20">
        <v>60906.0</v>
      </c>
      <c r="D86" s="12" t="s">
        <v>101</v>
      </c>
      <c r="E86" s="12" t="s">
        <v>106</v>
      </c>
      <c r="F86" s="13"/>
      <c r="G86" s="6" t="b">
        <v>1</v>
      </c>
      <c r="H86" s="6" t="b">
        <v>1</v>
      </c>
      <c r="I86" s="6" t="b">
        <v>1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14 dari 31 (45%)</v>
      </c>
    </row>
    <row r="87" ht="22.5" customHeight="1">
      <c r="A87" s="10">
        <v>86.0</v>
      </c>
      <c r="B87" s="11"/>
      <c r="C87" s="22">
        <v>60560.0</v>
      </c>
      <c r="D87" s="12" t="s">
        <v>39</v>
      </c>
      <c r="E87" s="12" t="s">
        <v>42</v>
      </c>
      <c r="F87" s="13"/>
      <c r="G87" s="6" t="b">
        <v>1</v>
      </c>
      <c r="H87" s="6" t="b">
        <v>1</v>
      </c>
      <c r="I87" s="6" t="b">
        <v>0</v>
      </c>
      <c r="J87" s="6" t="b">
        <v>1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1</v>
      </c>
      <c r="S87" s="6" t="b">
        <v>1</v>
      </c>
      <c r="T87" s="6" t="b">
        <v>0</v>
      </c>
      <c r="U87" s="6" t="b">
        <v>0</v>
      </c>
      <c r="V87" s="6" t="b">
        <v>0</v>
      </c>
      <c r="W87" s="6" t="b">
        <v>1</v>
      </c>
      <c r="X87" s="6" t="b">
        <v>1</v>
      </c>
      <c r="Y87" s="6" t="b">
        <v>1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1</v>
      </c>
      <c r="AJ87" s="6" t="b">
        <v>0</v>
      </c>
      <c r="AK87" s="6" t="b">
        <v>0</v>
      </c>
      <c r="AL87" s="17" t="str">
        <f t="shared" si="1"/>
        <v>16 dari 31 (52%)</v>
      </c>
    </row>
    <row r="88" ht="22.5" customHeight="1">
      <c r="A88" s="2">
        <v>87.0</v>
      </c>
      <c r="B88" s="11"/>
      <c r="C88" s="22">
        <v>52533.0</v>
      </c>
      <c r="D88" s="12" t="s">
        <v>101</v>
      </c>
      <c r="E88" s="12" t="s">
        <v>106</v>
      </c>
      <c r="F88" s="13"/>
      <c r="G88" s="6" t="b">
        <v>1</v>
      </c>
      <c r="H88" s="6" t="b">
        <v>1</v>
      </c>
      <c r="I88" s="6" t="b">
        <v>1</v>
      </c>
      <c r="J88" s="6" t="b">
        <v>1</v>
      </c>
      <c r="K88" s="6" t="b">
        <v>1</v>
      </c>
      <c r="L88" s="6" t="b">
        <v>1</v>
      </c>
      <c r="M88" s="6" t="b">
        <v>1</v>
      </c>
      <c r="N88" s="6" t="b">
        <v>1</v>
      </c>
      <c r="O88" s="6" t="b">
        <v>1</v>
      </c>
      <c r="P88" s="6" t="b">
        <v>1</v>
      </c>
      <c r="Q88" s="6" t="b">
        <v>1</v>
      </c>
      <c r="R88" s="6" t="b">
        <v>1</v>
      </c>
      <c r="S88" s="6" t="b">
        <v>1</v>
      </c>
      <c r="T88" s="6" t="b">
        <v>1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14 dari 31 (45%)</v>
      </c>
    </row>
    <row r="89" ht="22.5" customHeight="1">
      <c r="A89" s="61">
        <v>88.0</v>
      </c>
      <c r="B89" s="62"/>
      <c r="C89" s="32">
        <v>56900.0</v>
      </c>
      <c r="D89" s="51" t="s">
        <v>54</v>
      </c>
      <c r="E89" s="51" t="s">
        <v>55</v>
      </c>
      <c r="F89" s="53"/>
      <c r="G89" s="35" t="b">
        <v>0</v>
      </c>
      <c r="H89" s="35" t="b">
        <v>0</v>
      </c>
      <c r="I89" s="35" t="b">
        <v>0</v>
      </c>
      <c r="J89" s="35" t="b">
        <v>0</v>
      </c>
      <c r="K89" s="35" t="b">
        <v>0</v>
      </c>
      <c r="L89" s="35" t="b">
        <v>0</v>
      </c>
      <c r="M89" s="35" t="b">
        <v>0</v>
      </c>
      <c r="N89" s="35" t="b">
        <v>0</v>
      </c>
      <c r="O89" s="35" t="b">
        <v>0</v>
      </c>
      <c r="P89" s="35" t="b">
        <v>0</v>
      </c>
      <c r="Q89" s="35" t="b">
        <v>0</v>
      </c>
      <c r="R89" s="35" t="b">
        <v>0</v>
      </c>
      <c r="S89" s="35" t="b">
        <v>0</v>
      </c>
      <c r="T89" s="35" t="b">
        <v>0</v>
      </c>
      <c r="U89" s="35" t="b">
        <v>0</v>
      </c>
      <c r="V89" s="35" t="b">
        <v>0</v>
      </c>
      <c r="W89" s="35" t="b">
        <v>0</v>
      </c>
      <c r="X89" s="35" t="b">
        <v>0</v>
      </c>
      <c r="Y89" s="35" t="b">
        <v>0</v>
      </c>
      <c r="Z89" s="35" t="b">
        <v>0</v>
      </c>
      <c r="AA89" s="35" t="b">
        <v>0</v>
      </c>
      <c r="AB89" s="35" t="b">
        <v>0</v>
      </c>
      <c r="AC89" s="35" t="b">
        <v>0</v>
      </c>
      <c r="AD89" s="35" t="b">
        <v>0</v>
      </c>
      <c r="AE89" s="35" t="b">
        <v>0</v>
      </c>
      <c r="AF89" s="35" t="b">
        <v>0</v>
      </c>
      <c r="AG89" s="35" t="b">
        <v>0</v>
      </c>
      <c r="AH89" s="35" t="b">
        <v>0</v>
      </c>
      <c r="AI89" s="35" t="b">
        <v>0</v>
      </c>
      <c r="AJ89" s="35" t="b">
        <v>0</v>
      </c>
      <c r="AK89" s="35" t="b">
        <v>0</v>
      </c>
      <c r="AL89" s="38" t="str">
        <f t="shared" si="1"/>
        <v>0 dari 31 (0%)</v>
      </c>
    </row>
    <row r="90" ht="22.5" customHeight="1">
      <c r="A90" s="10">
        <v>89.0</v>
      </c>
      <c r="B90" s="11"/>
      <c r="C90" s="22">
        <v>61155.0</v>
      </c>
      <c r="D90" s="12" t="s">
        <v>63</v>
      </c>
      <c r="E90" s="12" t="s">
        <v>64</v>
      </c>
      <c r="F90" s="13"/>
      <c r="G90" s="6" t="b">
        <v>1</v>
      </c>
      <c r="H90" s="6" t="b">
        <v>1</v>
      </c>
      <c r="I90" s="6" t="b">
        <v>1</v>
      </c>
      <c r="J90" s="6" t="b">
        <v>1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0</v>
      </c>
      <c r="S90" s="6" t="b">
        <v>1</v>
      </c>
      <c r="T90" s="6" t="b">
        <v>1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1</v>
      </c>
      <c r="AJ90" s="6" t="b">
        <v>0</v>
      </c>
      <c r="AK90" s="6" t="b">
        <v>0</v>
      </c>
      <c r="AL90" s="17" t="str">
        <f t="shared" si="1"/>
        <v>14 dari 31 (45%)</v>
      </c>
    </row>
    <row r="91" ht="22.5" customHeight="1">
      <c r="A91" s="2">
        <v>90.0</v>
      </c>
      <c r="B91" s="11"/>
      <c r="C91" s="22">
        <v>61157.0</v>
      </c>
      <c r="D91" s="12" t="s">
        <v>63</v>
      </c>
      <c r="E91" s="12" t="s">
        <v>64</v>
      </c>
      <c r="F91" s="13"/>
      <c r="G91" s="6" t="b">
        <v>1</v>
      </c>
      <c r="H91" s="6" t="b">
        <v>1</v>
      </c>
      <c r="I91" s="6" t="b">
        <v>1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1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1</v>
      </c>
      <c r="AJ91" s="6" t="b">
        <v>0</v>
      </c>
      <c r="AK91" s="6" t="b">
        <v>0</v>
      </c>
      <c r="AL91" s="9" t="str">
        <f t="shared" si="1"/>
        <v>15 dari 31 (48%)</v>
      </c>
    </row>
    <row r="92" ht="22.5" customHeight="1">
      <c r="A92" s="10">
        <v>91.0</v>
      </c>
      <c r="B92" s="11"/>
      <c r="C92" s="20">
        <v>60204.0</v>
      </c>
      <c r="D92" s="12" t="s">
        <v>63</v>
      </c>
      <c r="E92" s="12" t="s">
        <v>64</v>
      </c>
      <c r="F92" s="13"/>
      <c r="G92" s="6" t="b">
        <v>1</v>
      </c>
      <c r="H92" s="6" t="b">
        <v>1</v>
      </c>
      <c r="I92" s="6" t="b">
        <v>1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1</v>
      </c>
      <c r="S92" s="6" t="b">
        <v>1</v>
      </c>
      <c r="T92" s="6" t="b">
        <v>1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1</v>
      </c>
      <c r="AA92" s="6" t="b">
        <v>1</v>
      </c>
      <c r="AB92" s="6" t="b">
        <v>1</v>
      </c>
      <c r="AC92" s="6" t="b">
        <v>1</v>
      </c>
      <c r="AD92" s="6" t="b">
        <v>1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1</v>
      </c>
      <c r="AJ92" s="6" t="b">
        <v>0</v>
      </c>
      <c r="AK92" s="6" t="b">
        <v>0</v>
      </c>
      <c r="AL92" s="9" t="str">
        <f t="shared" si="1"/>
        <v>20 dari 31 (65%)</v>
      </c>
    </row>
    <row r="93" ht="22.5" customHeight="1">
      <c r="A93" s="10">
        <v>92.0</v>
      </c>
      <c r="B93" s="11"/>
      <c r="C93" s="20">
        <v>61159.0</v>
      </c>
      <c r="D93" s="12" t="s">
        <v>39</v>
      </c>
      <c r="E93" s="12" t="s">
        <v>42</v>
      </c>
      <c r="F93" s="13"/>
      <c r="G93" s="6" t="b">
        <v>1</v>
      </c>
      <c r="H93" s="6" t="b">
        <v>1</v>
      </c>
      <c r="I93" s="6" t="b">
        <v>1</v>
      </c>
      <c r="J93" s="6" t="b">
        <v>1</v>
      </c>
      <c r="K93" s="6" t="b">
        <v>1</v>
      </c>
      <c r="L93" s="6" t="b">
        <v>1</v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1</v>
      </c>
      <c r="S93" s="6" t="b">
        <v>1</v>
      </c>
      <c r="T93" s="6" t="b">
        <v>1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1</v>
      </c>
      <c r="AA93" s="6" t="b">
        <v>1</v>
      </c>
      <c r="AB93" s="6" t="b">
        <v>1</v>
      </c>
      <c r="AC93" s="6" t="b">
        <v>1</v>
      </c>
      <c r="AD93" s="6" t="b">
        <v>1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1</v>
      </c>
      <c r="AJ93" s="6" t="b">
        <v>0</v>
      </c>
      <c r="AK93" s="6" t="b">
        <v>0</v>
      </c>
      <c r="AL93" s="17" t="str">
        <f t="shared" si="1"/>
        <v>20 dari 31 (65%)</v>
      </c>
    </row>
    <row r="94" ht="22.5" customHeight="1">
      <c r="A94" s="2">
        <v>93.0</v>
      </c>
      <c r="B94" s="11"/>
      <c r="C94" s="20">
        <v>61158.0</v>
      </c>
      <c r="D94" s="12" t="s">
        <v>40</v>
      </c>
      <c r="E94" s="12" t="s">
        <v>49</v>
      </c>
      <c r="F94" s="13"/>
      <c r="G94" s="6" t="b">
        <v>1</v>
      </c>
      <c r="H94" s="6" t="b">
        <v>1</v>
      </c>
      <c r="I94" s="6" t="b">
        <v>1</v>
      </c>
      <c r="J94" s="6" t="b">
        <v>1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1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1</v>
      </c>
      <c r="AJ94" s="6" t="b">
        <v>0</v>
      </c>
      <c r="AK94" s="6" t="b">
        <v>0</v>
      </c>
      <c r="AL94" s="9" t="str">
        <f t="shared" si="1"/>
        <v>15 dari 31 (48%)</v>
      </c>
    </row>
    <row r="95" ht="22.5" customHeight="1">
      <c r="A95" s="10">
        <v>94.0</v>
      </c>
      <c r="B95" s="11"/>
      <c r="C95" s="20">
        <v>44896.0</v>
      </c>
      <c r="D95" s="12" t="s">
        <v>40</v>
      </c>
      <c r="E95" s="12" t="s">
        <v>49</v>
      </c>
      <c r="F95" s="14" t="s">
        <v>50</v>
      </c>
      <c r="G95" s="6" t="b">
        <v>1</v>
      </c>
      <c r="H95" s="6" t="b">
        <v>0</v>
      </c>
      <c r="I95" s="6" t="b">
        <v>0</v>
      </c>
      <c r="J95" s="6" t="b">
        <v>0</v>
      </c>
      <c r="K95" s="6" t="b">
        <v>0</v>
      </c>
      <c r="L95" s="6" t="b">
        <v>0</v>
      </c>
      <c r="M95" s="6" t="b">
        <v>0</v>
      </c>
      <c r="N95" s="6" t="b">
        <v>0</v>
      </c>
      <c r="O95" s="6" t="b">
        <v>0</v>
      </c>
      <c r="P95" s="6" t="b">
        <v>0</v>
      </c>
      <c r="Q95" s="6" t="b">
        <v>0</v>
      </c>
      <c r="R95" s="6" t="b">
        <v>0</v>
      </c>
      <c r="S95" s="6" t="b">
        <v>0</v>
      </c>
      <c r="T95" s="6" t="b">
        <v>0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0</v>
      </c>
      <c r="AJ95" s="6" t="b">
        <v>0</v>
      </c>
      <c r="AK95" s="6" t="b">
        <v>0</v>
      </c>
      <c r="AL95" s="9" t="str">
        <f t="shared" si="1"/>
        <v>1 dari 31 (3%)</v>
      </c>
    </row>
    <row r="96" ht="22.5" customHeight="1">
      <c r="A96" s="10">
        <v>95.0</v>
      </c>
      <c r="B96" s="11"/>
      <c r="C96" s="20">
        <v>55903.0</v>
      </c>
      <c r="D96" s="12" t="s">
        <v>85</v>
      </c>
      <c r="E96" s="12" t="s">
        <v>138</v>
      </c>
      <c r="F96" s="14" t="s">
        <v>50</v>
      </c>
      <c r="G96" s="6" t="b">
        <v>1</v>
      </c>
      <c r="H96" s="6" t="b">
        <v>0</v>
      </c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  <c r="P96" s="6" t="b">
        <v>0</v>
      </c>
      <c r="Q96" s="6" t="b">
        <v>0</v>
      </c>
      <c r="R96" s="6" t="b">
        <v>0</v>
      </c>
      <c r="S96" s="6" t="b">
        <v>0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1 dari 31 (3%)</v>
      </c>
    </row>
    <row r="97" ht="22.5" customHeight="1">
      <c r="A97" s="2">
        <v>96.0</v>
      </c>
      <c r="B97" s="11"/>
      <c r="C97" s="22">
        <v>61161.0</v>
      </c>
      <c r="D97" s="12" t="s">
        <v>39</v>
      </c>
      <c r="E97" s="12" t="s">
        <v>42</v>
      </c>
      <c r="F97" s="13"/>
      <c r="G97" s="6" t="b">
        <v>1</v>
      </c>
      <c r="H97" s="6" t="b">
        <v>1</v>
      </c>
      <c r="I97" s="6" t="b">
        <v>1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1</v>
      </c>
      <c r="S97" s="6" t="b">
        <v>1</v>
      </c>
      <c r="T97" s="6" t="b">
        <v>1</v>
      </c>
      <c r="U97" s="6" t="b">
        <v>0</v>
      </c>
      <c r="V97" s="6" t="b">
        <v>0</v>
      </c>
      <c r="W97" s="6" t="b">
        <v>1</v>
      </c>
      <c r="X97" s="6" t="b">
        <v>1</v>
      </c>
      <c r="Y97" s="6" t="b">
        <v>1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1</v>
      </c>
      <c r="AJ97" s="6" t="b">
        <v>0</v>
      </c>
      <c r="AK97" s="6" t="b">
        <v>0</v>
      </c>
      <c r="AL97" s="9" t="str">
        <f t="shared" si="1"/>
        <v>18 dari 31 (58%)</v>
      </c>
    </row>
    <row r="98" ht="22.5" customHeight="1">
      <c r="A98" s="10">
        <v>97.0</v>
      </c>
      <c r="B98" s="11"/>
      <c r="C98" s="22">
        <v>33429.0</v>
      </c>
      <c r="D98" s="12" t="s">
        <v>63</v>
      </c>
      <c r="E98" s="12" t="s">
        <v>64</v>
      </c>
      <c r="F98" s="13"/>
      <c r="G98" s="6" t="b">
        <v>1</v>
      </c>
      <c r="H98" s="6" t="b">
        <v>1</v>
      </c>
      <c r="I98" s="6" t="b">
        <v>1</v>
      </c>
      <c r="J98" s="6" t="b">
        <v>1</v>
      </c>
      <c r="K98" s="6" t="b">
        <v>1</v>
      </c>
      <c r="L98" s="6" t="b">
        <v>1</v>
      </c>
      <c r="M98" s="6" t="b">
        <v>1</v>
      </c>
      <c r="N98" s="6" t="b">
        <v>1</v>
      </c>
      <c r="O98" s="6" t="b">
        <v>1</v>
      </c>
      <c r="P98" s="6" t="b">
        <v>1</v>
      </c>
      <c r="Q98" s="6" t="b">
        <v>1</v>
      </c>
      <c r="R98" s="6" t="b">
        <v>1</v>
      </c>
      <c r="S98" s="6" t="b">
        <v>1</v>
      </c>
      <c r="T98" s="6" t="b">
        <v>1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1</v>
      </c>
      <c r="AA98" s="6" t="b">
        <v>1</v>
      </c>
      <c r="AB98" s="6" t="b">
        <v>1</v>
      </c>
      <c r="AC98" s="6" t="b">
        <v>1</v>
      </c>
      <c r="AD98" s="6" t="b">
        <v>1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1</v>
      </c>
      <c r="AJ98" s="6" t="b">
        <v>0</v>
      </c>
      <c r="AK98" s="6" t="b">
        <v>0</v>
      </c>
      <c r="AL98" s="9" t="str">
        <f t="shared" si="1"/>
        <v>20 dari 31 (65%)</v>
      </c>
    </row>
    <row r="99" ht="22.5" customHeight="1">
      <c r="A99" s="61">
        <v>98.0</v>
      </c>
      <c r="B99" s="62"/>
      <c r="C99" s="32">
        <v>61160.0</v>
      </c>
      <c r="D99" s="51" t="s">
        <v>54</v>
      </c>
      <c r="E99" s="51" t="s">
        <v>55</v>
      </c>
      <c r="F99" s="53"/>
      <c r="G99" s="35" t="b">
        <v>0</v>
      </c>
      <c r="H99" s="35" t="b">
        <v>0</v>
      </c>
      <c r="I99" s="35" t="b">
        <v>0</v>
      </c>
      <c r="J99" s="35" t="b">
        <v>0</v>
      </c>
      <c r="K99" s="35" t="b">
        <v>0</v>
      </c>
      <c r="L99" s="35" t="b">
        <v>0</v>
      </c>
      <c r="M99" s="35" t="b">
        <v>0</v>
      </c>
      <c r="N99" s="35" t="b">
        <v>0</v>
      </c>
      <c r="O99" s="35" t="b">
        <v>0</v>
      </c>
      <c r="P99" s="35" t="b">
        <v>0</v>
      </c>
      <c r="Q99" s="35" t="b">
        <v>0</v>
      </c>
      <c r="R99" s="35" t="b">
        <v>0</v>
      </c>
      <c r="S99" s="35" t="b">
        <v>0</v>
      </c>
      <c r="T99" s="35" t="b">
        <v>0</v>
      </c>
      <c r="U99" s="35" t="b">
        <v>0</v>
      </c>
      <c r="V99" s="35" t="b">
        <v>0</v>
      </c>
      <c r="W99" s="35" t="b">
        <v>0</v>
      </c>
      <c r="X99" s="35" t="b">
        <v>0</v>
      </c>
      <c r="Y99" s="35" t="b">
        <v>0</v>
      </c>
      <c r="Z99" s="35" t="b">
        <v>0</v>
      </c>
      <c r="AA99" s="35" t="b">
        <v>0</v>
      </c>
      <c r="AB99" s="35" t="b">
        <v>0</v>
      </c>
      <c r="AC99" s="35" t="b">
        <v>0</v>
      </c>
      <c r="AD99" s="35" t="b">
        <v>0</v>
      </c>
      <c r="AE99" s="35" t="b">
        <v>0</v>
      </c>
      <c r="AF99" s="35" t="b">
        <v>0</v>
      </c>
      <c r="AG99" s="35" t="b">
        <v>0</v>
      </c>
      <c r="AH99" s="35" t="b">
        <v>0</v>
      </c>
      <c r="AI99" s="35" t="b">
        <v>0</v>
      </c>
      <c r="AJ99" s="35" t="b">
        <v>0</v>
      </c>
      <c r="AK99" s="35" t="b">
        <v>0</v>
      </c>
      <c r="AL99" s="64" t="str">
        <f t="shared" si="1"/>
        <v>0 dari 31 (0%)</v>
      </c>
    </row>
    <row r="100" ht="22.5" customHeight="1">
      <c r="A100" s="2">
        <v>99.0</v>
      </c>
      <c r="B100" s="11"/>
      <c r="C100" s="22">
        <v>61163.0</v>
      </c>
      <c r="D100" s="12" t="s">
        <v>51</v>
      </c>
      <c r="E100" s="12" t="s">
        <v>61</v>
      </c>
      <c r="F100" s="14" t="s">
        <v>50</v>
      </c>
      <c r="G100" s="6" t="b">
        <v>1</v>
      </c>
      <c r="H100" s="6" t="b">
        <v>0</v>
      </c>
      <c r="I100" s="6" t="b">
        <v>0</v>
      </c>
      <c r="J100" s="6" t="b">
        <v>1</v>
      </c>
      <c r="K100" s="6" t="b">
        <v>1</v>
      </c>
      <c r="L100" s="6" t="b">
        <v>1</v>
      </c>
      <c r="M100" s="6" t="b">
        <v>1</v>
      </c>
      <c r="N100" s="6" t="b">
        <v>1</v>
      </c>
      <c r="O100" s="6" t="b">
        <v>1</v>
      </c>
      <c r="P100" s="6" t="b">
        <v>1</v>
      </c>
      <c r="Q100" s="6" t="b">
        <v>1</v>
      </c>
      <c r="R100" s="6" t="b">
        <v>1</v>
      </c>
      <c r="S100" s="6" t="b">
        <v>1</v>
      </c>
      <c r="T100" s="6" t="b">
        <v>0</v>
      </c>
      <c r="U100" s="6" t="b">
        <v>0</v>
      </c>
      <c r="V100" s="6" t="b">
        <v>0</v>
      </c>
      <c r="W100" s="6" t="b">
        <v>1</v>
      </c>
      <c r="X100" s="6" t="b">
        <v>1</v>
      </c>
      <c r="Y100" s="6" t="b">
        <v>1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1</v>
      </c>
      <c r="AJ100" s="6" t="b">
        <v>0</v>
      </c>
      <c r="AK100" s="6" t="b">
        <v>0</v>
      </c>
      <c r="AL100" s="9" t="str">
        <f t="shared" si="1"/>
        <v>15 dari 31 (48%)</v>
      </c>
    </row>
    <row r="101" ht="22.5" customHeight="1">
      <c r="A101" s="10">
        <v>100.0</v>
      </c>
      <c r="B101" s="11"/>
      <c r="C101" s="22">
        <v>61162.0</v>
      </c>
      <c r="D101" s="12" t="s">
        <v>63</v>
      </c>
      <c r="E101" s="12" t="s">
        <v>64</v>
      </c>
      <c r="F101" s="13"/>
      <c r="G101" s="6" t="b">
        <v>1</v>
      </c>
      <c r="H101" s="6" t="b">
        <v>1</v>
      </c>
      <c r="I101" s="6" t="b">
        <v>1</v>
      </c>
      <c r="J101" s="6" t="b">
        <v>1</v>
      </c>
      <c r="K101" s="6" t="b">
        <v>1</v>
      </c>
      <c r="L101" s="6" t="b">
        <v>1</v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b">
        <v>1</v>
      </c>
      <c r="T101" s="6" t="b">
        <v>1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1</v>
      </c>
      <c r="AJ101" s="6" t="b">
        <v>0</v>
      </c>
      <c r="AK101" s="6" t="b">
        <v>0</v>
      </c>
      <c r="AL101" s="9" t="str">
        <f t="shared" si="1"/>
        <v>15 dari 31 (48%)</v>
      </c>
    </row>
    <row r="102" ht="22.5" customHeight="1">
      <c r="A102" s="10">
        <v>101.0</v>
      </c>
      <c r="B102" s="11"/>
      <c r="C102" s="20">
        <v>61154.0</v>
      </c>
      <c r="D102" s="12" t="s">
        <v>56</v>
      </c>
      <c r="E102" s="12" t="s">
        <v>87</v>
      </c>
      <c r="F102" s="13"/>
      <c r="G102" s="6" t="b">
        <v>1</v>
      </c>
      <c r="H102" s="6" t="b">
        <v>1</v>
      </c>
      <c r="I102" s="6" t="b">
        <v>0</v>
      </c>
      <c r="J102" s="6" t="b">
        <v>1</v>
      </c>
      <c r="K102" s="6" t="b">
        <v>1</v>
      </c>
      <c r="L102" s="6" t="b">
        <v>1</v>
      </c>
      <c r="M102" s="6" t="b">
        <v>1</v>
      </c>
      <c r="N102" s="6" t="b">
        <v>1</v>
      </c>
      <c r="O102" s="6" t="b">
        <v>1</v>
      </c>
      <c r="P102" s="6" t="b">
        <v>1</v>
      </c>
      <c r="Q102" s="6" t="b">
        <v>1</v>
      </c>
      <c r="R102" s="6" t="b">
        <v>1</v>
      </c>
      <c r="S102" s="6" t="b">
        <v>1</v>
      </c>
      <c r="T102" s="6" t="b">
        <v>1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1</v>
      </c>
      <c r="AJ102" s="6" t="b">
        <v>0</v>
      </c>
      <c r="AK102" s="6" t="b">
        <v>0</v>
      </c>
      <c r="AL102" s="17" t="str">
        <f t="shared" si="1"/>
        <v>14 dari 31 (45%)</v>
      </c>
    </row>
    <row r="103" ht="22.5" customHeight="1">
      <c r="A103" s="2">
        <v>102.0</v>
      </c>
      <c r="B103" s="11"/>
      <c r="C103" s="20">
        <v>57756.0</v>
      </c>
      <c r="D103" s="12" t="s">
        <v>41</v>
      </c>
      <c r="E103" s="12" t="s">
        <v>44</v>
      </c>
      <c r="F103" s="13"/>
      <c r="G103" s="6" t="b">
        <v>1</v>
      </c>
      <c r="H103" s="6" t="b">
        <v>1</v>
      </c>
      <c r="I103" s="6" t="b">
        <v>0</v>
      </c>
      <c r="J103" s="6" t="b">
        <v>1</v>
      </c>
      <c r="K103" s="6" t="b">
        <v>1</v>
      </c>
      <c r="L103" s="6" t="b">
        <v>1</v>
      </c>
      <c r="M103" s="6" t="b">
        <v>1</v>
      </c>
      <c r="N103" s="6" t="b">
        <v>1</v>
      </c>
      <c r="O103" s="6" t="b">
        <v>1</v>
      </c>
      <c r="P103" s="6" t="b">
        <v>1</v>
      </c>
      <c r="Q103" s="6" t="b">
        <v>1</v>
      </c>
      <c r="R103" s="6" t="b">
        <v>1</v>
      </c>
      <c r="S103" s="6" t="b">
        <v>1</v>
      </c>
      <c r="T103" s="6" t="b">
        <v>1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13 dari 31 (42%)</v>
      </c>
    </row>
    <row r="104" ht="22.5" customHeight="1">
      <c r="A104" s="10">
        <v>103.0</v>
      </c>
      <c r="B104" s="11"/>
      <c r="C104" s="20">
        <v>61165.0</v>
      </c>
      <c r="D104" s="12" t="s">
        <v>51</v>
      </c>
      <c r="E104" s="12" t="s">
        <v>61</v>
      </c>
      <c r="F104" s="15" t="s">
        <v>50</v>
      </c>
      <c r="G104" s="6" t="b">
        <v>1</v>
      </c>
      <c r="H104" s="6" t="b">
        <v>0</v>
      </c>
      <c r="I104" s="6" t="b">
        <v>0</v>
      </c>
      <c r="J104" s="6" t="b">
        <v>1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0</v>
      </c>
      <c r="U104" s="6" t="b">
        <v>0</v>
      </c>
      <c r="V104" s="6" t="b">
        <v>0</v>
      </c>
      <c r="W104" s="6" t="b">
        <v>1</v>
      </c>
      <c r="X104" s="6" t="b">
        <v>1</v>
      </c>
      <c r="Y104" s="6" t="b">
        <v>1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1</v>
      </c>
      <c r="AJ104" s="6" t="b">
        <v>0</v>
      </c>
      <c r="AK104" s="6" t="b">
        <v>0</v>
      </c>
      <c r="AL104" s="9" t="str">
        <f t="shared" si="1"/>
        <v>15 dari 31 (48%)</v>
      </c>
    </row>
    <row r="105" ht="22.5" customHeight="1">
      <c r="A105" s="10">
        <v>104.0</v>
      </c>
      <c r="B105" s="11"/>
      <c r="C105" s="20">
        <v>60558.0</v>
      </c>
      <c r="D105" s="12" t="s">
        <v>54</v>
      </c>
      <c r="E105" s="12" t="s">
        <v>55</v>
      </c>
      <c r="F105" s="13"/>
      <c r="G105" s="6" t="b">
        <v>1</v>
      </c>
      <c r="H105" s="6" t="b">
        <v>1</v>
      </c>
      <c r="I105" s="6" t="b">
        <v>0</v>
      </c>
      <c r="J105" s="6" t="b">
        <v>0</v>
      </c>
      <c r="K105" s="6" t="b">
        <v>0</v>
      </c>
      <c r="L105" s="6" t="b">
        <v>0</v>
      </c>
      <c r="M105" s="6" t="b">
        <v>0</v>
      </c>
      <c r="N105" s="6" t="b">
        <v>0</v>
      </c>
      <c r="O105" s="6" t="b">
        <v>0</v>
      </c>
      <c r="P105" s="6" t="b">
        <v>0</v>
      </c>
      <c r="Q105" s="6" t="b">
        <v>0</v>
      </c>
      <c r="R105" s="6" t="b">
        <v>1</v>
      </c>
      <c r="S105" s="6" t="b">
        <v>1</v>
      </c>
      <c r="T105" s="6" t="b">
        <v>1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1</v>
      </c>
      <c r="AJ105" s="6" t="b">
        <v>0</v>
      </c>
      <c r="AK105" s="6" t="b">
        <v>0</v>
      </c>
      <c r="AL105" s="17" t="str">
        <f t="shared" si="1"/>
        <v>6 dari 31 (19%)</v>
      </c>
    </row>
    <row r="106" ht="22.5" customHeight="1">
      <c r="A106" s="2">
        <v>105.0</v>
      </c>
      <c r="B106" s="11"/>
      <c r="C106" s="20">
        <v>55275.0</v>
      </c>
      <c r="D106" s="12" t="s">
        <v>41</v>
      </c>
      <c r="E106" s="12" t="s">
        <v>48</v>
      </c>
      <c r="F106" s="13"/>
      <c r="G106" s="6" t="b">
        <v>1</v>
      </c>
      <c r="H106" s="6" t="b">
        <v>1</v>
      </c>
      <c r="I106" s="6" t="b">
        <v>0</v>
      </c>
      <c r="J106" s="6" t="b">
        <v>1</v>
      </c>
      <c r="K106" s="6" t="b">
        <v>1</v>
      </c>
      <c r="L106" s="6" t="b">
        <v>1</v>
      </c>
      <c r="M106" s="6" t="b">
        <v>1</v>
      </c>
      <c r="N106" s="6" t="b">
        <v>1</v>
      </c>
      <c r="O106" s="6" t="b">
        <v>1</v>
      </c>
      <c r="P106" s="6" t="b">
        <v>1</v>
      </c>
      <c r="Q106" s="6" t="b">
        <v>1</v>
      </c>
      <c r="R106" s="6" t="b">
        <v>1</v>
      </c>
      <c r="S106" s="6" t="b">
        <v>1</v>
      </c>
      <c r="T106" s="6" t="b">
        <v>1</v>
      </c>
      <c r="U106" s="6" t="b">
        <v>0</v>
      </c>
      <c r="V106" s="6" t="b">
        <v>0</v>
      </c>
      <c r="W106" s="6" t="b">
        <v>1</v>
      </c>
      <c r="X106" s="6" t="b">
        <v>1</v>
      </c>
      <c r="Y106" s="6" t="b">
        <v>1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0</v>
      </c>
      <c r="AJ106" s="6" t="b">
        <v>0</v>
      </c>
      <c r="AK106" s="6" t="b">
        <v>0</v>
      </c>
      <c r="AL106" s="9" t="str">
        <f t="shared" si="1"/>
        <v>16 dari 31 (52%)</v>
      </c>
    </row>
    <row r="107" ht="22.5" customHeight="1">
      <c r="A107" s="10">
        <v>106.0</v>
      </c>
      <c r="B107" s="11"/>
      <c r="C107" s="22">
        <v>60554.0</v>
      </c>
      <c r="D107" s="12" t="s">
        <v>51</v>
      </c>
      <c r="E107" s="12" t="s">
        <v>61</v>
      </c>
      <c r="F107" s="13"/>
      <c r="G107" s="6" t="b">
        <v>1</v>
      </c>
      <c r="H107" s="6" t="b">
        <v>1</v>
      </c>
      <c r="I107" s="6" t="b">
        <v>0</v>
      </c>
      <c r="J107" s="6" t="b">
        <v>1</v>
      </c>
      <c r="K107" s="6" t="b">
        <v>1</v>
      </c>
      <c r="L107" s="6" t="b">
        <v>1</v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b">
        <v>1</v>
      </c>
      <c r="T107" s="6" t="b">
        <v>1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0</v>
      </c>
      <c r="AJ107" s="6" t="b">
        <v>0</v>
      </c>
      <c r="AK107" s="6" t="b">
        <v>0</v>
      </c>
      <c r="AL107" s="9" t="str">
        <f t="shared" si="1"/>
        <v>13 dari 31 (42%)</v>
      </c>
    </row>
    <row r="108" ht="22.5" customHeight="1">
      <c r="A108" s="10">
        <v>107.0</v>
      </c>
      <c r="B108" s="11"/>
      <c r="C108" s="22">
        <v>61144.0</v>
      </c>
      <c r="D108" s="12" t="s">
        <v>51</v>
      </c>
      <c r="E108" s="12" t="s">
        <v>61</v>
      </c>
      <c r="F108" s="13"/>
      <c r="G108" s="6" t="b">
        <v>1</v>
      </c>
      <c r="H108" s="6" t="b">
        <v>1</v>
      </c>
      <c r="I108" s="6" t="b">
        <v>0</v>
      </c>
      <c r="J108" s="6" t="b">
        <v>1</v>
      </c>
      <c r="K108" s="6" t="b">
        <v>1</v>
      </c>
      <c r="L108" s="6" t="b">
        <v>1</v>
      </c>
      <c r="M108" s="6" t="b">
        <v>1</v>
      </c>
      <c r="N108" s="6" t="b">
        <v>1</v>
      </c>
      <c r="O108" s="6" t="b">
        <v>1</v>
      </c>
      <c r="P108" s="6" t="b">
        <v>1</v>
      </c>
      <c r="Q108" s="6" t="b">
        <v>1</v>
      </c>
      <c r="R108" s="6" t="b">
        <v>1</v>
      </c>
      <c r="S108" s="6" t="b">
        <v>1</v>
      </c>
      <c r="T108" s="6" t="b">
        <v>1</v>
      </c>
      <c r="U108" s="6" t="b">
        <v>0</v>
      </c>
      <c r="V108" s="6" t="b">
        <v>0</v>
      </c>
      <c r="W108" s="6" t="b">
        <v>1</v>
      </c>
      <c r="X108" s="6" t="b">
        <v>1</v>
      </c>
      <c r="Y108" s="6" t="b">
        <v>1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0</v>
      </c>
      <c r="AJ108" s="6" t="b">
        <v>0</v>
      </c>
      <c r="AK108" s="6" t="b">
        <v>0</v>
      </c>
      <c r="AL108" s="17" t="str">
        <f t="shared" si="1"/>
        <v>16 dari 31 (52%)</v>
      </c>
    </row>
    <row r="109" ht="22.5" customHeight="1">
      <c r="A109" s="2">
        <v>108.0</v>
      </c>
      <c r="B109" s="11"/>
      <c r="C109" s="22">
        <v>21455.0</v>
      </c>
      <c r="D109" s="12" t="s">
        <v>107</v>
      </c>
      <c r="E109" s="12" t="s">
        <v>44</v>
      </c>
      <c r="F109" s="15" t="s">
        <v>50</v>
      </c>
      <c r="G109" s="6" t="b">
        <v>1</v>
      </c>
      <c r="H109" s="6" t="b">
        <v>0</v>
      </c>
      <c r="I109" s="6" t="b">
        <v>0</v>
      </c>
      <c r="J109" s="6" t="b">
        <v>0</v>
      </c>
      <c r="K109" s="6" t="b">
        <v>0</v>
      </c>
      <c r="L109" s="6" t="b">
        <v>0</v>
      </c>
      <c r="M109" s="6" t="b">
        <v>0</v>
      </c>
      <c r="N109" s="6" t="b">
        <v>0</v>
      </c>
      <c r="O109" s="6" t="b">
        <v>0</v>
      </c>
      <c r="P109" s="6" t="b">
        <v>0</v>
      </c>
      <c r="Q109" s="6" t="b">
        <v>0</v>
      </c>
      <c r="R109" s="6" t="b">
        <v>0</v>
      </c>
      <c r="S109" s="6" t="b">
        <v>0</v>
      </c>
      <c r="T109" s="6" t="b">
        <v>0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0</v>
      </c>
      <c r="AJ109" s="6" t="b">
        <v>0</v>
      </c>
      <c r="AK109" s="6" t="b">
        <v>0</v>
      </c>
      <c r="AL109" s="9" t="str">
        <f t="shared" si="1"/>
        <v>1 dari 31 (3%)</v>
      </c>
    </row>
    <row r="110" ht="22.5" customHeight="1">
      <c r="A110" s="10">
        <v>109.0</v>
      </c>
      <c r="B110" s="11"/>
      <c r="C110" s="22">
        <v>58145.0</v>
      </c>
      <c r="D110" s="12" t="s">
        <v>107</v>
      </c>
      <c r="E110" s="12" t="s">
        <v>44</v>
      </c>
      <c r="F110" s="15" t="s">
        <v>50</v>
      </c>
      <c r="G110" s="6" t="b">
        <v>1</v>
      </c>
      <c r="H110" s="6" t="b">
        <v>0</v>
      </c>
      <c r="I110" s="6" t="b">
        <v>0</v>
      </c>
      <c r="J110" s="6" t="b">
        <v>0</v>
      </c>
      <c r="K110" s="6" t="b">
        <v>0</v>
      </c>
      <c r="L110" s="6" t="b">
        <v>0</v>
      </c>
      <c r="M110" s="6" t="b">
        <v>0</v>
      </c>
      <c r="N110" s="6" t="b">
        <v>0</v>
      </c>
      <c r="O110" s="6" t="b">
        <v>0</v>
      </c>
      <c r="P110" s="6" t="b">
        <v>0</v>
      </c>
      <c r="Q110" s="6" t="b">
        <v>0</v>
      </c>
      <c r="R110" s="6" t="b">
        <v>0</v>
      </c>
      <c r="S110" s="6" t="b">
        <v>0</v>
      </c>
      <c r="T110" s="6" t="b">
        <v>0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0</v>
      </c>
      <c r="AJ110" s="6" t="b">
        <v>0</v>
      </c>
      <c r="AK110" s="6" t="b">
        <v>0</v>
      </c>
      <c r="AL110" s="9" t="str">
        <f t="shared" si="1"/>
        <v>1 dari 31 (3%)</v>
      </c>
    </row>
    <row r="111" ht="22.5" customHeight="1">
      <c r="A111" s="10">
        <v>110.0</v>
      </c>
      <c r="B111" s="11"/>
      <c r="C111" s="22">
        <v>57124.0</v>
      </c>
      <c r="D111" s="12" t="s">
        <v>107</v>
      </c>
      <c r="E111" s="12" t="s">
        <v>44</v>
      </c>
      <c r="F111" s="15" t="s">
        <v>50</v>
      </c>
      <c r="G111" s="6" t="b">
        <v>1</v>
      </c>
      <c r="H111" s="6" t="b">
        <v>0</v>
      </c>
      <c r="I111" s="6" t="b">
        <v>0</v>
      </c>
      <c r="J111" s="6" t="b">
        <v>0</v>
      </c>
      <c r="K111" s="6" t="b">
        <v>0</v>
      </c>
      <c r="L111" s="6" t="b">
        <v>0</v>
      </c>
      <c r="M111" s="6" t="b">
        <v>0</v>
      </c>
      <c r="N111" s="6" t="b">
        <v>0</v>
      </c>
      <c r="O111" s="6" t="b">
        <v>0</v>
      </c>
      <c r="P111" s="6" t="b">
        <v>0</v>
      </c>
      <c r="Q111" s="6" t="b">
        <v>0</v>
      </c>
      <c r="R111" s="6" t="b">
        <v>0</v>
      </c>
      <c r="S111" s="6" t="b">
        <v>0</v>
      </c>
      <c r="T111" s="6" t="b">
        <v>0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0</v>
      </c>
      <c r="AJ111" s="6" t="b">
        <v>0</v>
      </c>
      <c r="AK111" s="6" t="b">
        <v>0</v>
      </c>
      <c r="AL111" s="17" t="str">
        <f t="shared" si="1"/>
        <v>1 dari 31 (3%)</v>
      </c>
    </row>
    <row r="112" ht="22.5" customHeight="1">
      <c r="A112" s="2">
        <v>111.0</v>
      </c>
      <c r="B112" s="11"/>
      <c r="C112" s="20">
        <v>57765.0</v>
      </c>
      <c r="D112" s="12" t="s">
        <v>107</v>
      </c>
      <c r="E112" s="12" t="s">
        <v>44</v>
      </c>
      <c r="F112" s="15" t="s">
        <v>50</v>
      </c>
      <c r="G112" s="6" t="b">
        <v>1</v>
      </c>
      <c r="H112" s="6" t="b">
        <v>0</v>
      </c>
      <c r="I112" s="6" t="b">
        <v>0</v>
      </c>
      <c r="J112" s="6" t="b">
        <v>0</v>
      </c>
      <c r="K112" s="6" t="b">
        <v>0</v>
      </c>
      <c r="L112" s="6" t="b">
        <v>0</v>
      </c>
      <c r="M112" s="6" t="b">
        <v>0</v>
      </c>
      <c r="N112" s="6" t="b">
        <v>0</v>
      </c>
      <c r="O112" s="6" t="b">
        <v>0</v>
      </c>
      <c r="P112" s="6" t="b">
        <v>0</v>
      </c>
      <c r="Q112" s="6" t="b">
        <v>0</v>
      </c>
      <c r="R112" s="6" t="b">
        <v>0</v>
      </c>
      <c r="S112" s="6" t="b">
        <v>0</v>
      </c>
      <c r="T112" s="6" t="b">
        <v>0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0</v>
      </c>
      <c r="AJ112" s="6" t="b">
        <v>0</v>
      </c>
      <c r="AK112" s="6" t="b">
        <v>0</v>
      </c>
      <c r="AL112" s="9" t="str">
        <f t="shared" si="1"/>
        <v>1 dari 31 (3%)</v>
      </c>
    </row>
    <row r="113" ht="22.5" customHeight="1">
      <c r="A113" s="10">
        <v>112.0</v>
      </c>
      <c r="B113" s="11"/>
      <c r="C113" s="20">
        <v>49371.0</v>
      </c>
      <c r="D113" s="12" t="s">
        <v>107</v>
      </c>
      <c r="E113" s="12" t="s">
        <v>44</v>
      </c>
      <c r="F113" s="15" t="s">
        <v>50</v>
      </c>
      <c r="G113" s="6" t="b">
        <v>1</v>
      </c>
      <c r="H113" s="6" t="b">
        <v>0</v>
      </c>
      <c r="I113" s="6" t="b">
        <v>0</v>
      </c>
      <c r="J113" s="6" t="b">
        <v>0</v>
      </c>
      <c r="K113" s="6" t="b">
        <v>0</v>
      </c>
      <c r="L113" s="6" t="b">
        <v>0</v>
      </c>
      <c r="M113" s="6" t="b">
        <v>0</v>
      </c>
      <c r="N113" s="6" t="b">
        <v>0</v>
      </c>
      <c r="O113" s="6" t="b">
        <v>0</v>
      </c>
      <c r="P113" s="6" t="b">
        <v>0</v>
      </c>
      <c r="Q113" s="6" t="b">
        <v>0</v>
      </c>
      <c r="R113" s="6" t="b">
        <v>0</v>
      </c>
      <c r="S113" s="6" t="b">
        <v>0</v>
      </c>
      <c r="T113" s="6" t="b">
        <v>0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0</v>
      </c>
      <c r="AJ113" s="6" t="b">
        <v>0</v>
      </c>
      <c r="AK113" s="6" t="b">
        <v>0</v>
      </c>
      <c r="AL113" s="9" t="str">
        <f t="shared" si="1"/>
        <v>1 dari 31 (3%)</v>
      </c>
    </row>
    <row r="114" ht="22.5" customHeight="1">
      <c r="A114" s="10">
        <v>113.0</v>
      </c>
      <c r="B114" s="11"/>
      <c r="C114" s="20">
        <v>12845.0</v>
      </c>
      <c r="D114" s="12" t="s">
        <v>107</v>
      </c>
      <c r="E114" s="12" t="s">
        <v>44</v>
      </c>
      <c r="F114" s="15" t="s">
        <v>50</v>
      </c>
      <c r="G114" s="6" t="b">
        <v>1</v>
      </c>
      <c r="H114" s="6" t="b">
        <v>0</v>
      </c>
      <c r="I114" s="6" t="b">
        <v>0</v>
      </c>
      <c r="J114" s="6" t="b">
        <v>0</v>
      </c>
      <c r="K114" s="6" t="b">
        <v>0</v>
      </c>
      <c r="L114" s="6" t="b">
        <v>0</v>
      </c>
      <c r="M114" s="6" t="b">
        <v>0</v>
      </c>
      <c r="N114" s="6" t="b">
        <v>0</v>
      </c>
      <c r="O114" s="6" t="b">
        <v>0</v>
      </c>
      <c r="P114" s="6" t="b">
        <v>0</v>
      </c>
      <c r="Q114" s="6" t="b">
        <v>0</v>
      </c>
      <c r="R114" s="6" t="b">
        <v>0</v>
      </c>
      <c r="S114" s="6" t="b">
        <v>0</v>
      </c>
      <c r="T114" s="6" t="b">
        <v>0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0</v>
      </c>
      <c r="AJ114" s="6" t="b">
        <v>0</v>
      </c>
      <c r="AK114" s="6" t="b">
        <v>0</v>
      </c>
      <c r="AL114" s="17" t="str">
        <f t="shared" si="1"/>
        <v>1 dari 31 (3%)</v>
      </c>
    </row>
    <row r="115" ht="22.5" customHeight="1">
      <c r="A115" s="2">
        <v>114.0</v>
      </c>
      <c r="B115" s="11"/>
      <c r="C115" s="20">
        <v>26038.0</v>
      </c>
      <c r="D115" s="12" t="s">
        <v>107</v>
      </c>
      <c r="E115" s="12" t="s">
        <v>44</v>
      </c>
      <c r="F115" s="27" t="s">
        <v>67</v>
      </c>
      <c r="G115" s="6" t="b">
        <v>0</v>
      </c>
      <c r="H115" s="6" t="b">
        <v>0</v>
      </c>
      <c r="I115" s="6" t="b">
        <v>0</v>
      </c>
      <c r="J115" s="6" t="b">
        <v>0</v>
      </c>
      <c r="K115" s="6" t="b">
        <v>0</v>
      </c>
      <c r="L115" s="6" t="b">
        <v>0</v>
      </c>
      <c r="M115" s="6" t="b">
        <v>0</v>
      </c>
      <c r="N115" s="6" t="b">
        <v>0</v>
      </c>
      <c r="O115" s="6" t="b">
        <v>0</v>
      </c>
      <c r="P115" s="6" t="b">
        <v>0</v>
      </c>
      <c r="Q115" s="6" t="b">
        <v>0</v>
      </c>
      <c r="R115" s="6" t="b">
        <v>0</v>
      </c>
      <c r="S115" s="6" t="b">
        <v>0</v>
      </c>
      <c r="T115" s="6" t="b">
        <v>0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0 dari 31 (0%)</v>
      </c>
    </row>
    <row r="116" ht="22.5" customHeight="1">
      <c r="A116" s="10">
        <v>115.0</v>
      </c>
      <c r="B116" s="11"/>
      <c r="C116" s="20">
        <v>52814.0</v>
      </c>
      <c r="D116" s="12" t="s">
        <v>107</v>
      </c>
      <c r="E116" s="12" t="s">
        <v>44</v>
      </c>
      <c r="F116" s="15" t="s">
        <v>50</v>
      </c>
      <c r="G116" s="6" t="b">
        <v>1</v>
      </c>
      <c r="H116" s="6" t="b">
        <v>0</v>
      </c>
      <c r="I116" s="6" t="b">
        <v>0</v>
      </c>
      <c r="J116" s="6" t="b">
        <v>0</v>
      </c>
      <c r="K116" s="6" t="b">
        <v>0</v>
      </c>
      <c r="L116" s="6" t="b">
        <v>0</v>
      </c>
      <c r="M116" s="6" t="b">
        <v>0</v>
      </c>
      <c r="N116" s="6" t="b">
        <v>0</v>
      </c>
      <c r="O116" s="6" t="b">
        <v>0</v>
      </c>
      <c r="P116" s="6" t="b">
        <v>0</v>
      </c>
      <c r="Q116" s="6" t="b">
        <v>0</v>
      </c>
      <c r="R116" s="6" t="b">
        <v>0</v>
      </c>
      <c r="S116" s="6" t="b">
        <v>0</v>
      </c>
      <c r="T116" s="6" t="b">
        <v>0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0</v>
      </c>
      <c r="AJ116" s="6" t="b">
        <v>0</v>
      </c>
      <c r="AK116" s="6" t="b">
        <v>0</v>
      </c>
      <c r="AL116" s="9" t="str">
        <f t="shared" si="1"/>
        <v>1 dari 31 (3%)</v>
      </c>
    </row>
    <row r="117" ht="22.5" customHeight="1">
      <c r="A117" s="10">
        <v>116.0</v>
      </c>
      <c r="B117" s="11"/>
      <c r="C117" s="22">
        <v>57368.0</v>
      </c>
      <c r="D117" s="12" t="s">
        <v>107</v>
      </c>
      <c r="E117" s="12" t="s">
        <v>44</v>
      </c>
      <c r="F117" s="15" t="s">
        <v>50</v>
      </c>
      <c r="G117" s="6" t="b">
        <v>1</v>
      </c>
      <c r="H117" s="6" t="b">
        <v>0</v>
      </c>
      <c r="I117" s="6" t="b">
        <v>0</v>
      </c>
      <c r="J117" s="6" t="b">
        <v>0</v>
      </c>
      <c r="K117" s="6" t="b">
        <v>0</v>
      </c>
      <c r="L117" s="6" t="b">
        <v>0</v>
      </c>
      <c r="M117" s="6" t="b">
        <v>0</v>
      </c>
      <c r="N117" s="6" t="b">
        <v>0</v>
      </c>
      <c r="O117" s="6" t="b">
        <v>0</v>
      </c>
      <c r="P117" s="6" t="b">
        <v>0</v>
      </c>
      <c r="Q117" s="6" t="b">
        <v>0</v>
      </c>
      <c r="R117" s="6" t="b">
        <v>0</v>
      </c>
      <c r="S117" s="6" t="b">
        <v>0</v>
      </c>
      <c r="T117" s="6" t="b">
        <v>0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0</v>
      </c>
      <c r="AJ117" s="6" t="b">
        <v>0</v>
      </c>
      <c r="AK117" s="6" t="b">
        <v>0</v>
      </c>
      <c r="AL117" s="17" t="str">
        <f t="shared" si="1"/>
        <v>1 dari 31 (3%)</v>
      </c>
    </row>
    <row r="118" ht="22.5" customHeight="1">
      <c r="A118" s="2">
        <v>117.0</v>
      </c>
      <c r="B118" s="11"/>
      <c r="C118" s="22">
        <v>52968.0</v>
      </c>
      <c r="D118" s="12" t="s">
        <v>107</v>
      </c>
      <c r="E118" s="12" t="s">
        <v>44</v>
      </c>
      <c r="F118" s="15" t="s">
        <v>50</v>
      </c>
      <c r="G118" s="6" t="b">
        <v>1</v>
      </c>
      <c r="H118" s="6" t="b">
        <v>0</v>
      </c>
      <c r="I118" s="6" t="b">
        <v>0</v>
      </c>
      <c r="J118" s="6" t="b">
        <v>0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  <c r="P118" s="6" t="b">
        <v>0</v>
      </c>
      <c r="Q118" s="6" t="b">
        <v>0</v>
      </c>
      <c r="R118" s="6" t="b">
        <v>0</v>
      </c>
      <c r="S118" s="6" t="b">
        <v>0</v>
      </c>
      <c r="T118" s="6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0</v>
      </c>
      <c r="AJ118" s="6" t="b">
        <v>0</v>
      </c>
      <c r="AK118" s="6" t="b">
        <v>0</v>
      </c>
      <c r="AL118" s="9" t="str">
        <f t="shared" si="1"/>
        <v>1 dari 31 (3%)</v>
      </c>
    </row>
    <row r="119" ht="22.5" customHeight="1">
      <c r="A119" s="10">
        <v>118.0</v>
      </c>
      <c r="B119" s="11"/>
      <c r="C119" s="22">
        <v>60221.0</v>
      </c>
      <c r="D119" s="12" t="s">
        <v>107</v>
      </c>
      <c r="E119" s="12" t="s">
        <v>44</v>
      </c>
      <c r="F119" s="27" t="s">
        <v>67</v>
      </c>
      <c r="G119" s="6" t="b">
        <v>0</v>
      </c>
      <c r="H119" s="6" t="b">
        <v>0</v>
      </c>
      <c r="I119" s="6" t="b">
        <v>0</v>
      </c>
      <c r="J119" s="6" t="b">
        <v>0</v>
      </c>
      <c r="K119" s="6" t="b">
        <v>0</v>
      </c>
      <c r="L119" s="6" t="b">
        <v>0</v>
      </c>
      <c r="M119" s="6" t="b">
        <v>0</v>
      </c>
      <c r="N119" s="6" t="b">
        <v>0</v>
      </c>
      <c r="O119" s="6" t="b">
        <v>0</v>
      </c>
      <c r="P119" s="6" t="b">
        <v>0</v>
      </c>
      <c r="Q119" s="6" t="b">
        <v>0</v>
      </c>
      <c r="R119" s="6" t="b">
        <v>0</v>
      </c>
      <c r="S119" s="6" t="b">
        <v>0</v>
      </c>
      <c r="T119" s="6" t="b">
        <v>0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0</v>
      </c>
      <c r="AA119" s="6" t="b">
        <v>0</v>
      </c>
      <c r="AB119" s="6" t="b">
        <v>0</v>
      </c>
      <c r="AC119" s="6" t="b">
        <v>0</v>
      </c>
      <c r="AD119" s="6" t="b">
        <v>0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0</v>
      </c>
      <c r="AJ119" s="6" t="b">
        <v>0</v>
      </c>
      <c r="AK119" s="6" t="b">
        <v>0</v>
      </c>
      <c r="AL119" s="9" t="str">
        <f t="shared" si="1"/>
        <v>0 dari 31 (0%)</v>
      </c>
    </row>
    <row r="120" ht="22.5" customHeight="1">
      <c r="A120" s="10">
        <v>119.0</v>
      </c>
      <c r="B120" s="11"/>
      <c r="C120" s="65">
        <v>16212.0</v>
      </c>
      <c r="D120" s="12" t="s">
        <v>107</v>
      </c>
      <c r="E120" s="12" t="s">
        <v>44</v>
      </c>
      <c r="F120" s="15" t="s">
        <v>50</v>
      </c>
      <c r="G120" s="6" t="b">
        <v>1</v>
      </c>
      <c r="H120" s="6" t="b">
        <v>0</v>
      </c>
      <c r="I120" s="6" t="b">
        <v>0</v>
      </c>
      <c r="J120" s="6" t="b">
        <v>0</v>
      </c>
      <c r="K120" s="6" t="b">
        <v>0</v>
      </c>
      <c r="L120" s="6" t="b">
        <v>0</v>
      </c>
      <c r="M120" s="6" t="b">
        <v>0</v>
      </c>
      <c r="N120" s="6" t="b">
        <v>0</v>
      </c>
      <c r="O120" s="6" t="b">
        <v>0</v>
      </c>
      <c r="P120" s="6" t="b">
        <v>0</v>
      </c>
      <c r="Q120" s="6" t="b">
        <v>0</v>
      </c>
      <c r="R120" s="6" t="b">
        <v>0</v>
      </c>
      <c r="S120" s="6" t="b">
        <v>0</v>
      </c>
      <c r="T120" s="6" t="b">
        <v>0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0</v>
      </c>
      <c r="AJ120" s="6" t="b">
        <v>0</v>
      </c>
      <c r="AK120" s="6" t="b">
        <v>0</v>
      </c>
      <c r="AL120" s="17" t="str">
        <f t="shared" si="1"/>
        <v>1 dari 31 (3%)</v>
      </c>
    </row>
    <row r="121" ht="22.5" customHeight="1">
      <c r="A121" s="2">
        <v>120.0</v>
      </c>
      <c r="B121" s="11"/>
      <c r="C121" s="22">
        <v>58181.0</v>
      </c>
      <c r="D121" s="21" t="s">
        <v>41</v>
      </c>
      <c r="E121" s="21" t="s">
        <v>48</v>
      </c>
      <c r="F121" s="15" t="s">
        <v>50</v>
      </c>
      <c r="G121" s="6" t="b">
        <v>1</v>
      </c>
      <c r="H121" s="6" t="b">
        <v>0</v>
      </c>
      <c r="I121" s="6" t="b">
        <v>0</v>
      </c>
      <c r="J121" s="6" t="b">
        <v>0</v>
      </c>
      <c r="K121" s="6" t="b">
        <v>0</v>
      </c>
      <c r="L121" s="6" t="b">
        <v>0</v>
      </c>
      <c r="M121" s="6" t="b">
        <v>0</v>
      </c>
      <c r="N121" s="6" t="b">
        <v>0</v>
      </c>
      <c r="O121" s="6" t="b">
        <v>0</v>
      </c>
      <c r="P121" s="6" t="b">
        <v>0</v>
      </c>
      <c r="Q121" s="6" t="b">
        <v>0</v>
      </c>
      <c r="R121" s="6" t="b">
        <v>0</v>
      </c>
      <c r="S121" s="6" t="b">
        <v>0</v>
      </c>
      <c r="T121" s="6" t="b">
        <v>0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0</v>
      </c>
      <c r="AJ121" s="6" t="b">
        <v>0</v>
      </c>
      <c r="AK121" s="6" t="b">
        <v>0</v>
      </c>
      <c r="AL121" s="9" t="str">
        <f t="shared" si="1"/>
        <v>1 dari 31 (3%)</v>
      </c>
    </row>
    <row r="122" ht="22.5" customHeight="1">
      <c r="A122" s="10">
        <v>121.0</v>
      </c>
      <c r="B122" s="11"/>
      <c r="C122" s="20">
        <v>60390.0</v>
      </c>
      <c r="D122" s="12" t="s">
        <v>41</v>
      </c>
      <c r="E122" s="12" t="s">
        <v>44</v>
      </c>
      <c r="F122" s="15" t="s">
        <v>50</v>
      </c>
      <c r="G122" s="6" t="b">
        <v>1</v>
      </c>
      <c r="H122" s="6" t="b">
        <v>0</v>
      </c>
      <c r="I122" s="6" t="b">
        <v>1</v>
      </c>
      <c r="J122" s="6" t="b">
        <v>1</v>
      </c>
      <c r="K122" s="6" t="b">
        <v>1</v>
      </c>
      <c r="L122" s="6" t="b">
        <v>1</v>
      </c>
      <c r="M122" s="6" t="b">
        <v>1</v>
      </c>
      <c r="N122" s="6" t="b">
        <v>1</v>
      </c>
      <c r="O122" s="6" t="b">
        <v>1</v>
      </c>
      <c r="P122" s="6" t="b">
        <v>1</v>
      </c>
      <c r="Q122" s="6" t="b">
        <v>1</v>
      </c>
      <c r="R122" s="6" t="b">
        <v>1</v>
      </c>
      <c r="S122" s="6" t="b">
        <v>1</v>
      </c>
      <c r="T122" s="6" t="b">
        <v>0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0</v>
      </c>
      <c r="AJ122" s="6" t="b">
        <v>0</v>
      </c>
      <c r="AK122" s="6" t="b">
        <v>0</v>
      </c>
      <c r="AL122" s="9" t="str">
        <f t="shared" si="1"/>
        <v>12 dari 31 (39%)</v>
      </c>
    </row>
    <row r="123" ht="22.5" customHeight="1">
      <c r="A123" s="10">
        <v>122.0</v>
      </c>
      <c r="B123" s="11"/>
      <c r="C123" s="20">
        <v>59895.0</v>
      </c>
      <c r="D123" s="12" t="s">
        <v>63</v>
      </c>
      <c r="E123" s="12" t="s">
        <v>58</v>
      </c>
      <c r="F123" s="15" t="s">
        <v>50</v>
      </c>
      <c r="G123" s="6" t="b">
        <v>1</v>
      </c>
      <c r="H123" s="6" t="b">
        <v>0</v>
      </c>
      <c r="I123" s="6" t="b">
        <v>1</v>
      </c>
      <c r="J123" s="6" t="b">
        <v>1</v>
      </c>
      <c r="K123" s="6" t="b">
        <v>1</v>
      </c>
      <c r="L123" s="6" t="b">
        <v>1</v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1</v>
      </c>
      <c r="S123" s="6" t="b">
        <v>1</v>
      </c>
      <c r="T123" s="6" t="b">
        <v>0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0</v>
      </c>
      <c r="AJ123" s="6" t="b">
        <v>0</v>
      </c>
      <c r="AK123" s="6" t="b">
        <v>0</v>
      </c>
      <c r="AL123" s="17" t="str">
        <f t="shared" si="1"/>
        <v>12 dari 31 (39%)</v>
      </c>
    </row>
    <row r="124" ht="22.5" customHeight="1">
      <c r="A124" s="2">
        <v>123.0</v>
      </c>
      <c r="B124" s="11"/>
      <c r="C124" s="20">
        <v>60512.0</v>
      </c>
      <c r="D124" s="12" t="s">
        <v>63</v>
      </c>
      <c r="E124" s="12" t="s">
        <v>58</v>
      </c>
      <c r="F124" s="15" t="s">
        <v>50</v>
      </c>
      <c r="G124" s="6" t="b">
        <v>1</v>
      </c>
      <c r="H124" s="6" t="b">
        <v>0</v>
      </c>
      <c r="I124" s="6" t="b">
        <v>1</v>
      </c>
      <c r="J124" s="6" t="b">
        <v>1</v>
      </c>
      <c r="K124" s="6" t="b">
        <v>1</v>
      </c>
      <c r="L124" s="6" t="b">
        <v>1</v>
      </c>
      <c r="M124" s="6" t="b">
        <v>1</v>
      </c>
      <c r="N124" s="6" t="b">
        <v>1</v>
      </c>
      <c r="O124" s="6" t="b">
        <v>1</v>
      </c>
      <c r="P124" s="6" t="b">
        <v>1</v>
      </c>
      <c r="Q124" s="6" t="b">
        <v>1</v>
      </c>
      <c r="R124" s="6" t="b">
        <v>1</v>
      </c>
      <c r="S124" s="6" t="b">
        <v>1</v>
      </c>
      <c r="T124" s="6" t="b">
        <v>0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0</v>
      </c>
      <c r="AJ124" s="6" t="b">
        <v>0</v>
      </c>
      <c r="AK124" s="6" t="b">
        <v>0</v>
      </c>
      <c r="AL124" s="9" t="str">
        <f t="shared" si="1"/>
        <v>12 dari 31 (39%)</v>
      </c>
    </row>
    <row r="125" ht="22.5" customHeight="1">
      <c r="A125" s="10">
        <v>124.0</v>
      </c>
      <c r="B125" s="11"/>
      <c r="C125" s="20">
        <v>60547.0</v>
      </c>
      <c r="D125" s="12" t="s">
        <v>63</v>
      </c>
      <c r="E125" s="12" t="s">
        <v>58</v>
      </c>
      <c r="F125" s="15" t="s">
        <v>50</v>
      </c>
      <c r="G125" s="6" t="b">
        <v>1</v>
      </c>
      <c r="H125" s="6" t="b">
        <v>0</v>
      </c>
      <c r="I125" s="6" t="b">
        <v>1</v>
      </c>
      <c r="J125" s="6" t="b">
        <v>1</v>
      </c>
      <c r="K125" s="6" t="b">
        <v>1</v>
      </c>
      <c r="L125" s="6" t="b">
        <v>1</v>
      </c>
      <c r="M125" s="6" t="b">
        <v>1</v>
      </c>
      <c r="N125" s="6" t="b">
        <v>1</v>
      </c>
      <c r="O125" s="6" t="b">
        <v>1</v>
      </c>
      <c r="P125" s="6" t="b">
        <v>1</v>
      </c>
      <c r="Q125" s="6" t="b">
        <v>1</v>
      </c>
      <c r="R125" s="6" t="b">
        <v>1</v>
      </c>
      <c r="S125" s="6" t="b">
        <v>1</v>
      </c>
      <c r="T125" s="6" t="b">
        <v>0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0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1</v>
      </c>
      <c r="AJ125" s="6" t="b">
        <v>0</v>
      </c>
      <c r="AK125" s="6" t="b">
        <v>0</v>
      </c>
      <c r="AL125" s="9" t="str">
        <f t="shared" si="1"/>
        <v>13 dari 31 (42%)</v>
      </c>
    </row>
    <row r="126" ht="22.5" customHeight="1">
      <c r="A126" s="10">
        <v>125.0</v>
      </c>
      <c r="B126" s="11"/>
      <c r="C126" s="20">
        <v>40412.0</v>
      </c>
      <c r="D126" s="12" t="s">
        <v>63</v>
      </c>
      <c r="E126" s="12" t="s">
        <v>58</v>
      </c>
      <c r="F126" s="13"/>
      <c r="G126" s="6" t="b">
        <v>1</v>
      </c>
      <c r="H126" s="6" t="b">
        <v>1</v>
      </c>
      <c r="I126" s="6" t="b">
        <v>1</v>
      </c>
      <c r="J126" s="6" t="b">
        <v>1</v>
      </c>
      <c r="K126" s="6" t="b">
        <v>1</v>
      </c>
      <c r="L126" s="6" t="b">
        <v>1</v>
      </c>
      <c r="M126" s="6" t="b">
        <v>1</v>
      </c>
      <c r="N126" s="6" t="b">
        <v>1</v>
      </c>
      <c r="O126" s="6" t="b">
        <v>1</v>
      </c>
      <c r="P126" s="6" t="b">
        <v>1</v>
      </c>
      <c r="Q126" s="6" t="b">
        <v>1</v>
      </c>
      <c r="R126" s="6" t="b">
        <v>1</v>
      </c>
      <c r="S126" s="6" t="b">
        <v>1</v>
      </c>
      <c r="T126" s="6" t="b">
        <v>0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0</v>
      </c>
      <c r="AJ126" s="6" t="b">
        <v>0</v>
      </c>
      <c r="AK126" s="6" t="b">
        <v>0</v>
      </c>
      <c r="AL126" s="17" t="str">
        <f t="shared" si="1"/>
        <v>13 dari 31 (42%)</v>
      </c>
    </row>
    <row r="127" ht="22.5" customHeight="1">
      <c r="A127" s="2">
        <v>126.0</v>
      </c>
      <c r="B127" s="11"/>
      <c r="C127" s="22">
        <v>33440.0</v>
      </c>
      <c r="D127" s="12" t="s">
        <v>63</v>
      </c>
      <c r="E127" s="12" t="s">
        <v>58</v>
      </c>
      <c r="F127" s="15" t="s">
        <v>50</v>
      </c>
      <c r="G127" s="6" t="b">
        <v>1</v>
      </c>
      <c r="H127" s="6" t="b">
        <v>0</v>
      </c>
      <c r="I127" s="6" t="b">
        <v>1</v>
      </c>
      <c r="J127" s="6" t="b">
        <v>1</v>
      </c>
      <c r="K127" s="6" t="b">
        <v>1</v>
      </c>
      <c r="L127" s="6" t="b">
        <v>1</v>
      </c>
      <c r="M127" s="6" t="b">
        <v>1</v>
      </c>
      <c r="N127" s="6" t="b">
        <v>1</v>
      </c>
      <c r="O127" s="6" t="b">
        <v>1</v>
      </c>
      <c r="P127" s="6" t="b">
        <v>0</v>
      </c>
      <c r="Q127" s="6" t="b">
        <v>0</v>
      </c>
      <c r="R127" s="6" t="b">
        <v>1</v>
      </c>
      <c r="S127" s="6" t="b">
        <v>1</v>
      </c>
      <c r="T127" s="6" t="b">
        <v>0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1</v>
      </c>
      <c r="AJ127" s="6" t="b">
        <v>0</v>
      </c>
      <c r="AK127" s="6" t="b">
        <v>0</v>
      </c>
      <c r="AL127" s="9" t="str">
        <f t="shared" si="1"/>
        <v>11 dari 31 (35%)</v>
      </c>
    </row>
    <row r="128" ht="22.5" customHeight="1">
      <c r="A128" s="10">
        <v>127.0</v>
      </c>
      <c r="B128" s="11"/>
      <c r="C128" s="22">
        <v>46579.0</v>
      </c>
      <c r="D128" s="56" t="s">
        <v>63</v>
      </c>
      <c r="E128" s="56" t="s">
        <v>58</v>
      </c>
      <c r="F128" s="57"/>
      <c r="G128" s="6" t="b">
        <v>1</v>
      </c>
      <c r="H128" s="6" t="b">
        <v>1</v>
      </c>
      <c r="I128" s="6" t="b">
        <v>1</v>
      </c>
      <c r="J128" s="6" t="b">
        <v>1</v>
      </c>
      <c r="K128" s="6" t="b">
        <v>1</v>
      </c>
      <c r="L128" s="6" t="b">
        <v>1</v>
      </c>
      <c r="M128" s="6" t="b">
        <v>1</v>
      </c>
      <c r="N128" s="6" t="b">
        <v>1</v>
      </c>
      <c r="O128" s="6" t="b">
        <v>1</v>
      </c>
      <c r="P128" s="6" t="b">
        <v>1</v>
      </c>
      <c r="Q128" s="6" t="b">
        <v>1</v>
      </c>
      <c r="R128" s="6" t="b">
        <v>1</v>
      </c>
      <c r="S128" s="6" t="b">
        <v>1</v>
      </c>
      <c r="T128" s="6" t="b">
        <v>0</v>
      </c>
      <c r="U128" s="6" t="b">
        <v>0</v>
      </c>
      <c r="V128" s="6" t="b">
        <v>0</v>
      </c>
      <c r="W128" s="6" t="b">
        <v>0</v>
      </c>
      <c r="X128" s="6" t="b">
        <v>0</v>
      </c>
      <c r="Y128" s="6" t="b">
        <v>0</v>
      </c>
      <c r="Z128" s="6" t="b">
        <v>0</v>
      </c>
      <c r="AA128" s="6" t="b">
        <v>0</v>
      </c>
      <c r="AB128" s="6" t="b">
        <v>0</v>
      </c>
      <c r="AC128" s="6" t="b">
        <v>0</v>
      </c>
      <c r="AD128" s="6" t="b">
        <v>0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0</v>
      </c>
      <c r="AJ128" s="6" t="b">
        <v>0</v>
      </c>
      <c r="AK128" s="6" t="b">
        <v>0</v>
      </c>
      <c r="AL128" s="9" t="str">
        <f t="shared" si="1"/>
        <v>13 dari 31 (42%)</v>
      </c>
    </row>
    <row r="129" ht="22.5" customHeight="1">
      <c r="A129" s="10">
        <v>128.0</v>
      </c>
      <c r="B129" s="11"/>
      <c r="C129" s="22">
        <v>54166.0</v>
      </c>
      <c r="D129" s="12" t="s">
        <v>63</v>
      </c>
      <c r="E129" s="12" t="s">
        <v>58</v>
      </c>
      <c r="F129" s="15" t="s">
        <v>50</v>
      </c>
      <c r="G129" s="6" t="b">
        <v>1</v>
      </c>
      <c r="H129" s="6" t="b">
        <v>0</v>
      </c>
      <c r="I129" s="6" t="b">
        <v>1</v>
      </c>
      <c r="J129" s="6" t="b">
        <v>1</v>
      </c>
      <c r="K129" s="6" t="b">
        <v>1</v>
      </c>
      <c r="L129" s="6" t="b">
        <v>1</v>
      </c>
      <c r="M129" s="6" t="b">
        <v>1</v>
      </c>
      <c r="N129" s="6" t="b">
        <v>1</v>
      </c>
      <c r="O129" s="6" t="b">
        <v>1</v>
      </c>
      <c r="P129" s="6" t="b">
        <v>1</v>
      </c>
      <c r="Q129" s="6" t="b">
        <v>1</v>
      </c>
      <c r="R129" s="6" t="b">
        <v>1</v>
      </c>
      <c r="S129" s="6" t="b">
        <v>1</v>
      </c>
      <c r="T129" s="6" t="b">
        <v>0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0</v>
      </c>
      <c r="AJ129" s="6" t="b">
        <v>0</v>
      </c>
      <c r="AK129" s="6" t="b">
        <v>0</v>
      </c>
      <c r="AL129" s="17" t="str">
        <f t="shared" si="1"/>
        <v>12 dari 31 (39%)</v>
      </c>
    </row>
    <row r="130" ht="22.5" customHeight="1">
      <c r="A130" s="2">
        <v>129.0</v>
      </c>
      <c r="B130" s="11"/>
      <c r="C130" s="22">
        <v>60610.0</v>
      </c>
      <c r="D130" s="12" t="s">
        <v>63</v>
      </c>
      <c r="E130" s="12" t="s">
        <v>58</v>
      </c>
      <c r="F130" s="13"/>
      <c r="G130" s="6" t="b">
        <v>1</v>
      </c>
      <c r="H130" s="6" t="b">
        <v>1</v>
      </c>
      <c r="I130" s="6" t="b">
        <v>1</v>
      </c>
      <c r="J130" s="6" t="b">
        <v>1</v>
      </c>
      <c r="K130" s="6" t="b">
        <v>1</v>
      </c>
      <c r="L130" s="6" t="b">
        <v>1</v>
      </c>
      <c r="M130" s="6" t="b">
        <v>1</v>
      </c>
      <c r="N130" s="6" t="b">
        <v>1</v>
      </c>
      <c r="O130" s="6" t="b">
        <v>1</v>
      </c>
      <c r="P130" s="6" t="b">
        <v>1</v>
      </c>
      <c r="Q130" s="6" t="b">
        <v>1</v>
      </c>
      <c r="R130" s="6" t="b">
        <v>1</v>
      </c>
      <c r="S130" s="6" t="b">
        <v>1</v>
      </c>
      <c r="T130" s="6" t="b">
        <v>0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0</v>
      </c>
      <c r="AJ130" s="6" t="b">
        <v>0</v>
      </c>
      <c r="AK130" s="6" t="b">
        <v>0</v>
      </c>
      <c r="AL130" s="9" t="str">
        <f t="shared" si="1"/>
        <v>13 dari 31 (42%)</v>
      </c>
    </row>
    <row r="131" ht="22.5" customHeight="1">
      <c r="A131" s="10">
        <v>130.0</v>
      </c>
      <c r="B131" s="11"/>
      <c r="C131" s="22">
        <v>59664.0</v>
      </c>
      <c r="D131" s="12" t="s">
        <v>63</v>
      </c>
      <c r="E131" s="12" t="s">
        <v>58</v>
      </c>
      <c r="F131" s="15" t="s">
        <v>50</v>
      </c>
      <c r="G131" s="6" t="b">
        <v>1</v>
      </c>
      <c r="H131" s="6" t="b">
        <v>0</v>
      </c>
      <c r="I131" s="6" t="b">
        <v>1</v>
      </c>
      <c r="J131" s="6" t="b">
        <v>1</v>
      </c>
      <c r="K131" s="6" t="b">
        <v>1</v>
      </c>
      <c r="L131" s="6" t="b">
        <v>1</v>
      </c>
      <c r="M131" s="6" t="b">
        <v>1</v>
      </c>
      <c r="N131" s="6" t="b">
        <v>1</v>
      </c>
      <c r="O131" s="6" t="b">
        <v>1</v>
      </c>
      <c r="P131" s="6" t="b">
        <v>1</v>
      </c>
      <c r="Q131" s="6" t="b">
        <v>0</v>
      </c>
      <c r="R131" s="6" t="b">
        <v>1</v>
      </c>
      <c r="S131" s="6" t="b">
        <v>1</v>
      </c>
      <c r="T131" s="6" t="b">
        <v>0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0</v>
      </c>
      <c r="AJ131" s="6" t="b">
        <v>0</v>
      </c>
      <c r="AK131" s="6" t="b">
        <v>0</v>
      </c>
      <c r="AL131" s="9" t="str">
        <f t="shared" si="1"/>
        <v>11 dari 31 (35%)</v>
      </c>
    </row>
    <row r="132" ht="22.5" customHeight="1">
      <c r="A132" s="10">
        <v>131.0</v>
      </c>
      <c r="B132" s="11"/>
      <c r="C132" s="20">
        <v>59747.0</v>
      </c>
      <c r="D132" s="12" t="s">
        <v>63</v>
      </c>
      <c r="E132" s="12" t="s">
        <v>58</v>
      </c>
      <c r="F132" s="13"/>
      <c r="G132" s="6" t="b">
        <v>1</v>
      </c>
      <c r="H132" s="6" t="b">
        <v>1</v>
      </c>
      <c r="I132" s="6" t="b">
        <v>0</v>
      </c>
      <c r="J132" s="6" t="b">
        <v>1</v>
      </c>
      <c r="K132" s="6" t="b">
        <v>1</v>
      </c>
      <c r="L132" s="6" t="b">
        <v>1</v>
      </c>
      <c r="M132" s="6" t="b">
        <v>1</v>
      </c>
      <c r="N132" s="6" t="b">
        <v>1</v>
      </c>
      <c r="O132" s="6" t="b">
        <v>1</v>
      </c>
      <c r="P132" s="6" t="b">
        <v>1</v>
      </c>
      <c r="Q132" s="6" t="b">
        <v>1</v>
      </c>
      <c r="R132" s="6" t="b">
        <v>1</v>
      </c>
      <c r="S132" s="6" t="b">
        <v>1</v>
      </c>
      <c r="T132" s="6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17" t="str">
        <f t="shared" si="1"/>
        <v>12 dari 31 (39%)</v>
      </c>
    </row>
    <row r="133" ht="22.5" customHeight="1">
      <c r="A133" s="2">
        <v>132.0</v>
      </c>
      <c r="B133" s="11"/>
      <c r="C133" s="20">
        <v>60874.0</v>
      </c>
      <c r="D133" s="12" t="s">
        <v>63</v>
      </c>
      <c r="E133" s="12" t="s">
        <v>58</v>
      </c>
      <c r="F133" s="13"/>
      <c r="G133" s="6" t="b">
        <v>1</v>
      </c>
      <c r="H133" s="6" t="b">
        <v>1</v>
      </c>
      <c r="I133" s="6" t="b">
        <v>0</v>
      </c>
      <c r="J133" s="6" t="b">
        <v>1</v>
      </c>
      <c r="K133" s="6" t="b">
        <v>1</v>
      </c>
      <c r="L133" s="6" t="b">
        <v>1</v>
      </c>
      <c r="M133" s="6" t="b">
        <v>1</v>
      </c>
      <c r="N133" s="6" t="b">
        <v>1</v>
      </c>
      <c r="O133" s="6" t="b">
        <v>1</v>
      </c>
      <c r="P133" s="6" t="b">
        <v>1</v>
      </c>
      <c r="Q133" s="6" t="b">
        <v>1</v>
      </c>
      <c r="R133" s="6" t="b">
        <v>1</v>
      </c>
      <c r="S133" s="6" t="b">
        <v>1</v>
      </c>
      <c r="T133" s="6" t="b">
        <v>0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0</v>
      </c>
      <c r="AJ133" s="6" t="b">
        <v>0</v>
      </c>
      <c r="AK133" s="6" t="b">
        <v>0</v>
      </c>
      <c r="AL133" s="9" t="str">
        <f t="shared" si="1"/>
        <v>12 dari 31 (39%)</v>
      </c>
    </row>
    <row r="134" ht="22.5" customHeight="1">
      <c r="A134" s="10">
        <v>133.0</v>
      </c>
      <c r="B134" s="11"/>
      <c r="C134" s="20">
        <v>61023.0</v>
      </c>
      <c r="D134" s="12" t="s">
        <v>63</v>
      </c>
      <c r="E134" s="12" t="s">
        <v>58</v>
      </c>
      <c r="F134" s="13"/>
      <c r="G134" s="6" t="b">
        <v>1</v>
      </c>
      <c r="H134" s="6" t="b">
        <v>1</v>
      </c>
      <c r="I134" s="6" t="b">
        <v>0</v>
      </c>
      <c r="J134" s="6" t="b">
        <v>1</v>
      </c>
      <c r="K134" s="6" t="b">
        <v>1</v>
      </c>
      <c r="L134" s="6" t="b">
        <v>1</v>
      </c>
      <c r="M134" s="6" t="b">
        <v>1</v>
      </c>
      <c r="N134" s="6" t="b">
        <v>1</v>
      </c>
      <c r="O134" s="6" t="b">
        <v>1</v>
      </c>
      <c r="P134" s="6" t="b">
        <v>1</v>
      </c>
      <c r="Q134" s="6" t="b">
        <v>1</v>
      </c>
      <c r="R134" s="6" t="b">
        <v>1</v>
      </c>
      <c r="S134" s="6" t="b">
        <v>1</v>
      </c>
      <c r="T134" s="6" t="b">
        <v>0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0</v>
      </c>
      <c r="AJ134" s="6" t="b">
        <v>0</v>
      </c>
      <c r="AK134" s="6" t="b">
        <v>0</v>
      </c>
      <c r="AL134" s="9" t="str">
        <f t="shared" si="1"/>
        <v>12 dari 31 (39%)</v>
      </c>
    </row>
    <row r="135" ht="22.5" customHeight="1">
      <c r="A135" s="10">
        <v>134.0</v>
      </c>
      <c r="B135" s="11"/>
      <c r="C135" s="20">
        <v>39064.0</v>
      </c>
      <c r="D135" s="12" t="s">
        <v>63</v>
      </c>
      <c r="E135" s="12" t="s">
        <v>58</v>
      </c>
      <c r="F135" s="13"/>
      <c r="G135" s="6" t="b">
        <v>1</v>
      </c>
      <c r="H135" s="6" t="b">
        <v>1</v>
      </c>
      <c r="I135" s="6" t="b">
        <v>0</v>
      </c>
      <c r="J135" s="6" t="b">
        <v>1</v>
      </c>
      <c r="K135" s="6" t="b">
        <v>1</v>
      </c>
      <c r="L135" s="6" t="b">
        <v>1</v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1</v>
      </c>
      <c r="S135" s="6" t="b">
        <v>1</v>
      </c>
      <c r="T135" s="6" t="b">
        <v>0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0</v>
      </c>
      <c r="AJ135" s="6" t="b">
        <v>0</v>
      </c>
      <c r="AK135" s="6" t="b">
        <v>0</v>
      </c>
      <c r="AL135" s="17" t="str">
        <f t="shared" si="1"/>
        <v>12 dari 31 (39%)</v>
      </c>
    </row>
    <row r="136" ht="22.5" customHeight="1">
      <c r="A136" s="2">
        <v>135.0</v>
      </c>
      <c r="B136" s="11"/>
      <c r="C136" s="20">
        <v>53279.0</v>
      </c>
      <c r="D136" s="12" t="s">
        <v>63</v>
      </c>
      <c r="E136" s="12" t="s">
        <v>58</v>
      </c>
      <c r="F136" s="13"/>
      <c r="G136" s="6" t="b">
        <v>1</v>
      </c>
      <c r="H136" s="6" t="b">
        <v>1</v>
      </c>
      <c r="I136" s="6" t="b">
        <v>0</v>
      </c>
      <c r="J136" s="6" t="b">
        <v>1</v>
      </c>
      <c r="K136" s="6" t="b">
        <v>1</v>
      </c>
      <c r="L136" s="6" t="b">
        <v>1</v>
      </c>
      <c r="M136" s="6" t="b">
        <v>1</v>
      </c>
      <c r="N136" s="6" t="b">
        <v>1</v>
      </c>
      <c r="O136" s="6" t="b">
        <v>1</v>
      </c>
      <c r="P136" s="6" t="b">
        <v>1</v>
      </c>
      <c r="Q136" s="6" t="b">
        <v>1</v>
      </c>
      <c r="R136" s="6" t="b">
        <v>1</v>
      </c>
      <c r="S136" s="6" t="b">
        <v>1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0</v>
      </c>
      <c r="AJ136" s="6" t="b">
        <v>0</v>
      </c>
      <c r="AK136" s="6" t="b">
        <v>0</v>
      </c>
      <c r="AL136" s="9" t="str">
        <f t="shared" si="1"/>
        <v>12 dari 31 (39%)</v>
      </c>
    </row>
    <row r="137" ht="22.5" customHeight="1">
      <c r="A137" s="10">
        <v>136.0</v>
      </c>
      <c r="B137" s="11"/>
      <c r="C137" s="22">
        <v>60072.0</v>
      </c>
      <c r="D137" s="12" t="s">
        <v>63</v>
      </c>
      <c r="E137" s="12" t="s">
        <v>58</v>
      </c>
      <c r="F137" s="15" t="s">
        <v>50</v>
      </c>
      <c r="G137" s="6" t="b">
        <v>1</v>
      </c>
      <c r="H137" s="6" t="b">
        <v>1</v>
      </c>
      <c r="I137" s="6" t="b">
        <v>0</v>
      </c>
      <c r="J137" s="6" t="b">
        <v>0</v>
      </c>
      <c r="K137" s="6" t="b">
        <v>1</v>
      </c>
      <c r="L137" s="6" t="b">
        <v>1</v>
      </c>
      <c r="M137" s="6" t="b">
        <v>1</v>
      </c>
      <c r="N137" s="6" t="b">
        <v>1</v>
      </c>
      <c r="O137" s="6" t="b">
        <v>1</v>
      </c>
      <c r="P137" s="6" t="b">
        <v>1</v>
      </c>
      <c r="Q137" s="6" t="b">
        <v>1</v>
      </c>
      <c r="R137" s="6" t="b">
        <v>1</v>
      </c>
      <c r="S137" s="6" t="b">
        <v>1</v>
      </c>
      <c r="T137" s="6" t="b">
        <v>0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0</v>
      </c>
      <c r="AJ137" s="6" t="b">
        <v>0</v>
      </c>
      <c r="AK137" s="6" t="b">
        <v>0</v>
      </c>
      <c r="AL137" s="9" t="str">
        <f t="shared" si="1"/>
        <v>11 dari 31 (35%)</v>
      </c>
    </row>
    <row r="138" ht="22.5" customHeight="1">
      <c r="A138" s="10">
        <v>137.0</v>
      </c>
      <c r="B138" s="11"/>
      <c r="C138" s="22">
        <v>39869.0</v>
      </c>
      <c r="D138" s="12" t="s">
        <v>63</v>
      </c>
      <c r="E138" s="12" t="s">
        <v>58</v>
      </c>
      <c r="F138" s="13"/>
      <c r="G138" s="6" t="b">
        <v>1</v>
      </c>
      <c r="H138" s="6" t="b">
        <v>1</v>
      </c>
      <c r="I138" s="6" t="b">
        <v>0</v>
      </c>
      <c r="J138" s="6" t="b">
        <v>1</v>
      </c>
      <c r="K138" s="6" t="b">
        <v>1</v>
      </c>
      <c r="L138" s="6" t="b">
        <v>1</v>
      </c>
      <c r="M138" s="6" t="b">
        <v>1</v>
      </c>
      <c r="N138" s="6" t="b">
        <v>1</v>
      </c>
      <c r="O138" s="6" t="b">
        <v>1</v>
      </c>
      <c r="P138" s="6" t="b">
        <v>1</v>
      </c>
      <c r="Q138" s="6" t="b">
        <v>1</v>
      </c>
      <c r="R138" s="6" t="b">
        <v>1</v>
      </c>
      <c r="S138" s="6" t="b">
        <v>1</v>
      </c>
      <c r="T138" s="6" t="b">
        <v>0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0</v>
      </c>
      <c r="AJ138" s="6" t="b">
        <v>0</v>
      </c>
      <c r="AK138" s="6" t="b">
        <v>0</v>
      </c>
      <c r="AL138" s="17" t="str">
        <f t="shared" si="1"/>
        <v>12 dari 31 (39%)</v>
      </c>
    </row>
    <row r="139" ht="22.5" customHeight="1">
      <c r="A139" s="2">
        <v>138.0</v>
      </c>
      <c r="B139" s="11"/>
      <c r="C139" s="22">
        <v>59255.0</v>
      </c>
      <c r="D139" s="21" t="s">
        <v>54</v>
      </c>
      <c r="E139" s="21" t="s">
        <v>155</v>
      </c>
      <c r="F139" s="15" t="s">
        <v>50</v>
      </c>
      <c r="G139" s="6" t="b">
        <v>1</v>
      </c>
      <c r="H139" s="6" t="b">
        <v>1</v>
      </c>
      <c r="I139" s="6" t="b">
        <v>0</v>
      </c>
      <c r="J139" s="6" t="b">
        <v>0</v>
      </c>
      <c r="K139" s="6" t="b">
        <v>0</v>
      </c>
      <c r="L139" s="6" t="b">
        <v>1</v>
      </c>
      <c r="M139" s="6" t="b">
        <v>1</v>
      </c>
      <c r="N139" s="6" t="b">
        <v>1</v>
      </c>
      <c r="O139" s="6" t="b">
        <v>1</v>
      </c>
      <c r="P139" s="6" t="b">
        <v>1</v>
      </c>
      <c r="Q139" s="6" t="b">
        <v>1</v>
      </c>
      <c r="R139" s="6" t="b">
        <v>1</v>
      </c>
      <c r="S139" s="6" t="b">
        <v>1</v>
      </c>
      <c r="T139" s="6" t="b">
        <v>0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0</v>
      </c>
      <c r="AJ139" s="6" t="b">
        <v>0</v>
      </c>
      <c r="AK139" s="6" t="b">
        <v>0</v>
      </c>
      <c r="AL139" s="9" t="str">
        <f t="shared" si="1"/>
        <v>10 dari 31 (32%)</v>
      </c>
    </row>
    <row r="140" ht="22.5" customHeight="1">
      <c r="A140" s="10">
        <v>139.0</v>
      </c>
      <c r="B140" s="11"/>
      <c r="C140" s="22">
        <v>58824.0</v>
      </c>
      <c r="D140" s="21" t="s">
        <v>54</v>
      </c>
      <c r="E140" s="21" t="s">
        <v>155</v>
      </c>
      <c r="F140" s="15" t="s">
        <v>50</v>
      </c>
      <c r="G140" s="6" t="b">
        <v>1</v>
      </c>
      <c r="H140" s="6" t="b">
        <v>1</v>
      </c>
      <c r="I140" s="6" t="b">
        <v>0</v>
      </c>
      <c r="J140" s="6" t="b">
        <v>0</v>
      </c>
      <c r="K140" s="6" t="b">
        <v>1</v>
      </c>
      <c r="L140" s="6" t="b">
        <v>1</v>
      </c>
      <c r="M140" s="6" t="b">
        <v>1</v>
      </c>
      <c r="N140" s="6" t="b">
        <v>1</v>
      </c>
      <c r="O140" s="6" t="b">
        <v>1</v>
      </c>
      <c r="P140" s="6" t="b">
        <v>1</v>
      </c>
      <c r="Q140" s="6" t="b">
        <v>1</v>
      </c>
      <c r="R140" s="6" t="b">
        <v>1</v>
      </c>
      <c r="S140" s="6" t="b">
        <v>1</v>
      </c>
      <c r="T140" s="6" t="b">
        <v>0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0</v>
      </c>
      <c r="AJ140" s="6" t="b">
        <v>0</v>
      </c>
      <c r="AK140" s="6" t="b">
        <v>0</v>
      </c>
      <c r="AL140" s="9" t="str">
        <f t="shared" si="1"/>
        <v>11 dari 31 (35%)</v>
      </c>
    </row>
    <row r="141" ht="22.5" customHeight="1">
      <c r="A141" s="10">
        <v>140.0</v>
      </c>
      <c r="B141" s="11"/>
      <c r="C141" s="22">
        <v>58581.0</v>
      </c>
      <c r="D141" s="21" t="s">
        <v>54</v>
      </c>
      <c r="E141" s="21" t="s">
        <v>155</v>
      </c>
      <c r="F141" s="15" t="s">
        <v>50</v>
      </c>
      <c r="G141" s="6" t="b">
        <v>1</v>
      </c>
      <c r="H141" s="6" t="b">
        <v>1</v>
      </c>
      <c r="I141" s="6" t="b">
        <v>0</v>
      </c>
      <c r="J141" s="6" t="b">
        <v>0</v>
      </c>
      <c r="K141" s="6" t="b">
        <v>0</v>
      </c>
      <c r="L141" s="6" t="b">
        <v>1</v>
      </c>
      <c r="M141" s="6" t="b">
        <v>1</v>
      </c>
      <c r="N141" s="6" t="b">
        <v>1</v>
      </c>
      <c r="O141" s="6" t="b">
        <v>1</v>
      </c>
      <c r="P141" s="6" t="b">
        <v>1</v>
      </c>
      <c r="Q141" s="6" t="b">
        <v>1</v>
      </c>
      <c r="R141" s="6" t="b">
        <v>1</v>
      </c>
      <c r="S141" s="6" t="b">
        <v>1</v>
      </c>
      <c r="T141" s="6" t="b">
        <v>0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0</v>
      </c>
      <c r="AJ141" s="6" t="b">
        <v>0</v>
      </c>
      <c r="AK141" s="6" t="b">
        <v>0</v>
      </c>
      <c r="AL141" s="17" t="str">
        <f t="shared" si="1"/>
        <v>10 dari 31 (32%)</v>
      </c>
    </row>
    <row r="142" ht="22.5" customHeight="1">
      <c r="A142" s="2">
        <v>141.0</v>
      </c>
      <c r="B142" s="11"/>
      <c r="C142" s="20">
        <v>60287.0</v>
      </c>
      <c r="D142" s="12" t="s">
        <v>54</v>
      </c>
      <c r="E142" s="12" t="s">
        <v>155</v>
      </c>
      <c r="F142" s="13"/>
      <c r="G142" s="6" t="b">
        <v>1</v>
      </c>
      <c r="H142" s="6" t="b">
        <v>1</v>
      </c>
      <c r="I142" s="6" t="b">
        <v>1</v>
      </c>
      <c r="J142" s="6" t="b">
        <v>1</v>
      </c>
      <c r="K142" s="6" t="b">
        <v>1</v>
      </c>
      <c r="L142" s="6" t="b">
        <v>1</v>
      </c>
      <c r="M142" s="6" t="b">
        <v>1</v>
      </c>
      <c r="N142" s="6" t="b">
        <v>1</v>
      </c>
      <c r="O142" s="6" t="b">
        <v>1</v>
      </c>
      <c r="P142" s="6" t="b">
        <v>1</v>
      </c>
      <c r="Q142" s="6" t="b">
        <v>1</v>
      </c>
      <c r="R142" s="6" t="b">
        <v>1</v>
      </c>
      <c r="S142" s="6" t="b">
        <v>1</v>
      </c>
      <c r="T142" s="6" t="b">
        <v>0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0</v>
      </c>
      <c r="AJ142" s="6" t="b">
        <v>0</v>
      </c>
      <c r="AK142" s="6" t="b">
        <v>0</v>
      </c>
      <c r="AL142" s="9" t="str">
        <f t="shared" si="1"/>
        <v>13 dari 31 (42%)</v>
      </c>
    </row>
    <row r="143" ht="22.5" customHeight="1">
      <c r="A143" s="10">
        <v>142.0</v>
      </c>
      <c r="B143" s="11"/>
      <c r="C143" s="20">
        <v>60486.0</v>
      </c>
      <c r="D143" s="12" t="s">
        <v>54</v>
      </c>
      <c r="E143" s="12" t="s">
        <v>155</v>
      </c>
      <c r="F143" s="13"/>
      <c r="G143" s="6" t="b">
        <v>1</v>
      </c>
      <c r="H143" s="6" t="b">
        <v>1</v>
      </c>
      <c r="I143" s="6" t="b">
        <v>0</v>
      </c>
      <c r="J143" s="6" t="b">
        <v>1</v>
      </c>
      <c r="K143" s="6" t="b">
        <v>1</v>
      </c>
      <c r="L143" s="6" t="b">
        <v>1</v>
      </c>
      <c r="M143" s="6" t="b">
        <v>1</v>
      </c>
      <c r="N143" s="6" t="b">
        <v>1</v>
      </c>
      <c r="O143" s="6" t="b">
        <v>1</v>
      </c>
      <c r="P143" s="6" t="b">
        <v>1</v>
      </c>
      <c r="Q143" s="6" t="b">
        <v>1</v>
      </c>
      <c r="R143" s="6" t="b">
        <v>1</v>
      </c>
      <c r="S143" s="6" t="b">
        <v>1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0</v>
      </c>
      <c r="AJ143" s="6" t="b">
        <v>0</v>
      </c>
      <c r="AK143" s="6" t="b">
        <v>0</v>
      </c>
      <c r="AL143" s="9" t="str">
        <f t="shared" si="1"/>
        <v>12 dari 31 (39%)</v>
      </c>
    </row>
    <row r="144" ht="22.5" customHeight="1">
      <c r="A144" s="10">
        <v>143.0</v>
      </c>
      <c r="B144" s="11"/>
      <c r="C144" s="20">
        <v>61172.0</v>
      </c>
      <c r="D144" s="12" t="s">
        <v>63</v>
      </c>
      <c r="E144" s="12" t="s">
        <v>58</v>
      </c>
      <c r="F144" s="13"/>
      <c r="G144" s="6" t="b">
        <v>1</v>
      </c>
      <c r="H144" s="6" t="b">
        <v>1</v>
      </c>
      <c r="I144" s="6" t="b">
        <v>1</v>
      </c>
      <c r="J144" s="6" t="b">
        <v>1</v>
      </c>
      <c r="K144" s="6" t="b">
        <v>1</v>
      </c>
      <c r="L144" s="6" t="b">
        <v>1</v>
      </c>
      <c r="M144" s="6" t="b">
        <v>1</v>
      </c>
      <c r="N144" s="6" t="b">
        <v>1</v>
      </c>
      <c r="O144" s="6" t="b">
        <v>1</v>
      </c>
      <c r="P144" s="6" t="b">
        <v>1</v>
      </c>
      <c r="Q144" s="6" t="b">
        <v>1</v>
      </c>
      <c r="R144" s="6" t="b">
        <v>1</v>
      </c>
      <c r="S144" s="6" t="b">
        <v>1</v>
      </c>
      <c r="T144" s="6" t="b">
        <v>0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1</v>
      </c>
      <c r="AJ144" s="6" t="b">
        <v>0</v>
      </c>
      <c r="AK144" s="6" t="b">
        <v>0</v>
      </c>
      <c r="AL144" s="17" t="str">
        <f t="shared" si="1"/>
        <v>14 dari 31 (45%)</v>
      </c>
    </row>
    <row r="145" ht="22.5" customHeight="1">
      <c r="A145" s="2">
        <v>144.0</v>
      </c>
      <c r="B145" s="11"/>
      <c r="C145" s="20">
        <v>61170.0</v>
      </c>
      <c r="D145" s="12" t="s">
        <v>54</v>
      </c>
      <c r="E145" s="12" t="s">
        <v>155</v>
      </c>
      <c r="F145" s="15" t="s">
        <v>50</v>
      </c>
      <c r="G145" s="6" t="b">
        <v>1</v>
      </c>
      <c r="H145" s="6" t="b">
        <v>0</v>
      </c>
      <c r="I145" s="6" t="b">
        <v>0</v>
      </c>
      <c r="J145" s="6" t="b">
        <v>1</v>
      </c>
      <c r="K145" s="6" t="b">
        <v>1</v>
      </c>
      <c r="L145" s="6" t="b">
        <v>1</v>
      </c>
      <c r="M145" s="6" t="b">
        <v>1</v>
      </c>
      <c r="N145" s="6" t="b">
        <v>1</v>
      </c>
      <c r="O145" s="6" t="b">
        <v>1</v>
      </c>
      <c r="P145" s="6" t="b">
        <v>1</v>
      </c>
      <c r="Q145" s="6" t="b">
        <v>1</v>
      </c>
      <c r="R145" s="6" t="b">
        <v>1</v>
      </c>
      <c r="S145" s="6" t="b">
        <v>1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1</v>
      </c>
      <c r="AA145" s="6" t="b">
        <v>0</v>
      </c>
      <c r="AB145" s="6" t="b">
        <v>1</v>
      </c>
      <c r="AC145" s="6" t="b">
        <v>0</v>
      </c>
      <c r="AD145" s="6" t="b">
        <v>1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0</v>
      </c>
      <c r="AJ145" s="6" t="b">
        <v>0</v>
      </c>
      <c r="AK145" s="6" t="b">
        <v>0</v>
      </c>
      <c r="AL145" s="9" t="str">
        <f t="shared" si="1"/>
        <v>14 dari 31 (45%)</v>
      </c>
    </row>
    <row r="146" ht="22.5" customHeight="1">
      <c r="A146" s="10">
        <v>145.0</v>
      </c>
      <c r="B146" s="11"/>
      <c r="C146" s="20">
        <v>59835.0</v>
      </c>
      <c r="D146" s="12" t="s">
        <v>54</v>
      </c>
      <c r="E146" s="12" t="s">
        <v>155</v>
      </c>
      <c r="F146" s="13"/>
      <c r="G146" s="6" t="b">
        <v>1</v>
      </c>
      <c r="H146" s="6" t="b">
        <v>1</v>
      </c>
      <c r="I146" s="6" t="b">
        <v>1</v>
      </c>
      <c r="J146" s="6" t="b">
        <v>1</v>
      </c>
      <c r="K146" s="6" t="b">
        <v>1</v>
      </c>
      <c r="L146" s="6" t="b">
        <v>1</v>
      </c>
      <c r="M146" s="6" t="b">
        <v>1</v>
      </c>
      <c r="N146" s="6" t="b">
        <v>1</v>
      </c>
      <c r="O146" s="6" t="b">
        <v>1</v>
      </c>
      <c r="P146" s="6" t="b">
        <v>1</v>
      </c>
      <c r="Q146" s="6" t="b">
        <v>1</v>
      </c>
      <c r="R146" s="6" t="b">
        <v>1</v>
      </c>
      <c r="S146" s="6" t="b">
        <v>1</v>
      </c>
      <c r="T146" s="6" t="b">
        <v>0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0</v>
      </c>
      <c r="AJ146" s="6" t="b">
        <v>0</v>
      </c>
      <c r="AK146" s="6" t="b">
        <v>0</v>
      </c>
      <c r="AL146" s="9" t="str">
        <f t="shared" si="1"/>
        <v>13 dari 31 (42%)</v>
      </c>
    </row>
    <row r="147" ht="22.5" customHeight="1">
      <c r="A147" s="10">
        <v>146.0</v>
      </c>
      <c r="B147" s="11"/>
      <c r="C147" s="22">
        <v>61174.0</v>
      </c>
      <c r="D147" s="12" t="s">
        <v>93</v>
      </c>
      <c r="E147" s="12" t="s">
        <v>94</v>
      </c>
      <c r="F147" s="13"/>
      <c r="G147" s="6" t="b">
        <v>1</v>
      </c>
      <c r="H147" s="6" t="b">
        <v>1</v>
      </c>
      <c r="I147" s="6" t="b">
        <v>0</v>
      </c>
      <c r="J147" s="6" t="b">
        <v>0</v>
      </c>
      <c r="K147" s="6" t="b">
        <v>0</v>
      </c>
      <c r="L147" s="6" t="b">
        <v>0</v>
      </c>
      <c r="M147" s="6" t="b">
        <v>0</v>
      </c>
      <c r="N147" s="6" t="b">
        <v>0</v>
      </c>
      <c r="O147" s="6" t="b">
        <v>0</v>
      </c>
      <c r="P147" s="6" t="b">
        <v>0</v>
      </c>
      <c r="Q147" s="6" t="b">
        <v>0</v>
      </c>
      <c r="R147" s="6" t="b">
        <v>0</v>
      </c>
      <c r="S147" s="6" t="b">
        <v>0</v>
      </c>
      <c r="T147" s="6" t="b">
        <v>0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0</v>
      </c>
      <c r="AJ147" s="6" t="b">
        <v>0</v>
      </c>
      <c r="AK147" s="6" t="b">
        <v>0</v>
      </c>
      <c r="AL147" s="17" t="str">
        <f t="shared" si="1"/>
        <v>2 dari 31 (6%)</v>
      </c>
    </row>
    <row r="148" ht="22.5" customHeight="1">
      <c r="A148" s="2">
        <v>147.0</v>
      </c>
      <c r="B148" s="11"/>
      <c r="C148" s="22">
        <v>61166.0</v>
      </c>
      <c r="D148" s="12" t="s">
        <v>89</v>
      </c>
      <c r="E148" s="12" t="s">
        <v>95</v>
      </c>
      <c r="F148" s="15" t="s">
        <v>50</v>
      </c>
      <c r="G148" s="6" t="b">
        <v>1</v>
      </c>
      <c r="H148" s="6" t="b">
        <v>0</v>
      </c>
      <c r="I148" s="6" t="b">
        <v>0</v>
      </c>
      <c r="J148" s="6" t="b">
        <v>0</v>
      </c>
      <c r="K148" s="6" t="b">
        <v>0</v>
      </c>
      <c r="L148" s="6" t="b">
        <v>0</v>
      </c>
      <c r="M148" s="6" t="b">
        <v>0</v>
      </c>
      <c r="N148" s="6" t="b">
        <v>0</v>
      </c>
      <c r="O148" s="6" t="b">
        <v>0</v>
      </c>
      <c r="P148" s="6" t="b">
        <v>0</v>
      </c>
      <c r="Q148" s="6" t="b">
        <v>0</v>
      </c>
      <c r="R148" s="6" t="b">
        <v>0</v>
      </c>
      <c r="S148" s="6" t="b">
        <v>0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0</v>
      </c>
      <c r="AJ148" s="6" t="b">
        <v>0</v>
      </c>
      <c r="AK148" s="6" t="b">
        <v>0</v>
      </c>
      <c r="AL148" s="9" t="str">
        <f t="shared" si="1"/>
        <v>1 dari 31 (3%)</v>
      </c>
    </row>
    <row r="149" ht="22.5" customHeight="1">
      <c r="A149" s="10">
        <v>148.0</v>
      </c>
      <c r="B149" s="11"/>
      <c r="C149" s="22">
        <v>61158.0</v>
      </c>
      <c r="D149" s="12" t="s">
        <v>89</v>
      </c>
      <c r="E149" s="12" t="s">
        <v>95</v>
      </c>
      <c r="F149" s="15" t="s">
        <v>50</v>
      </c>
      <c r="G149" s="6" t="b">
        <v>1</v>
      </c>
      <c r="H149" s="6" t="b">
        <v>0</v>
      </c>
      <c r="I149" s="6" t="b">
        <v>0</v>
      </c>
      <c r="J149" s="6" t="b">
        <v>0</v>
      </c>
      <c r="K149" s="6" t="b">
        <v>0</v>
      </c>
      <c r="L149" s="6" t="b">
        <v>0</v>
      </c>
      <c r="M149" s="6" t="b">
        <v>0</v>
      </c>
      <c r="N149" s="6" t="b">
        <v>0</v>
      </c>
      <c r="O149" s="6" t="b">
        <v>0</v>
      </c>
      <c r="P149" s="6" t="b">
        <v>0</v>
      </c>
      <c r="Q149" s="6" t="b">
        <v>0</v>
      </c>
      <c r="R149" s="6" t="b">
        <v>0</v>
      </c>
      <c r="S149" s="6" t="b">
        <v>0</v>
      </c>
      <c r="T149" s="6" t="b">
        <v>0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0</v>
      </c>
      <c r="AJ149" s="6" t="b">
        <v>0</v>
      </c>
      <c r="AK149" s="6" t="b">
        <v>0</v>
      </c>
      <c r="AL149" s="9" t="str">
        <f t="shared" si="1"/>
        <v>1 dari 31 (3%)</v>
      </c>
    </row>
    <row r="150" ht="22.5" customHeight="1">
      <c r="A150" s="10">
        <v>149.0</v>
      </c>
      <c r="B150" s="11"/>
      <c r="C150" s="22">
        <v>61156.0</v>
      </c>
      <c r="D150" s="12" t="s">
        <v>89</v>
      </c>
      <c r="E150" s="12" t="s">
        <v>95</v>
      </c>
      <c r="F150" s="15" t="s">
        <v>50</v>
      </c>
      <c r="G150" s="6" t="b">
        <v>1</v>
      </c>
      <c r="H150" s="6" t="b">
        <v>0</v>
      </c>
      <c r="I150" s="6" t="b">
        <v>0</v>
      </c>
      <c r="J150" s="6" t="b">
        <v>0</v>
      </c>
      <c r="K150" s="6" t="b">
        <v>0</v>
      </c>
      <c r="L150" s="6" t="b">
        <v>0</v>
      </c>
      <c r="M150" s="6" t="b">
        <v>0</v>
      </c>
      <c r="N150" s="6" t="b">
        <v>0</v>
      </c>
      <c r="O150" s="6" t="b">
        <v>0</v>
      </c>
      <c r="P150" s="6" t="b">
        <v>0</v>
      </c>
      <c r="Q150" s="6" t="b">
        <v>0</v>
      </c>
      <c r="R150" s="6" t="b">
        <v>0</v>
      </c>
      <c r="S150" s="6" t="b">
        <v>0</v>
      </c>
      <c r="T150" s="6" t="b">
        <v>0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0</v>
      </c>
      <c r="AJ150" s="6" t="b">
        <v>0</v>
      </c>
      <c r="AK150" s="6" t="b">
        <v>0</v>
      </c>
      <c r="AL150" s="17" t="str">
        <f t="shared" si="1"/>
        <v>1 dari 31 (3%)</v>
      </c>
    </row>
    <row r="151" ht="22.5" customHeight="1">
      <c r="A151" s="2">
        <v>150.0</v>
      </c>
      <c r="B151" s="11"/>
      <c r="C151" s="22">
        <v>61164.0</v>
      </c>
      <c r="D151" s="12" t="s">
        <v>89</v>
      </c>
      <c r="E151" s="12" t="s">
        <v>95</v>
      </c>
      <c r="F151" s="15" t="s">
        <v>50</v>
      </c>
      <c r="G151" s="6" t="b">
        <v>1</v>
      </c>
      <c r="H151" s="6" t="b">
        <v>0</v>
      </c>
      <c r="I151" s="6" t="b">
        <v>0</v>
      </c>
      <c r="J151" s="6" t="b">
        <v>0</v>
      </c>
      <c r="K151" s="6" t="b">
        <v>0</v>
      </c>
      <c r="L151" s="6" t="b">
        <v>0</v>
      </c>
      <c r="M151" s="6" t="b">
        <v>0</v>
      </c>
      <c r="N151" s="6" t="b">
        <v>0</v>
      </c>
      <c r="O151" s="6" t="b">
        <v>0</v>
      </c>
      <c r="P151" s="6" t="b">
        <v>0</v>
      </c>
      <c r="Q151" s="6" t="b">
        <v>0</v>
      </c>
      <c r="R151" s="6" t="b">
        <v>0</v>
      </c>
      <c r="S151" s="6" t="b">
        <v>0</v>
      </c>
      <c r="T151" s="6" t="b">
        <v>0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0</v>
      </c>
      <c r="AF151" s="6" t="b">
        <v>0</v>
      </c>
      <c r="AG151" s="6" t="b">
        <v>0</v>
      </c>
      <c r="AH151" s="6" t="b">
        <v>0</v>
      </c>
      <c r="AI151" s="6" t="b">
        <v>0</v>
      </c>
      <c r="AJ151" s="6" t="b">
        <v>0</v>
      </c>
      <c r="AK151" s="6" t="b">
        <v>0</v>
      </c>
      <c r="AL151" s="9" t="str">
        <f t="shared" si="1"/>
        <v>1 dari 31 (3%)</v>
      </c>
    </row>
    <row r="152" ht="22.5" customHeight="1">
      <c r="A152" s="10">
        <v>151.0</v>
      </c>
      <c r="B152" s="11"/>
      <c r="D152" s="12" t="s">
        <v>89</v>
      </c>
      <c r="E152" s="12" t="s">
        <v>95</v>
      </c>
      <c r="F152" s="15" t="s">
        <v>50</v>
      </c>
      <c r="G152" s="6" t="b">
        <v>1</v>
      </c>
      <c r="H152" s="6" t="b">
        <v>0</v>
      </c>
      <c r="I152" s="6" t="b">
        <v>0</v>
      </c>
      <c r="J152" s="6" t="b">
        <v>0</v>
      </c>
      <c r="K152" s="6" t="b">
        <v>0</v>
      </c>
      <c r="L152" s="6" t="b">
        <v>0</v>
      </c>
      <c r="M152" s="6" t="b">
        <v>0</v>
      </c>
      <c r="N152" s="6" t="b">
        <v>0</v>
      </c>
      <c r="O152" s="6" t="b">
        <v>0</v>
      </c>
      <c r="P152" s="6" t="b">
        <v>0</v>
      </c>
      <c r="Q152" s="6" t="b">
        <v>0</v>
      </c>
      <c r="R152" s="6" t="b">
        <v>0</v>
      </c>
      <c r="S152" s="6" t="b">
        <v>0</v>
      </c>
      <c r="T152" s="6" t="b">
        <v>0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0</v>
      </c>
      <c r="Z152" s="6" t="b">
        <v>0</v>
      </c>
      <c r="AA152" s="6" t="b">
        <v>0</v>
      </c>
      <c r="AB152" s="6" t="b">
        <v>0</v>
      </c>
      <c r="AC152" s="6" t="b">
        <v>0</v>
      </c>
      <c r="AD152" s="6" t="b">
        <v>0</v>
      </c>
      <c r="AE152" s="6" t="b">
        <v>0</v>
      </c>
      <c r="AF152" s="6" t="b">
        <v>0</v>
      </c>
      <c r="AG152" s="6" t="b">
        <v>0</v>
      </c>
      <c r="AH152" s="6" t="b">
        <v>0</v>
      </c>
      <c r="AI152" s="6" t="b">
        <v>0</v>
      </c>
      <c r="AJ152" s="6" t="b">
        <v>0</v>
      </c>
      <c r="AK152" s="6" t="b">
        <v>0</v>
      </c>
      <c r="AL152" s="9" t="str">
        <f t="shared" si="1"/>
        <v>1 dari 31 (3%)</v>
      </c>
    </row>
    <row r="153" ht="22.5" customHeight="1">
      <c r="A153" s="10">
        <v>152.0</v>
      </c>
      <c r="B153" s="11"/>
      <c r="C153" s="22"/>
      <c r="D153" s="12" t="s">
        <v>89</v>
      </c>
      <c r="E153" s="12" t="s">
        <v>95</v>
      </c>
      <c r="F153" s="15" t="s">
        <v>50</v>
      </c>
      <c r="G153" s="112" t="b">
        <v>1</v>
      </c>
      <c r="H153" s="112" t="b">
        <v>0</v>
      </c>
      <c r="I153" s="112" t="b">
        <v>0</v>
      </c>
      <c r="J153" s="112" t="b">
        <v>0</v>
      </c>
      <c r="K153" s="112" t="b">
        <v>0</v>
      </c>
      <c r="L153" s="112" t="b">
        <v>0</v>
      </c>
      <c r="M153" s="112" t="b">
        <v>0</v>
      </c>
      <c r="N153" s="112" t="b">
        <v>0</v>
      </c>
      <c r="O153" s="112" t="b">
        <v>0</v>
      </c>
      <c r="P153" s="112" t="b">
        <v>0</v>
      </c>
      <c r="Q153" s="112" t="b">
        <v>0</v>
      </c>
      <c r="R153" s="112" t="b">
        <v>0</v>
      </c>
      <c r="S153" s="112" t="b">
        <v>0</v>
      </c>
      <c r="T153" s="112" t="b">
        <v>0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0</v>
      </c>
      <c r="AA153" s="112" t="b">
        <v>0</v>
      </c>
      <c r="AB153" s="112" t="b">
        <v>0</v>
      </c>
      <c r="AC153" s="112" t="b">
        <v>0</v>
      </c>
      <c r="AD153" s="112" t="b">
        <v>0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0</v>
      </c>
      <c r="AJ153" s="112" t="b">
        <v>0</v>
      </c>
      <c r="AK153" s="112" t="b">
        <v>0</v>
      </c>
      <c r="AL153" s="113" t="str">
        <f t="shared" si="1"/>
        <v>1 dari 31 (3%)</v>
      </c>
    </row>
    <row r="154" ht="22.5" customHeight="1">
      <c r="A154" s="2">
        <v>153.0</v>
      </c>
      <c r="B154" s="11"/>
      <c r="D154" s="12" t="s">
        <v>89</v>
      </c>
      <c r="E154" s="12" t="s">
        <v>95</v>
      </c>
      <c r="F154" s="15" t="s">
        <v>50</v>
      </c>
      <c r="G154" s="114" t="b">
        <v>1</v>
      </c>
      <c r="H154" s="114" t="b">
        <v>0</v>
      </c>
      <c r="I154" s="114" t="b">
        <v>0</v>
      </c>
      <c r="J154" s="114" t="b">
        <v>0</v>
      </c>
      <c r="K154" s="114" t="b">
        <v>0</v>
      </c>
      <c r="L154" s="114" t="b">
        <v>0</v>
      </c>
      <c r="M154" s="114" t="b">
        <v>0</v>
      </c>
      <c r="N154" s="114" t="b">
        <v>0</v>
      </c>
      <c r="O154" s="114" t="b">
        <v>0</v>
      </c>
      <c r="P154" s="114" t="b">
        <v>0</v>
      </c>
      <c r="Q154" s="114" t="b">
        <v>0</v>
      </c>
      <c r="R154" s="114" t="b">
        <v>0</v>
      </c>
      <c r="S154" s="114" t="b">
        <v>0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0</v>
      </c>
      <c r="AJ154" s="114" t="b">
        <v>0</v>
      </c>
      <c r="AK154" s="114" t="b">
        <v>0</v>
      </c>
      <c r="AL154" s="115" t="str">
        <f t="shared" si="1"/>
        <v>1 dari 31 (3%)</v>
      </c>
    </row>
    <row r="155" ht="22.5" customHeight="1">
      <c r="A155" s="10">
        <v>154.0</v>
      </c>
      <c r="B155" s="11"/>
      <c r="C155" s="22"/>
      <c r="D155" s="12" t="s">
        <v>89</v>
      </c>
      <c r="E155" s="12" t="s">
        <v>95</v>
      </c>
      <c r="F155" s="27" t="s">
        <v>67</v>
      </c>
      <c r="G155" s="114" t="b">
        <v>0</v>
      </c>
      <c r="H155" s="114" t="b">
        <v>0</v>
      </c>
      <c r="I155" s="114" t="b">
        <v>0</v>
      </c>
      <c r="J155" s="114" t="b">
        <v>0</v>
      </c>
      <c r="K155" s="114" t="b">
        <v>0</v>
      </c>
      <c r="L155" s="114" t="b">
        <v>0</v>
      </c>
      <c r="M155" s="114" t="b">
        <v>0</v>
      </c>
      <c r="N155" s="114" t="b">
        <v>0</v>
      </c>
      <c r="O155" s="114" t="b">
        <v>0</v>
      </c>
      <c r="P155" s="114" t="b">
        <v>0</v>
      </c>
      <c r="Q155" s="114" t="b">
        <v>0</v>
      </c>
      <c r="R155" s="114" t="b">
        <v>0</v>
      </c>
      <c r="S155" s="114" t="b">
        <v>0</v>
      </c>
      <c r="T155" s="114" t="b">
        <v>0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5" t="str">
        <f t="shared" si="1"/>
        <v>0 dari 31 (0%)</v>
      </c>
    </row>
    <row r="156" ht="22.5" customHeight="1">
      <c r="A156" s="10">
        <v>155.0</v>
      </c>
      <c r="B156" s="11"/>
      <c r="D156" s="12" t="s">
        <v>89</v>
      </c>
      <c r="E156" s="12" t="s">
        <v>95</v>
      </c>
      <c r="F156" s="27" t="s">
        <v>67</v>
      </c>
      <c r="G156" s="114" t="b">
        <v>0</v>
      </c>
      <c r="H156" s="114" t="b">
        <v>0</v>
      </c>
      <c r="I156" s="114" t="b">
        <v>0</v>
      </c>
      <c r="J156" s="114" t="b">
        <v>0</v>
      </c>
      <c r="K156" s="114" t="b">
        <v>0</v>
      </c>
      <c r="L156" s="114" t="b">
        <v>0</v>
      </c>
      <c r="M156" s="114" t="b">
        <v>0</v>
      </c>
      <c r="N156" s="114" t="b">
        <v>0</v>
      </c>
      <c r="O156" s="114" t="b">
        <v>0</v>
      </c>
      <c r="P156" s="114" t="b">
        <v>0</v>
      </c>
      <c r="Q156" s="114" t="b">
        <v>0</v>
      </c>
      <c r="R156" s="114" t="b">
        <v>0</v>
      </c>
      <c r="S156" s="114" t="b">
        <v>0</v>
      </c>
      <c r="T156" s="114" t="b">
        <v>0</v>
      </c>
      <c r="U156" s="114" t="b">
        <v>0</v>
      </c>
      <c r="V156" s="114" t="b">
        <v>0</v>
      </c>
      <c r="W156" s="114" t="b">
        <v>0</v>
      </c>
      <c r="X156" s="114" t="b">
        <v>0</v>
      </c>
      <c r="Y156" s="114" t="b">
        <v>0</v>
      </c>
      <c r="Z156" s="114" t="b">
        <v>0</v>
      </c>
      <c r="AA156" s="114" t="b">
        <v>0</v>
      </c>
      <c r="AB156" s="114" t="b">
        <v>0</v>
      </c>
      <c r="AC156" s="114" t="b">
        <v>0</v>
      </c>
      <c r="AD156" s="114" t="b">
        <v>0</v>
      </c>
      <c r="AE156" s="114" t="b">
        <v>0</v>
      </c>
      <c r="AF156" s="114" t="b">
        <v>0</v>
      </c>
      <c r="AG156" s="114" t="b">
        <v>0</v>
      </c>
      <c r="AH156" s="114" t="b">
        <v>0</v>
      </c>
      <c r="AI156" s="114" t="b">
        <v>0</v>
      </c>
      <c r="AJ156" s="114" t="b">
        <v>0</v>
      </c>
      <c r="AK156" s="114" t="b">
        <v>0</v>
      </c>
      <c r="AL156" s="115" t="str">
        <f t="shared" si="1"/>
        <v>0 dari 31 (0%)</v>
      </c>
    </row>
    <row r="158">
      <c r="B158" s="71" t="s">
        <v>38</v>
      </c>
      <c r="C158" s="72"/>
      <c r="D158" s="72"/>
      <c r="E158" s="72"/>
      <c r="F158" s="73"/>
      <c r="G158" s="74">
        <f>COUNTIF(JULI_8[ID Encounter], TRUE)</f>
        <v>142</v>
      </c>
      <c r="H158" s="74">
        <f>COUNTIF(JULI_8[ID Condition], TRUE)</f>
        <v>109</v>
      </c>
      <c r="I158" s="74">
        <f>COUNTIF(JULI_8[ID Clinical Impression], TRUE)</f>
        <v>64</v>
      </c>
      <c r="J158" s="74">
        <f>COUNTIF(JULI_8[ID Observation Tensi], TRUE)</f>
        <v>102</v>
      </c>
      <c r="K158" s="74">
        <f>COUNTIF(JULI_8[ID Observation Nadi], TRUE)</f>
        <v>106</v>
      </c>
      <c r="L158" s="74">
        <f>COUNTIF(JULI_8[ID Observation RR], TRUE)</f>
        <v>108</v>
      </c>
      <c r="M158" s="74">
        <f>COUNTIF(JULI_8[ID Observation Suhu], TRUE)</f>
        <v>109</v>
      </c>
      <c r="N158" s="74">
        <f>COUNTIF(JULI_8[ID Observation SPO2], TRUE)</f>
        <v>109</v>
      </c>
      <c r="O158" s="74">
        <f>COUNTIF(JULI_8[ID Observation GCS], TRUE)</f>
        <v>109</v>
      </c>
      <c r="P158" s="74">
        <f>COUNTIF(JULI_8[ID Observation Tinggi], TRUE)</f>
        <v>107</v>
      </c>
      <c r="Q158" s="74">
        <f>COUNTIF(JULI_8[ID Observation Berat], TRUE)</f>
        <v>106</v>
      </c>
      <c r="R158" s="74">
        <f>COUNTIF(JULI_8[ID Observation Perut], TRUE)</f>
        <v>117</v>
      </c>
      <c r="S158" s="74">
        <f>COUNTIF(JULI_8[ID Observation Kesadaran], TRUE)</f>
        <v>118</v>
      </c>
      <c r="T158" s="74">
        <f>COUNTIF(JULI_8[ID Procedure], TRUE)</f>
        <v>74</v>
      </c>
      <c r="U158" s="74">
        <f>COUNTIF(JULI_8[ID Composition], TRUE)</f>
        <v>1</v>
      </c>
      <c r="V158" s="74">
        <f>COUNTIF(JULI_8[ID Vaksin/Imunisasi], TRUE)</f>
        <v>0</v>
      </c>
      <c r="W158" s="74">
        <f>COUNTIF(JULI_8[ID Medication Request], TRUE)</f>
        <v>13</v>
      </c>
      <c r="X158" s="74">
        <f>COUNTIF(JULI_8[ID Medication Dispense], TRUE)</f>
        <v>13</v>
      </c>
      <c r="Y158" s="74">
        <f>COUNTIF(JULI_8[ID Medication Statement], TRUE)</f>
        <v>13</v>
      </c>
      <c r="Z158" s="74">
        <f>COUNTIF(JULI_8[ID Service Request Radiologi], TRUE)</f>
        <v>10</v>
      </c>
      <c r="AA158" s="74">
        <f>COUNTIF(JULI_8[ID Specimen Radiologi], TRUE)</f>
        <v>9</v>
      </c>
      <c r="AB158" s="74">
        <f>COUNTIF(JULI_8[ID Observation Radiologi], TRUE)</f>
        <v>10</v>
      </c>
      <c r="AC158" s="74">
        <f>COUNTIF(JULI_8[ID Diagnostic Report Radiologi], TRUE)</f>
        <v>9</v>
      </c>
      <c r="AD158" s="74">
        <f>COUNTIF(JULI_8[Image Study], TRUE)</f>
        <v>10</v>
      </c>
      <c r="AE158" s="74">
        <f>COUNTIF(JULI_8[ID Service Request Lab PK], TRUE)</f>
        <v>0</v>
      </c>
      <c r="AF158" s="74">
        <f>COUNTIF(JULI_8[ID Specimen Lab PK], TRUE)</f>
        <v>0</v>
      </c>
      <c r="AG158" s="74">
        <f>COUNTIF(JULI_8[ID Observation Lab PK], TRUE)</f>
        <v>0</v>
      </c>
      <c r="AH158" s="74">
        <f>COUNTIF(JULI_8[ID Diagnostic Report Lab PK], TRUE)</f>
        <v>0</v>
      </c>
      <c r="AI158" s="74">
        <f>COUNTIF(JULI_8[ID Care Plan], TRUE)</f>
        <v>62</v>
      </c>
      <c r="AJ158" s="74">
        <f>COUNTIF(JULI_8[ID Allergy], TRUE)</f>
        <v>0</v>
      </c>
      <c r="AK158" s="74">
        <f>COUNTIF(JULI_8[ID Questionnaire], TRUE)</f>
        <v>0</v>
      </c>
      <c r="AL158" s="75" t="str">
        <f>COUNTIF(JULI_8[[ID Encounter]:[ID Questionnaire]], TRUE()) &amp; " dari " &amp; (ROWS(JULI_8[[ID Encounter]:[ID Questionnaire]])*COLUMNS(JULI_8[[ID Encounter]:[ID Questionnaire]])) &amp; " (" &amp; TEXT(COUNTIF(JULI_8[[ID Encounter]:[ID Questionnaire]], TRUE())/(ROWS(JULI_8[[ID Encounter]:[ID Questionnaire]])*COLUMNS(JULI_8[[ID Encounter]:[ID Questionnaire]])),"0%") &amp; ")"</f>
        <v>1630 dari 4805 (34%)</v>
      </c>
    </row>
    <row r="159">
      <c r="B159" s="76"/>
      <c r="C159" s="77"/>
      <c r="D159" s="77"/>
      <c r="E159" s="77"/>
      <c r="F159" s="78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</row>
  </sheetData>
  <mergeCells count="33">
    <mergeCell ref="B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H158:AH159"/>
    <mergeCell ref="AI158:AI159"/>
    <mergeCell ref="AJ158:AJ159"/>
    <mergeCell ref="AK158:AK159"/>
    <mergeCell ref="AL158:AL159"/>
    <mergeCell ref="AA158:AA159"/>
    <mergeCell ref="AB158:AB159"/>
    <mergeCell ref="AC158:AC159"/>
    <mergeCell ref="AD158:AD159"/>
    <mergeCell ref="AE158:AE159"/>
    <mergeCell ref="AF158:AF159"/>
    <mergeCell ref="AG158:AG159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4" max="4" width="36.75"/>
    <col customWidth="1" min="5" max="5" width="50.38"/>
    <col customWidth="1" min="6" max="6" width="20.2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28" max="28" width="24.0"/>
    <col customWidth="1" min="29" max="29" width="28.38"/>
    <col customWidth="1" min="38" max="38" width="21.88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46212.0</v>
      </c>
      <c r="C2" s="22">
        <v>55437.0</v>
      </c>
      <c r="D2" s="12" t="s">
        <v>63</v>
      </c>
      <c r="E2" s="12" t="s">
        <v>87</v>
      </c>
      <c r="F2" s="13"/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0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175" si="1">COUNTIF(G2:AK2, TRUE()) &amp; " dari " &amp; COLUMNS(G2:AK2) &amp; " (" &amp; TEXT(COUNTIF(G2:AK2, TRUE())/COLUMNS(G2:AK2),"0%") &amp; ")"</f>
        <v>14 dari 31 (45%)</v>
      </c>
    </row>
    <row r="3" ht="22.5" customHeight="1">
      <c r="A3" s="10">
        <v>2.0</v>
      </c>
      <c r="B3" s="11"/>
      <c r="C3" s="22">
        <v>59625.0</v>
      </c>
      <c r="D3" s="12" t="s">
        <v>63</v>
      </c>
      <c r="E3" s="12" t="s">
        <v>87</v>
      </c>
      <c r="F3" s="13"/>
      <c r="G3" s="16" t="b">
        <v>1</v>
      </c>
      <c r="H3" s="16" t="b">
        <v>1</v>
      </c>
      <c r="I3" s="16" t="b">
        <v>1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15 dari 31 (48%)</v>
      </c>
    </row>
    <row r="4" ht="22.5" customHeight="1">
      <c r="A4" s="2">
        <v>3.0</v>
      </c>
      <c r="B4" s="18"/>
      <c r="C4" s="22">
        <v>61043.0</v>
      </c>
      <c r="D4" s="12" t="s">
        <v>39</v>
      </c>
      <c r="E4" s="12" t="s">
        <v>57</v>
      </c>
      <c r="F4" s="13"/>
      <c r="G4" s="6" t="b">
        <v>1</v>
      </c>
      <c r="H4" s="6" t="b">
        <v>1</v>
      </c>
      <c r="I4" s="6" t="b">
        <v>0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1</v>
      </c>
      <c r="AA4" s="6" t="b">
        <v>1</v>
      </c>
      <c r="AB4" s="6" t="b">
        <v>1</v>
      </c>
      <c r="AC4" s="6" t="b">
        <v>1</v>
      </c>
      <c r="AD4" s="6" t="b">
        <v>1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18 dari 31 (58%)</v>
      </c>
    </row>
    <row r="5" ht="22.5" customHeight="1">
      <c r="A5" s="10">
        <v>4.0</v>
      </c>
      <c r="B5" s="11"/>
      <c r="C5" s="22">
        <v>60059.0</v>
      </c>
      <c r="D5" s="12" t="s">
        <v>63</v>
      </c>
      <c r="E5" s="12" t="s">
        <v>87</v>
      </c>
      <c r="F5" s="13"/>
      <c r="G5" s="16" t="b">
        <v>1</v>
      </c>
      <c r="H5" s="16" t="b">
        <v>1</v>
      </c>
      <c r="I5" s="16" t="b">
        <v>1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15 dari 31 (48%)</v>
      </c>
    </row>
    <row r="6" ht="22.5" customHeight="1">
      <c r="A6" s="2">
        <v>5.0</v>
      </c>
      <c r="B6" s="18"/>
      <c r="C6" s="20">
        <v>60110.0</v>
      </c>
      <c r="D6" s="12" t="s">
        <v>63</v>
      </c>
      <c r="E6" s="12" t="s">
        <v>87</v>
      </c>
      <c r="F6" s="13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15 dari 31 (48%)</v>
      </c>
    </row>
    <row r="7" ht="22.5" customHeight="1">
      <c r="A7" s="10">
        <v>6.0</v>
      </c>
      <c r="B7" s="11"/>
      <c r="C7" s="20">
        <v>30624.0</v>
      </c>
      <c r="D7" s="12" t="s">
        <v>40</v>
      </c>
      <c r="E7" s="12" t="s">
        <v>43</v>
      </c>
      <c r="F7" s="13"/>
      <c r="G7" s="16" t="b">
        <v>1</v>
      </c>
      <c r="H7" s="16" t="b">
        <v>1</v>
      </c>
      <c r="I7" s="16" t="b">
        <v>1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15 dari 31 (48%)</v>
      </c>
    </row>
    <row r="8" ht="22.5" customHeight="1">
      <c r="A8" s="2">
        <v>7.0</v>
      </c>
      <c r="B8" s="18"/>
      <c r="C8" s="20">
        <v>60323.0</v>
      </c>
      <c r="D8" s="12" t="s">
        <v>51</v>
      </c>
      <c r="E8" s="12" t="s">
        <v>119</v>
      </c>
      <c r="F8" s="13"/>
      <c r="G8" s="6" t="b">
        <v>1</v>
      </c>
      <c r="H8" s="6" t="b">
        <v>1</v>
      </c>
      <c r="I8" s="6" t="b">
        <v>0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9" t="str">
        <f t="shared" si="1"/>
        <v>13 dari 31 (42%)</v>
      </c>
    </row>
    <row r="9" ht="22.5" customHeight="1">
      <c r="A9" s="10">
        <v>8.0</v>
      </c>
      <c r="B9" s="11"/>
      <c r="C9" s="22">
        <v>58069.0</v>
      </c>
      <c r="D9" s="12" t="s">
        <v>63</v>
      </c>
      <c r="E9" s="12" t="s">
        <v>87</v>
      </c>
      <c r="F9" s="13"/>
      <c r="G9" s="16" t="b">
        <v>1</v>
      </c>
      <c r="H9" s="16" t="b">
        <v>1</v>
      </c>
      <c r="I9" s="16" t="b">
        <v>1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14 dari 31 (45%)</v>
      </c>
    </row>
    <row r="10" ht="22.5" customHeight="1">
      <c r="A10" s="2">
        <v>9.0</v>
      </c>
      <c r="B10" s="18"/>
      <c r="C10" s="22">
        <v>60409.0</v>
      </c>
      <c r="D10" s="12" t="s">
        <v>63</v>
      </c>
      <c r="E10" s="12" t="s">
        <v>87</v>
      </c>
      <c r="F10" s="13"/>
      <c r="G10" s="6" t="b">
        <v>1</v>
      </c>
      <c r="H10" s="6" t="b">
        <v>1</v>
      </c>
      <c r="I10" s="6" t="b">
        <v>1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14 dari 31 (45%)</v>
      </c>
    </row>
    <row r="11" ht="22.5" customHeight="1">
      <c r="A11" s="10">
        <v>10.0</v>
      </c>
      <c r="B11" s="11"/>
      <c r="C11" s="22">
        <v>60736.0</v>
      </c>
      <c r="D11" s="12" t="s">
        <v>51</v>
      </c>
      <c r="E11" s="12" t="s">
        <v>65</v>
      </c>
      <c r="F11" s="13"/>
      <c r="G11" s="16" t="b">
        <v>1</v>
      </c>
      <c r="H11" s="16" t="b">
        <v>1</v>
      </c>
      <c r="I11" s="16" t="b">
        <v>0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0</v>
      </c>
      <c r="U11" s="16" t="b">
        <v>0</v>
      </c>
      <c r="V11" s="16" t="b">
        <v>0</v>
      </c>
      <c r="W11" s="16" t="b">
        <v>1</v>
      </c>
      <c r="X11" s="16" t="b">
        <v>1</v>
      </c>
      <c r="Y11" s="16" t="b">
        <v>1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16 dari 31 (52%)</v>
      </c>
    </row>
    <row r="12" ht="22.5" customHeight="1">
      <c r="A12" s="2">
        <v>11.0</v>
      </c>
      <c r="B12" s="18"/>
      <c r="C12" s="20">
        <v>60832.0</v>
      </c>
      <c r="D12" s="12" t="s">
        <v>63</v>
      </c>
      <c r="E12" s="12" t="s">
        <v>87</v>
      </c>
      <c r="F12" s="13"/>
      <c r="G12" s="6" t="b">
        <v>1</v>
      </c>
      <c r="H12" s="6" t="b">
        <v>1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14 dari 31 (45%)</v>
      </c>
    </row>
    <row r="13" ht="22.5" customHeight="1">
      <c r="A13" s="10">
        <v>12.0</v>
      </c>
      <c r="B13" s="11"/>
      <c r="C13" s="20">
        <v>47141.0</v>
      </c>
      <c r="D13" s="12" t="s">
        <v>39</v>
      </c>
      <c r="E13" s="12" t="s">
        <v>57</v>
      </c>
      <c r="F13" s="13"/>
      <c r="G13" s="16" t="b">
        <v>1</v>
      </c>
      <c r="H13" s="16" t="b">
        <v>1</v>
      </c>
      <c r="I13" s="16" t="b">
        <v>0</v>
      </c>
      <c r="J13" s="16" t="b">
        <v>1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1</v>
      </c>
      <c r="X13" s="16" t="b">
        <v>1</v>
      </c>
      <c r="Y13" s="16" t="b">
        <v>1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1"/>
        <v>17 dari 31 (55%)</v>
      </c>
    </row>
    <row r="14" ht="22.5" customHeight="1">
      <c r="A14" s="2">
        <v>13.0</v>
      </c>
      <c r="B14" s="18"/>
      <c r="C14" s="20">
        <v>49738.0</v>
      </c>
      <c r="D14" s="12" t="s">
        <v>54</v>
      </c>
      <c r="E14" s="12" t="s">
        <v>155</v>
      </c>
      <c r="F14" s="13"/>
      <c r="G14" s="6" t="b">
        <v>1</v>
      </c>
      <c r="H14" s="6" t="b">
        <v>1</v>
      </c>
      <c r="I14" s="6" t="b">
        <v>0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13 dari 31 (42%)</v>
      </c>
    </row>
    <row r="15" ht="22.5" customHeight="1">
      <c r="A15" s="10">
        <v>14.0</v>
      </c>
      <c r="B15" s="11"/>
      <c r="C15" s="20">
        <v>57443.0</v>
      </c>
      <c r="D15" s="12" t="s">
        <v>54</v>
      </c>
      <c r="E15" s="12" t="s">
        <v>155</v>
      </c>
      <c r="F15" s="13"/>
      <c r="G15" s="16" t="b">
        <v>1</v>
      </c>
      <c r="H15" s="16" t="b">
        <v>1</v>
      </c>
      <c r="I15" s="16" t="b">
        <v>1</v>
      </c>
      <c r="J15" s="16" t="b">
        <v>0</v>
      </c>
      <c r="K15" s="16" t="b">
        <v>0</v>
      </c>
      <c r="L15" s="16" t="b">
        <v>0</v>
      </c>
      <c r="M15" s="16" t="b">
        <v>0</v>
      </c>
      <c r="N15" s="16" t="b">
        <v>0</v>
      </c>
      <c r="O15" s="16" t="b">
        <v>0</v>
      </c>
      <c r="P15" s="16" t="b">
        <v>0</v>
      </c>
      <c r="Q15" s="16" t="b">
        <v>0</v>
      </c>
      <c r="R15" s="16" t="b">
        <v>0</v>
      </c>
      <c r="S15" s="16" t="b">
        <v>0</v>
      </c>
      <c r="T15" s="16" t="b">
        <v>0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1</v>
      </c>
      <c r="AJ15" s="16" t="b">
        <v>0</v>
      </c>
      <c r="AK15" s="16" t="b">
        <v>0</v>
      </c>
      <c r="AL15" s="17" t="str">
        <f t="shared" si="1"/>
        <v>4 dari 31 (13%)</v>
      </c>
    </row>
    <row r="16" ht="22.5" customHeight="1">
      <c r="A16" s="2">
        <v>15.0</v>
      </c>
      <c r="B16" s="18"/>
      <c r="C16" s="20">
        <v>60549.0</v>
      </c>
      <c r="D16" s="12" t="s">
        <v>54</v>
      </c>
      <c r="E16" s="12" t="s">
        <v>155</v>
      </c>
      <c r="F16" s="13"/>
      <c r="G16" s="6" t="b">
        <v>1</v>
      </c>
      <c r="H16" s="6" t="b">
        <v>1</v>
      </c>
      <c r="I16" s="6" t="b">
        <v>0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13 dari 31 (42%)</v>
      </c>
    </row>
    <row r="17" ht="22.5" customHeight="1">
      <c r="A17" s="10">
        <v>16.0</v>
      </c>
      <c r="B17" s="11"/>
      <c r="C17" s="22">
        <v>55193.0</v>
      </c>
      <c r="D17" s="12" t="s">
        <v>54</v>
      </c>
      <c r="E17" s="12" t="s">
        <v>155</v>
      </c>
      <c r="F17" s="13"/>
      <c r="G17" s="16" t="b">
        <v>1</v>
      </c>
      <c r="H17" s="16" t="b">
        <v>1</v>
      </c>
      <c r="I17" s="16" t="b">
        <v>0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13 dari 31 (42%)</v>
      </c>
    </row>
    <row r="18" ht="22.5" customHeight="1">
      <c r="A18" s="2">
        <v>17.0</v>
      </c>
      <c r="B18" s="18"/>
      <c r="C18" s="20">
        <v>60045.0</v>
      </c>
      <c r="D18" s="12" t="s">
        <v>54</v>
      </c>
      <c r="E18" s="12" t="s">
        <v>155</v>
      </c>
      <c r="F18" s="13"/>
      <c r="G18" s="6" t="b">
        <v>1</v>
      </c>
      <c r="H18" s="6" t="b">
        <v>1</v>
      </c>
      <c r="I18" s="6" t="b">
        <v>0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13 dari 31 (42%)</v>
      </c>
    </row>
    <row r="19" ht="22.5" customHeight="1">
      <c r="A19" s="10">
        <v>18.0</v>
      </c>
      <c r="B19" s="11"/>
      <c r="C19" s="20">
        <v>60782.0</v>
      </c>
      <c r="D19" s="12" t="s">
        <v>54</v>
      </c>
      <c r="E19" s="12" t="s">
        <v>155</v>
      </c>
      <c r="F19" s="13"/>
      <c r="G19" s="16" t="b">
        <v>1</v>
      </c>
      <c r="H19" s="16" t="b">
        <v>1</v>
      </c>
      <c r="I19" s="16" t="b">
        <v>0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13 dari 31 (42%)</v>
      </c>
    </row>
    <row r="20" ht="22.5" customHeight="1">
      <c r="A20" s="30">
        <v>19.0</v>
      </c>
      <c r="B20" s="31"/>
      <c r="C20" s="60">
        <v>58249.0</v>
      </c>
      <c r="D20" s="51" t="s">
        <v>80</v>
      </c>
      <c r="E20" s="51" t="s">
        <v>148</v>
      </c>
      <c r="F20" s="53"/>
      <c r="G20" s="35" t="b">
        <v>0</v>
      </c>
      <c r="H20" s="35" t="b">
        <v>0</v>
      </c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5" t="b">
        <v>0</v>
      </c>
      <c r="R20" s="35" t="b">
        <v>0</v>
      </c>
      <c r="S20" s="35" t="b">
        <v>0</v>
      </c>
      <c r="T20" s="35" t="b">
        <v>0</v>
      </c>
      <c r="U20" s="35" t="b">
        <v>0</v>
      </c>
      <c r="V20" s="35" t="b">
        <v>0</v>
      </c>
      <c r="W20" s="35" t="b">
        <v>0</v>
      </c>
      <c r="X20" s="35" t="b">
        <v>0</v>
      </c>
      <c r="Y20" s="35" t="b">
        <v>0</v>
      </c>
      <c r="Z20" s="35" t="b">
        <v>0</v>
      </c>
      <c r="AA20" s="35" t="b">
        <v>0</v>
      </c>
      <c r="AB20" s="35" t="b">
        <v>0</v>
      </c>
      <c r="AC20" s="35" t="b">
        <v>0</v>
      </c>
      <c r="AD20" s="35" t="b">
        <v>0</v>
      </c>
      <c r="AE20" s="35" t="b">
        <v>0</v>
      </c>
      <c r="AF20" s="35" t="b">
        <v>0</v>
      </c>
      <c r="AG20" s="35" t="b">
        <v>0</v>
      </c>
      <c r="AH20" s="35" t="b">
        <v>0</v>
      </c>
      <c r="AI20" s="35" t="b">
        <v>0</v>
      </c>
      <c r="AJ20" s="35" t="b">
        <v>0</v>
      </c>
      <c r="AK20" s="35" t="b">
        <v>0</v>
      </c>
      <c r="AL20" s="38" t="str">
        <f t="shared" si="1"/>
        <v>0 dari 31 (0%)</v>
      </c>
    </row>
    <row r="21" ht="22.5" customHeight="1">
      <c r="A21" s="10">
        <v>20.0</v>
      </c>
      <c r="B21" s="11"/>
      <c r="C21" s="20">
        <v>57563.0</v>
      </c>
      <c r="D21" s="12" t="s">
        <v>54</v>
      </c>
      <c r="E21" s="12" t="s">
        <v>155</v>
      </c>
      <c r="F21" s="13"/>
      <c r="G21" s="16" t="b">
        <v>1</v>
      </c>
      <c r="H21" s="16" t="b">
        <v>1</v>
      </c>
      <c r="I21" s="16" t="b">
        <v>0</v>
      </c>
      <c r="J21" s="16" t="b">
        <v>0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12 dari 31 (39%)</v>
      </c>
    </row>
    <row r="22" ht="22.5" customHeight="1">
      <c r="A22" s="2">
        <v>21.0</v>
      </c>
      <c r="B22" s="18"/>
      <c r="C22" s="22">
        <v>33889.0</v>
      </c>
      <c r="D22" s="20" t="s">
        <v>63</v>
      </c>
      <c r="E22" s="20" t="s">
        <v>87</v>
      </c>
      <c r="F22" s="13"/>
      <c r="G22" s="6" t="b">
        <v>1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0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13 dari 31 (42%)</v>
      </c>
    </row>
    <row r="23" ht="22.5" customHeight="1">
      <c r="A23" s="10">
        <v>22.0</v>
      </c>
      <c r="B23" s="11"/>
      <c r="C23" s="22">
        <v>60038.0</v>
      </c>
      <c r="D23" s="20" t="s">
        <v>63</v>
      </c>
      <c r="E23" s="20" t="s">
        <v>87</v>
      </c>
      <c r="F23" s="13"/>
      <c r="G23" s="16" t="b">
        <v>1</v>
      </c>
      <c r="H23" s="16" t="b">
        <v>1</v>
      </c>
      <c r="I23" s="16" t="b">
        <v>1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0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13 dari 31 (42%)</v>
      </c>
    </row>
    <row r="24" ht="22.5" customHeight="1">
      <c r="A24" s="2">
        <v>23.0</v>
      </c>
      <c r="B24" s="18"/>
      <c r="C24" s="22">
        <v>60606.0</v>
      </c>
      <c r="D24" s="20" t="s">
        <v>63</v>
      </c>
      <c r="E24" s="20" t="s">
        <v>87</v>
      </c>
      <c r="F24" s="13"/>
      <c r="G24" s="6" t="b">
        <v>1</v>
      </c>
      <c r="H24" s="6" t="b">
        <v>1</v>
      </c>
      <c r="I24" s="6" t="b">
        <v>1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14 dari 31 (45%)</v>
      </c>
    </row>
    <row r="25" ht="22.5" customHeight="1">
      <c r="A25" s="10">
        <v>24.0</v>
      </c>
      <c r="B25" s="11"/>
      <c r="C25" s="22">
        <v>59910.0</v>
      </c>
      <c r="D25" s="20" t="s">
        <v>63</v>
      </c>
      <c r="E25" s="20" t="s">
        <v>87</v>
      </c>
      <c r="F25" s="13"/>
      <c r="G25" s="16" t="b">
        <v>1</v>
      </c>
      <c r="H25" s="16" t="b">
        <v>1</v>
      </c>
      <c r="I25" s="16" t="b">
        <v>1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14 dari 31 (45%)</v>
      </c>
    </row>
    <row r="26" ht="22.5" customHeight="1">
      <c r="A26" s="2">
        <v>25.0</v>
      </c>
      <c r="B26" s="18"/>
      <c r="C26" s="22">
        <v>60785.0</v>
      </c>
      <c r="D26" s="20" t="s">
        <v>68</v>
      </c>
      <c r="E26" s="20" t="s">
        <v>155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1</v>
      </c>
      <c r="AJ26" s="6" t="b">
        <v>0</v>
      </c>
      <c r="AK26" s="6" t="b">
        <v>0</v>
      </c>
      <c r="AL26" s="9" t="str">
        <f t="shared" si="1"/>
        <v>15 dari 31 (48%)</v>
      </c>
    </row>
    <row r="27" ht="22.5" customHeight="1">
      <c r="A27" s="10">
        <v>26.0</v>
      </c>
      <c r="B27" s="11"/>
      <c r="C27" s="22">
        <v>60605.0</v>
      </c>
      <c r="D27" s="20" t="s">
        <v>63</v>
      </c>
      <c r="E27" s="20" t="s">
        <v>87</v>
      </c>
      <c r="F27" s="13"/>
      <c r="G27" s="16" t="b">
        <v>1</v>
      </c>
      <c r="H27" s="16" t="b">
        <v>1</v>
      </c>
      <c r="I27" s="16" t="b">
        <v>1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0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1</v>
      </c>
      <c r="AJ27" s="16" t="b">
        <v>0</v>
      </c>
      <c r="AK27" s="16" t="b">
        <v>0</v>
      </c>
      <c r="AL27" s="17" t="str">
        <f t="shared" si="1"/>
        <v>14 dari 31 (45%)</v>
      </c>
    </row>
    <row r="28" ht="22.5" customHeight="1">
      <c r="A28" s="2">
        <v>27.0</v>
      </c>
      <c r="B28" s="18"/>
      <c r="C28" s="22">
        <v>60596.0</v>
      </c>
      <c r="D28" s="20" t="s">
        <v>63</v>
      </c>
      <c r="E28" s="20" t="s">
        <v>87</v>
      </c>
      <c r="F28" s="13"/>
      <c r="G28" s="6" t="b">
        <v>1</v>
      </c>
      <c r="H28" s="6" t="b">
        <v>1</v>
      </c>
      <c r="I28" s="6" t="b">
        <v>1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1</v>
      </c>
      <c r="AJ28" s="6" t="b">
        <v>0</v>
      </c>
      <c r="AK28" s="6" t="b">
        <v>0</v>
      </c>
      <c r="AL28" s="9" t="str">
        <f t="shared" si="1"/>
        <v>15 dari 31 (48%)</v>
      </c>
    </row>
    <row r="29" ht="22.5" customHeight="1">
      <c r="A29" s="10">
        <v>28.0</v>
      </c>
      <c r="B29" s="11"/>
      <c r="C29" s="22">
        <v>45219.0</v>
      </c>
      <c r="D29" s="20" t="s">
        <v>63</v>
      </c>
      <c r="E29" s="20" t="s">
        <v>87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1</v>
      </c>
      <c r="AJ29" s="16" t="b">
        <v>0</v>
      </c>
      <c r="AK29" s="16" t="b">
        <v>0</v>
      </c>
      <c r="AL29" s="17" t="str">
        <f t="shared" si="1"/>
        <v>15 dari 31 (48%)</v>
      </c>
    </row>
    <row r="30" ht="22.5" customHeight="1">
      <c r="A30" s="2">
        <v>29.0</v>
      </c>
      <c r="B30" s="18"/>
      <c r="C30" s="22">
        <v>56125.0</v>
      </c>
      <c r="D30" s="20" t="s">
        <v>63</v>
      </c>
      <c r="E30" s="20" t="s">
        <v>87</v>
      </c>
      <c r="F30" s="13"/>
      <c r="G30" s="6" t="b">
        <v>1</v>
      </c>
      <c r="H30" s="6" t="b">
        <v>1</v>
      </c>
      <c r="I30" s="6" t="b">
        <v>1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1</v>
      </c>
      <c r="AJ30" s="6" t="b">
        <v>0</v>
      </c>
      <c r="AK30" s="6" t="b">
        <v>0</v>
      </c>
      <c r="AL30" s="9" t="str">
        <f t="shared" si="1"/>
        <v>15 dari 31 (48%)</v>
      </c>
    </row>
    <row r="31" ht="22.5" customHeight="1">
      <c r="A31" s="10">
        <v>30.0</v>
      </c>
      <c r="B31" s="11"/>
      <c r="C31" s="22">
        <v>57854.0</v>
      </c>
      <c r="D31" s="20" t="s">
        <v>68</v>
      </c>
      <c r="E31" s="20" t="s">
        <v>109</v>
      </c>
      <c r="F31" s="13"/>
      <c r="G31" s="16" t="b">
        <v>1</v>
      </c>
      <c r="H31" s="16" t="b">
        <v>1</v>
      </c>
      <c r="I31" s="16" t="b">
        <v>1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15 dari 31 (48%)</v>
      </c>
    </row>
    <row r="32" ht="22.5" customHeight="1">
      <c r="A32" s="2">
        <v>31.0</v>
      </c>
      <c r="B32" s="18"/>
      <c r="C32" s="20">
        <v>60438.0</v>
      </c>
      <c r="D32" s="12" t="s">
        <v>63</v>
      </c>
      <c r="E32" s="12" t="s">
        <v>87</v>
      </c>
      <c r="F32" s="13"/>
      <c r="G32" s="6" t="b">
        <v>1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1</v>
      </c>
      <c r="AJ32" s="6" t="b">
        <v>0</v>
      </c>
      <c r="AK32" s="6" t="b">
        <v>0</v>
      </c>
      <c r="AL32" s="9" t="str">
        <f t="shared" si="1"/>
        <v>15 dari 31 (48%)</v>
      </c>
    </row>
    <row r="33" ht="22.5" customHeight="1">
      <c r="A33" s="10">
        <v>32.0</v>
      </c>
      <c r="B33" s="11"/>
      <c r="C33" s="20">
        <v>59781.0</v>
      </c>
      <c r="D33" s="12" t="s">
        <v>63</v>
      </c>
      <c r="E33" s="12" t="s">
        <v>87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15 dari 31 (48%)</v>
      </c>
    </row>
    <row r="34" ht="22.5" customHeight="1">
      <c r="A34" s="2">
        <v>33.0</v>
      </c>
      <c r="B34" s="18"/>
      <c r="C34" s="20">
        <v>54936.0</v>
      </c>
      <c r="D34" s="12" t="s">
        <v>63</v>
      </c>
      <c r="E34" s="12" t="s">
        <v>87</v>
      </c>
      <c r="F34" s="13"/>
      <c r="G34" s="6" t="b">
        <v>1</v>
      </c>
      <c r="H34" s="6" t="b">
        <v>1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1"/>
        <v>15 dari 31 (48%)</v>
      </c>
    </row>
    <row r="35" ht="22.5" customHeight="1">
      <c r="A35" s="10">
        <v>34.0</v>
      </c>
      <c r="B35" s="11"/>
      <c r="C35" s="22">
        <v>60172.0</v>
      </c>
      <c r="D35" s="12" t="s">
        <v>68</v>
      </c>
      <c r="E35" s="12" t="s">
        <v>155</v>
      </c>
      <c r="F35" s="13"/>
      <c r="G35" s="16" t="b">
        <v>1</v>
      </c>
      <c r="H35" s="16" t="b">
        <v>1</v>
      </c>
      <c r="I35" s="16" t="b">
        <v>0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1"/>
        <v>14 dari 31 (45%)</v>
      </c>
    </row>
    <row r="36" ht="22.5" customHeight="1">
      <c r="A36" s="2">
        <v>35.0</v>
      </c>
      <c r="B36" s="18"/>
      <c r="C36" s="22">
        <v>57198.0</v>
      </c>
      <c r="D36" s="12" t="s">
        <v>63</v>
      </c>
      <c r="E36" s="12" t="s">
        <v>87</v>
      </c>
      <c r="F36" s="13"/>
      <c r="G36" s="6" t="b">
        <v>1</v>
      </c>
      <c r="H36" s="6" t="b">
        <v>1</v>
      </c>
      <c r="I36" s="6" t="b">
        <v>1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15 dari 31 (48%)</v>
      </c>
    </row>
    <row r="37" ht="22.5" customHeight="1">
      <c r="A37" s="10">
        <v>36.0</v>
      </c>
      <c r="B37" s="11"/>
      <c r="C37" s="20">
        <v>60737.0</v>
      </c>
      <c r="D37" s="12" t="s">
        <v>63</v>
      </c>
      <c r="E37" s="12" t="s">
        <v>87</v>
      </c>
      <c r="F37" s="13"/>
      <c r="G37" s="16" t="b">
        <v>1</v>
      </c>
      <c r="H37" s="16" t="b">
        <v>1</v>
      </c>
      <c r="I37" s="16" t="b">
        <v>1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15 dari 31 (48%)</v>
      </c>
    </row>
    <row r="38" ht="22.5" customHeight="1">
      <c r="A38" s="2">
        <v>37.0</v>
      </c>
      <c r="B38" s="18"/>
      <c r="C38" s="20">
        <v>58733.0</v>
      </c>
      <c r="D38" s="12" t="s">
        <v>63</v>
      </c>
      <c r="E38" s="12" t="s">
        <v>87</v>
      </c>
      <c r="F38" s="13"/>
      <c r="G38" s="6" t="b">
        <v>1</v>
      </c>
      <c r="H38" s="6" t="b">
        <v>1</v>
      </c>
      <c r="I38" s="6" t="b">
        <v>1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1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1</v>
      </c>
      <c r="AJ38" s="6" t="b">
        <v>0</v>
      </c>
      <c r="AK38" s="6" t="b">
        <v>0</v>
      </c>
      <c r="AL38" s="9" t="str">
        <f t="shared" si="1"/>
        <v>15 dari 31 (48%)</v>
      </c>
    </row>
    <row r="39" ht="22.5" customHeight="1">
      <c r="A39" s="10">
        <v>38.0</v>
      </c>
      <c r="B39" s="11"/>
      <c r="C39" s="20">
        <v>40983.0</v>
      </c>
      <c r="D39" s="12" t="s">
        <v>63</v>
      </c>
      <c r="E39" s="12" t="s">
        <v>87</v>
      </c>
      <c r="F39" s="13"/>
      <c r="G39" s="16" t="b">
        <v>1</v>
      </c>
      <c r="H39" s="16" t="b">
        <v>1</v>
      </c>
      <c r="I39" s="16" t="b">
        <v>0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1</v>
      </c>
      <c r="AJ39" s="16" t="b">
        <v>0</v>
      </c>
      <c r="AK39" s="16" t="b">
        <v>0</v>
      </c>
      <c r="AL39" s="17" t="str">
        <f t="shared" si="1"/>
        <v>14 dari 31 (45%)</v>
      </c>
    </row>
    <row r="40" ht="22.5" customHeight="1">
      <c r="A40" s="2">
        <v>39.0</v>
      </c>
      <c r="B40" s="18"/>
      <c r="C40" s="20">
        <v>57381.0</v>
      </c>
      <c r="D40" s="12" t="s">
        <v>68</v>
      </c>
      <c r="E40" s="12" t="s">
        <v>109</v>
      </c>
      <c r="F40" s="13"/>
      <c r="G40" s="6" t="b">
        <v>1</v>
      </c>
      <c r="H40" s="6" t="b">
        <v>1</v>
      </c>
      <c r="I40" s="6" t="b">
        <v>1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1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15 dari 31 (48%)</v>
      </c>
    </row>
    <row r="41" ht="22.5" customHeight="1">
      <c r="A41" s="10">
        <v>40.0</v>
      </c>
      <c r="B41" s="11"/>
      <c r="C41" s="22">
        <v>60135.0</v>
      </c>
      <c r="D41" s="12" t="s">
        <v>63</v>
      </c>
      <c r="E41" s="12" t="s">
        <v>87</v>
      </c>
      <c r="F41" s="13"/>
      <c r="G41" s="16" t="b">
        <v>1</v>
      </c>
      <c r="H41" s="16" t="b">
        <v>1</v>
      </c>
      <c r="I41" s="16" t="b">
        <v>1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15 dari 31 (48%)</v>
      </c>
    </row>
    <row r="42" ht="22.5" customHeight="1">
      <c r="A42" s="2">
        <v>41.0</v>
      </c>
      <c r="B42" s="18"/>
      <c r="C42" s="20">
        <v>58357.0</v>
      </c>
      <c r="D42" s="12" t="s">
        <v>68</v>
      </c>
      <c r="E42" s="12" t="s">
        <v>109</v>
      </c>
      <c r="F42" s="13"/>
      <c r="G42" s="6" t="b">
        <v>1</v>
      </c>
      <c r="H42" s="6" t="b">
        <v>1</v>
      </c>
      <c r="I42" s="6" t="b">
        <v>1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1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1</v>
      </c>
      <c r="AJ42" s="6" t="b">
        <v>0</v>
      </c>
      <c r="AK42" s="6" t="b">
        <v>0</v>
      </c>
      <c r="AL42" s="9" t="str">
        <f t="shared" si="1"/>
        <v>15 dari 31 (48%)</v>
      </c>
    </row>
    <row r="43" ht="22.5" customHeight="1">
      <c r="A43" s="10">
        <v>42.0</v>
      </c>
      <c r="B43" s="11"/>
      <c r="C43" s="20">
        <v>28905.0</v>
      </c>
      <c r="D43" s="12" t="s">
        <v>63</v>
      </c>
      <c r="E43" s="12" t="s">
        <v>87</v>
      </c>
      <c r="F43" s="13"/>
      <c r="G43" s="16" t="b">
        <v>1</v>
      </c>
      <c r="H43" s="16" t="b">
        <v>1</v>
      </c>
      <c r="I43" s="16" t="b">
        <v>1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1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1</v>
      </c>
      <c r="AJ43" s="16" t="b">
        <v>0</v>
      </c>
      <c r="AK43" s="16" t="b">
        <v>0</v>
      </c>
      <c r="AL43" s="17" t="str">
        <f t="shared" si="1"/>
        <v>15 dari 31 (48%)</v>
      </c>
    </row>
    <row r="44" ht="22.5" customHeight="1">
      <c r="A44" s="2">
        <v>43.0</v>
      </c>
      <c r="B44" s="18"/>
      <c r="C44" s="20">
        <v>60809.0</v>
      </c>
      <c r="D44" s="12" t="s">
        <v>63</v>
      </c>
      <c r="E44" s="12" t="s">
        <v>87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0</v>
      </c>
      <c r="S44" s="6" t="b">
        <v>1</v>
      </c>
      <c r="T44" s="6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1</v>
      </c>
      <c r="AJ44" s="6" t="b">
        <v>0</v>
      </c>
      <c r="AK44" s="6" t="b">
        <v>0</v>
      </c>
      <c r="AL44" s="9" t="str">
        <f t="shared" si="1"/>
        <v>14 dari 31 (45%)</v>
      </c>
    </row>
    <row r="45" ht="22.5" customHeight="1">
      <c r="A45" s="10">
        <v>44.0</v>
      </c>
      <c r="B45" s="11"/>
      <c r="C45" s="20">
        <v>30677.0</v>
      </c>
      <c r="D45" s="12" t="s">
        <v>63</v>
      </c>
      <c r="E45" s="12" t="s">
        <v>87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15 dari 31 (48%)</v>
      </c>
    </row>
    <row r="46" ht="22.5" customHeight="1">
      <c r="A46" s="2">
        <v>45.0</v>
      </c>
      <c r="B46" s="18"/>
      <c r="C46" s="20">
        <v>51483.0</v>
      </c>
      <c r="D46" s="12" t="s">
        <v>63</v>
      </c>
      <c r="E46" s="12" t="s">
        <v>87</v>
      </c>
      <c r="F46" s="13"/>
      <c r="G46" s="6" t="b">
        <v>1</v>
      </c>
      <c r="H46" s="6" t="b">
        <v>1</v>
      </c>
      <c r="I46" s="6" t="b">
        <v>1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1</v>
      </c>
      <c r="AJ46" s="6" t="b">
        <v>0</v>
      </c>
      <c r="AK46" s="6" t="b">
        <v>0</v>
      </c>
      <c r="AL46" s="9" t="str">
        <f t="shared" si="1"/>
        <v>15 dari 31 (48%)</v>
      </c>
    </row>
    <row r="47" ht="22.5" customHeight="1">
      <c r="A47" s="10">
        <v>46.0</v>
      </c>
      <c r="B47" s="11"/>
      <c r="C47" s="22">
        <v>53743.0</v>
      </c>
      <c r="D47" s="12" t="s">
        <v>63</v>
      </c>
      <c r="E47" s="12" t="s">
        <v>87</v>
      </c>
      <c r="F47" s="13"/>
      <c r="G47" s="16" t="b">
        <v>1</v>
      </c>
      <c r="H47" s="16" t="b">
        <v>1</v>
      </c>
      <c r="I47" s="16" t="b">
        <v>1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0</v>
      </c>
      <c r="S47" s="16" t="b">
        <v>1</v>
      </c>
      <c r="T47" s="16" t="b">
        <v>1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14 dari 31 (45%)</v>
      </c>
    </row>
    <row r="48" ht="22.5" customHeight="1">
      <c r="A48" s="10">
        <v>47.0</v>
      </c>
      <c r="B48" s="18"/>
      <c r="C48" s="22">
        <v>53487.0</v>
      </c>
      <c r="D48" s="12" t="s">
        <v>68</v>
      </c>
      <c r="E48" s="12" t="s">
        <v>155</v>
      </c>
      <c r="F48" s="13"/>
      <c r="G48" s="6" t="b">
        <v>1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1</v>
      </c>
      <c r="AJ48" s="6" t="b">
        <v>0</v>
      </c>
      <c r="AK48" s="6" t="b">
        <v>0</v>
      </c>
      <c r="AL48" s="9" t="str">
        <f t="shared" si="1"/>
        <v>15 dari 31 (48%)</v>
      </c>
    </row>
    <row r="49" ht="22.5" customHeight="1">
      <c r="A49" s="2">
        <v>48.0</v>
      </c>
      <c r="B49" s="11"/>
      <c r="C49" s="22">
        <v>57425.0</v>
      </c>
      <c r="D49" s="12" t="s">
        <v>63</v>
      </c>
      <c r="E49" s="12" t="s">
        <v>87</v>
      </c>
      <c r="F49" s="13"/>
      <c r="G49" s="16" t="b">
        <v>1</v>
      </c>
      <c r="H49" s="16" t="b">
        <v>1</v>
      </c>
      <c r="I49" s="16" t="b">
        <v>1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15 dari 31 (48%)</v>
      </c>
    </row>
    <row r="50" ht="22.5" customHeight="1">
      <c r="A50" s="10">
        <v>49.0</v>
      </c>
      <c r="B50" s="11"/>
      <c r="C50" s="22">
        <v>50222.0</v>
      </c>
      <c r="D50" s="12" t="s">
        <v>63</v>
      </c>
      <c r="E50" s="12" t="s">
        <v>87</v>
      </c>
      <c r="F50" s="13"/>
      <c r="G50" s="6" t="b">
        <v>1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1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1</v>
      </c>
      <c r="AJ50" s="6" t="b">
        <v>0</v>
      </c>
      <c r="AK50" s="6" t="b">
        <v>0</v>
      </c>
      <c r="AL50" s="9" t="str">
        <f t="shared" si="1"/>
        <v>15 dari 31 (48%)</v>
      </c>
    </row>
    <row r="51" ht="22.5" customHeight="1">
      <c r="A51" s="10">
        <v>50.0</v>
      </c>
      <c r="B51" s="11"/>
      <c r="C51" s="22">
        <v>46175.0</v>
      </c>
      <c r="D51" s="12" t="s">
        <v>63</v>
      </c>
      <c r="E51" s="12" t="s">
        <v>87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1</v>
      </c>
      <c r="AJ51" s="6" t="b">
        <v>0</v>
      </c>
      <c r="AK51" s="6" t="b">
        <v>0</v>
      </c>
      <c r="AL51" s="17" t="str">
        <f t="shared" si="1"/>
        <v>15 dari 31 (48%)</v>
      </c>
    </row>
    <row r="52" ht="22.5" customHeight="1">
      <c r="A52" s="2">
        <v>51.0</v>
      </c>
      <c r="B52" s="11"/>
      <c r="C52" s="22">
        <v>23503.0</v>
      </c>
      <c r="D52" s="12" t="s">
        <v>63</v>
      </c>
      <c r="E52" s="12" t="s">
        <v>87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15 dari 31 (48%)</v>
      </c>
    </row>
    <row r="53" ht="22.5" customHeight="1">
      <c r="A53" s="10">
        <v>52.0</v>
      </c>
      <c r="B53" s="11"/>
      <c r="C53" s="22">
        <v>59402.0</v>
      </c>
      <c r="D53" s="12" t="s">
        <v>63</v>
      </c>
      <c r="E53" s="12" t="s">
        <v>87</v>
      </c>
      <c r="F53" s="15" t="s">
        <v>50</v>
      </c>
      <c r="G53" s="6" t="b">
        <v>1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  <c r="P53" s="6" t="b">
        <v>0</v>
      </c>
      <c r="Q53" s="6" t="b">
        <v>0</v>
      </c>
      <c r="R53" s="6" t="b">
        <v>0</v>
      </c>
      <c r="S53" s="6" t="b">
        <v>0</v>
      </c>
      <c r="T53" s="6" t="b">
        <v>0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1 dari 31 (3%)</v>
      </c>
    </row>
    <row r="54" ht="22.5" customHeight="1">
      <c r="A54" s="10">
        <v>53.0</v>
      </c>
      <c r="B54" s="11"/>
      <c r="C54" s="20">
        <v>61041.0</v>
      </c>
      <c r="D54" s="12" t="s">
        <v>63</v>
      </c>
      <c r="E54" s="12" t="s">
        <v>87</v>
      </c>
      <c r="F54" s="13"/>
      <c r="G54" s="6" t="b">
        <v>1</v>
      </c>
      <c r="H54" s="6" t="b">
        <v>1</v>
      </c>
      <c r="I54" s="6" t="b">
        <v>1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15 dari 31 (48%)</v>
      </c>
    </row>
    <row r="55" ht="22.5" customHeight="1">
      <c r="A55" s="2">
        <v>54.0</v>
      </c>
      <c r="B55" s="11"/>
      <c r="C55" s="20">
        <v>59993.0</v>
      </c>
      <c r="D55" s="12" t="s">
        <v>63</v>
      </c>
      <c r="E55" s="12" t="s">
        <v>87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1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1</v>
      </c>
      <c r="AJ55" s="6" t="b">
        <v>0</v>
      </c>
      <c r="AK55" s="6" t="b">
        <v>0</v>
      </c>
      <c r="AL55" s="9" t="str">
        <f t="shared" si="1"/>
        <v>15 dari 31 (48%)</v>
      </c>
    </row>
    <row r="56" ht="22.5" customHeight="1">
      <c r="A56" s="61">
        <v>55.0</v>
      </c>
      <c r="B56" s="62"/>
      <c r="C56" s="60">
        <v>52729.0</v>
      </c>
      <c r="D56" s="51" t="s">
        <v>63</v>
      </c>
      <c r="E56" s="51" t="s">
        <v>87</v>
      </c>
      <c r="F56" s="53"/>
      <c r="G56" s="35" t="b">
        <v>0</v>
      </c>
      <c r="H56" s="35" t="b">
        <v>0</v>
      </c>
      <c r="I56" s="35" t="b">
        <v>0</v>
      </c>
      <c r="J56" s="35" t="b">
        <v>0</v>
      </c>
      <c r="K56" s="35" t="b">
        <v>0</v>
      </c>
      <c r="L56" s="35" t="b">
        <v>0</v>
      </c>
      <c r="M56" s="35" t="b">
        <v>0</v>
      </c>
      <c r="N56" s="35" t="b">
        <v>0</v>
      </c>
      <c r="O56" s="35" t="b">
        <v>0</v>
      </c>
      <c r="P56" s="35" t="b">
        <v>0</v>
      </c>
      <c r="Q56" s="35" t="b">
        <v>0</v>
      </c>
      <c r="R56" s="35" t="b">
        <v>0</v>
      </c>
      <c r="S56" s="35" t="b">
        <v>0</v>
      </c>
      <c r="T56" s="35" t="b">
        <v>0</v>
      </c>
      <c r="U56" s="35" t="b">
        <v>0</v>
      </c>
      <c r="V56" s="35" t="b">
        <v>0</v>
      </c>
      <c r="W56" s="35" t="b">
        <v>0</v>
      </c>
      <c r="X56" s="35" t="b">
        <v>0</v>
      </c>
      <c r="Y56" s="35" t="b">
        <v>0</v>
      </c>
      <c r="Z56" s="35" t="b">
        <v>0</v>
      </c>
      <c r="AA56" s="35" t="b">
        <v>0</v>
      </c>
      <c r="AB56" s="35" t="b">
        <v>0</v>
      </c>
      <c r="AC56" s="35" t="b">
        <v>0</v>
      </c>
      <c r="AD56" s="35" t="b">
        <v>0</v>
      </c>
      <c r="AE56" s="35" t="b">
        <v>0</v>
      </c>
      <c r="AF56" s="35" t="b">
        <v>0</v>
      </c>
      <c r="AG56" s="35" t="b">
        <v>0</v>
      </c>
      <c r="AH56" s="35" t="b">
        <v>0</v>
      </c>
      <c r="AI56" s="35" t="b">
        <v>0</v>
      </c>
      <c r="AJ56" s="35" t="b">
        <v>0</v>
      </c>
      <c r="AK56" s="35" t="b">
        <v>0</v>
      </c>
      <c r="AL56" s="38" t="str">
        <f t="shared" si="1"/>
        <v>0 dari 31 (0%)</v>
      </c>
    </row>
    <row r="57" ht="22.5" customHeight="1">
      <c r="A57" s="10">
        <v>56.0</v>
      </c>
      <c r="B57" s="11"/>
      <c r="C57" s="20">
        <v>59409.0</v>
      </c>
      <c r="D57" s="12" t="s">
        <v>63</v>
      </c>
      <c r="E57" s="12" t="s">
        <v>87</v>
      </c>
      <c r="F57" s="13"/>
      <c r="G57" s="6" t="b">
        <v>1</v>
      </c>
      <c r="H57" s="6" t="b">
        <v>1</v>
      </c>
      <c r="I57" s="6" t="b">
        <v>1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1</v>
      </c>
      <c r="AJ57" s="6" t="b">
        <v>0</v>
      </c>
      <c r="AK57" s="6" t="b">
        <v>0</v>
      </c>
      <c r="AL57" s="17" t="str">
        <f t="shared" si="1"/>
        <v>15 dari 31 (48%)</v>
      </c>
    </row>
    <row r="58" ht="22.5" customHeight="1">
      <c r="A58" s="2">
        <v>57.0</v>
      </c>
      <c r="B58" s="11"/>
      <c r="C58" s="20">
        <v>57533.0</v>
      </c>
      <c r="D58" s="12" t="s">
        <v>63</v>
      </c>
      <c r="E58" s="12" t="s">
        <v>87</v>
      </c>
      <c r="F58" s="13"/>
      <c r="G58" s="6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1"/>
        <v>15 dari 31 (48%)</v>
      </c>
    </row>
    <row r="59" ht="22.5" customHeight="1">
      <c r="A59" s="10">
        <v>58.0</v>
      </c>
      <c r="B59" s="11"/>
      <c r="C59" s="20">
        <v>61032.0</v>
      </c>
      <c r="D59" s="12" t="s">
        <v>51</v>
      </c>
      <c r="E59" s="12" t="s">
        <v>52</v>
      </c>
      <c r="F59" s="13"/>
      <c r="G59" s="6" t="b">
        <v>1</v>
      </c>
      <c r="H59" s="6" t="b">
        <v>1</v>
      </c>
      <c r="I59" s="6" t="b">
        <v>0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1</v>
      </c>
      <c r="X59" s="6" t="b">
        <v>1</v>
      </c>
      <c r="Y59" s="6" t="b">
        <v>1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1"/>
        <v>16 dari 31 (52%)</v>
      </c>
    </row>
    <row r="60" ht="22.5" customHeight="1">
      <c r="A60" s="10">
        <v>59.0</v>
      </c>
      <c r="B60" s="11"/>
      <c r="C60" s="22">
        <v>60424.0</v>
      </c>
      <c r="D60" s="12" t="s">
        <v>51</v>
      </c>
      <c r="E60" s="12" t="s">
        <v>65</v>
      </c>
      <c r="F60" s="13"/>
      <c r="G60" s="6" t="b">
        <v>1</v>
      </c>
      <c r="H60" s="6" t="b">
        <v>1</v>
      </c>
      <c r="I60" s="6" t="b">
        <v>0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0</v>
      </c>
      <c r="U60" s="6" t="b">
        <v>0</v>
      </c>
      <c r="V60" s="6" t="b">
        <v>0</v>
      </c>
      <c r="W60" s="6" t="b">
        <v>1</v>
      </c>
      <c r="X60" s="6" t="b">
        <v>1</v>
      </c>
      <c r="Y60" s="6" t="b">
        <v>1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15 dari 31 (48%)</v>
      </c>
    </row>
    <row r="61" ht="22.5" customHeight="1">
      <c r="A61" s="2">
        <v>60.0</v>
      </c>
      <c r="B61" s="11"/>
      <c r="C61" s="22">
        <v>57891.0</v>
      </c>
      <c r="D61" s="12" t="s">
        <v>80</v>
      </c>
      <c r="E61" s="12" t="s">
        <v>148</v>
      </c>
      <c r="F61" s="13"/>
      <c r="G61" s="6" t="b">
        <v>1</v>
      </c>
      <c r="H61" s="6" t="b">
        <v>1</v>
      </c>
      <c r="I61" s="6" t="b">
        <v>0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1</v>
      </c>
      <c r="AJ61" s="6" t="b">
        <v>0</v>
      </c>
      <c r="AK61" s="6" t="b">
        <v>0</v>
      </c>
      <c r="AL61" s="9" t="str">
        <f t="shared" si="1"/>
        <v>14 dari 31 (45%)</v>
      </c>
    </row>
    <row r="62" ht="22.5" customHeight="1">
      <c r="A62" s="10">
        <v>61.0</v>
      </c>
      <c r="B62" s="11"/>
      <c r="C62" s="20">
        <v>57361.0</v>
      </c>
      <c r="D62" s="12" t="s">
        <v>80</v>
      </c>
      <c r="E62" s="12" t="s">
        <v>154</v>
      </c>
      <c r="F62" s="13"/>
      <c r="G62" s="6" t="b">
        <v>1</v>
      </c>
      <c r="H62" s="6" t="b">
        <v>1</v>
      </c>
      <c r="I62" s="6" t="b">
        <v>0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1</v>
      </c>
      <c r="AJ62" s="6" t="b">
        <v>0</v>
      </c>
      <c r="AK62" s="6" t="b">
        <v>0</v>
      </c>
      <c r="AL62" s="9" t="str">
        <f t="shared" si="1"/>
        <v>14 dari 31 (45%)</v>
      </c>
    </row>
    <row r="63" ht="22.5" customHeight="1">
      <c r="A63" s="10">
        <v>62.0</v>
      </c>
      <c r="B63" s="11"/>
      <c r="C63" s="20">
        <v>57366.0</v>
      </c>
      <c r="D63" s="12" t="s">
        <v>80</v>
      </c>
      <c r="E63" s="12" t="s">
        <v>154</v>
      </c>
      <c r="F63" s="13"/>
      <c r="G63" s="6" t="b">
        <v>1</v>
      </c>
      <c r="H63" s="6" t="b">
        <v>1</v>
      </c>
      <c r="I63" s="6" t="b">
        <v>0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1</v>
      </c>
      <c r="AJ63" s="6" t="b">
        <v>0</v>
      </c>
      <c r="AK63" s="6" t="b">
        <v>0</v>
      </c>
      <c r="AL63" s="17" t="str">
        <f t="shared" si="1"/>
        <v>14 dari 31 (45%)</v>
      </c>
    </row>
    <row r="64" ht="22.5" customHeight="1">
      <c r="A64" s="2">
        <v>63.0</v>
      </c>
      <c r="B64" s="11"/>
      <c r="C64" s="20">
        <v>57898.0</v>
      </c>
      <c r="D64" s="12" t="s">
        <v>80</v>
      </c>
      <c r="E64" s="12" t="s">
        <v>148</v>
      </c>
      <c r="F64" s="13"/>
      <c r="G64" s="6" t="b">
        <v>1</v>
      </c>
      <c r="H64" s="6" t="b">
        <v>1</v>
      </c>
      <c r="I64" s="6" t="b">
        <v>0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1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1</v>
      </c>
      <c r="AJ64" s="6" t="b">
        <v>0</v>
      </c>
      <c r="AK64" s="6" t="b">
        <v>0</v>
      </c>
      <c r="AL64" s="9" t="str">
        <f t="shared" si="1"/>
        <v>14 dari 31 (45%)</v>
      </c>
    </row>
    <row r="65" ht="22.5" customHeight="1">
      <c r="A65" s="10">
        <v>64.0</v>
      </c>
      <c r="B65" s="11"/>
      <c r="C65" s="20">
        <v>30317.0</v>
      </c>
      <c r="D65" s="12" t="s">
        <v>80</v>
      </c>
      <c r="E65" s="12" t="s">
        <v>154</v>
      </c>
      <c r="F65" s="13"/>
      <c r="G65" s="6" t="b">
        <v>1</v>
      </c>
      <c r="H65" s="6" t="b">
        <v>1</v>
      </c>
      <c r="I65" s="6" t="b">
        <v>0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1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1</v>
      </c>
      <c r="AJ65" s="6" t="b">
        <v>0</v>
      </c>
      <c r="AK65" s="6" t="b">
        <v>0</v>
      </c>
      <c r="AL65" s="9" t="str">
        <f t="shared" si="1"/>
        <v>14 dari 31 (45%)</v>
      </c>
    </row>
    <row r="66" ht="22.5" customHeight="1">
      <c r="A66" s="10">
        <v>65.0</v>
      </c>
      <c r="B66" s="11"/>
      <c r="C66" s="20">
        <v>55817.0</v>
      </c>
      <c r="D66" s="12" t="s">
        <v>80</v>
      </c>
      <c r="E66" s="12" t="s">
        <v>154</v>
      </c>
      <c r="F66" s="13"/>
      <c r="G66" s="6" t="b">
        <v>1</v>
      </c>
      <c r="H66" s="6" t="b">
        <v>1</v>
      </c>
      <c r="I66" s="6" t="b">
        <v>0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14 dari 31 (45%)</v>
      </c>
    </row>
    <row r="67" ht="22.5" customHeight="1">
      <c r="A67" s="2">
        <v>66.0</v>
      </c>
      <c r="B67" s="11"/>
      <c r="C67" s="20">
        <v>60595.0</v>
      </c>
      <c r="D67" s="12" t="s">
        <v>101</v>
      </c>
      <c r="E67" s="12" t="s">
        <v>122</v>
      </c>
      <c r="F67" s="15" t="s">
        <v>50</v>
      </c>
      <c r="G67" s="6" t="b">
        <v>1</v>
      </c>
      <c r="H67" s="6" t="b">
        <v>0</v>
      </c>
      <c r="I67" s="6" t="b">
        <v>0</v>
      </c>
      <c r="J67" s="6" t="b">
        <v>0</v>
      </c>
      <c r="K67" s="6" t="b">
        <v>0</v>
      </c>
      <c r="L67" s="6" t="b">
        <v>0</v>
      </c>
      <c r="M67" s="6" t="b">
        <v>0</v>
      </c>
      <c r="N67" s="6" t="b">
        <v>0</v>
      </c>
      <c r="O67" s="6" t="b">
        <v>0</v>
      </c>
      <c r="P67" s="6" t="b">
        <v>0</v>
      </c>
      <c r="Q67" s="6" t="b">
        <v>0</v>
      </c>
      <c r="R67" s="6" t="b">
        <v>0</v>
      </c>
      <c r="S67" s="6" t="b">
        <v>0</v>
      </c>
      <c r="T67" s="6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1"/>
        <v>1 dari 31 (3%)</v>
      </c>
    </row>
    <row r="68" ht="22.5" customHeight="1">
      <c r="A68" s="10">
        <v>67.0</v>
      </c>
      <c r="B68" s="11"/>
      <c r="C68" s="20">
        <v>52614.0</v>
      </c>
      <c r="D68" s="12" t="s">
        <v>101</v>
      </c>
      <c r="E68" s="12" t="s">
        <v>122</v>
      </c>
      <c r="F68" s="13"/>
      <c r="G68" s="6" t="b">
        <v>1</v>
      </c>
      <c r="H68" s="6" t="b">
        <v>1</v>
      </c>
      <c r="I68" s="6" t="b">
        <v>1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1</v>
      </c>
      <c r="X68" s="6" t="b">
        <v>1</v>
      </c>
      <c r="Y68" s="6" t="b">
        <v>1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17 dari 31 (55%)</v>
      </c>
    </row>
    <row r="69" ht="22.5" customHeight="1">
      <c r="A69" s="10">
        <v>68.0</v>
      </c>
      <c r="B69" s="11"/>
      <c r="C69" s="22">
        <v>57203.0</v>
      </c>
      <c r="D69" s="12" t="s">
        <v>56</v>
      </c>
      <c r="E69" s="12" t="s">
        <v>158</v>
      </c>
      <c r="F69" s="13"/>
      <c r="G69" s="6" t="b">
        <v>1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1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0</v>
      </c>
      <c r="AJ69" s="6" t="b">
        <v>0</v>
      </c>
      <c r="AK69" s="6" t="b">
        <v>0</v>
      </c>
      <c r="AL69" s="17" t="str">
        <f t="shared" si="1"/>
        <v>14 dari 31 (45%)</v>
      </c>
    </row>
    <row r="70" ht="22.5" customHeight="1">
      <c r="A70" s="2">
        <v>69.0</v>
      </c>
      <c r="B70" s="11"/>
      <c r="C70" s="22">
        <v>58592.0</v>
      </c>
      <c r="D70" s="12" t="s">
        <v>56</v>
      </c>
      <c r="E70" s="12" t="s">
        <v>88</v>
      </c>
      <c r="F70" s="13"/>
      <c r="G70" s="6" t="b">
        <v>1</v>
      </c>
      <c r="H70" s="6" t="b">
        <v>1</v>
      </c>
      <c r="I70" s="6" t="b">
        <v>1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1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14 dari 31 (45%)</v>
      </c>
    </row>
    <row r="71" ht="22.5" customHeight="1">
      <c r="A71" s="10">
        <v>70.0</v>
      </c>
      <c r="B71" s="11"/>
      <c r="C71" s="22">
        <v>55649.0</v>
      </c>
      <c r="D71" s="12" t="s">
        <v>74</v>
      </c>
      <c r="E71" s="12" t="s">
        <v>104</v>
      </c>
      <c r="F71" s="13"/>
      <c r="G71" s="6" t="b">
        <v>1</v>
      </c>
      <c r="H71" s="6" t="b">
        <v>1</v>
      </c>
      <c r="I71" s="6" t="b">
        <v>0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1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13 dari 31 (42%)</v>
      </c>
    </row>
    <row r="72" ht="22.5" customHeight="1">
      <c r="A72" s="10">
        <v>71.0</v>
      </c>
      <c r="B72" s="11"/>
      <c r="C72" s="20">
        <v>49940.0</v>
      </c>
      <c r="D72" s="12" t="s">
        <v>98</v>
      </c>
      <c r="E72" s="12" t="s">
        <v>142</v>
      </c>
      <c r="F72" s="15" t="s">
        <v>50</v>
      </c>
      <c r="G72" s="6" t="b">
        <v>1</v>
      </c>
      <c r="H72" s="6" t="b">
        <v>0</v>
      </c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6" t="b">
        <v>0</v>
      </c>
      <c r="R72" s="6" t="b">
        <v>0</v>
      </c>
      <c r="S72" s="6" t="b">
        <v>0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0</v>
      </c>
      <c r="AJ72" s="6" t="b">
        <v>0</v>
      </c>
      <c r="AK72" s="6" t="b">
        <v>0</v>
      </c>
      <c r="AL72" s="17" t="str">
        <f t="shared" si="1"/>
        <v>1 dari 31 (3%)</v>
      </c>
    </row>
    <row r="73" ht="22.5" customHeight="1">
      <c r="A73" s="2">
        <v>72.0</v>
      </c>
      <c r="B73" s="11"/>
      <c r="C73" s="20">
        <v>45984.0</v>
      </c>
      <c r="D73" s="12" t="s">
        <v>98</v>
      </c>
      <c r="E73" s="12" t="s">
        <v>142</v>
      </c>
      <c r="F73" s="15" t="s">
        <v>50</v>
      </c>
      <c r="G73" s="6" t="b">
        <v>1</v>
      </c>
      <c r="H73" s="6" t="b">
        <v>0</v>
      </c>
      <c r="I73" s="6" t="b">
        <v>0</v>
      </c>
      <c r="J73" s="6" t="b">
        <v>0</v>
      </c>
      <c r="K73" s="6" t="b">
        <v>0</v>
      </c>
      <c r="L73" s="6" t="b">
        <v>0</v>
      </c>
      <c r="M73" s="6" t="b">
        <v>0</v>
      </c>
      <c r="N73" s="6" t="b">
        <v>0</v>
      </c>
      <c r="O73" s="6" t="b">
        <v>0</v>
      </c>
      <c r="P73" s="6" t="b">
        <v>0</v>
      </c>
      <c r="Q73" s="6" t="b">
        <v>0</v>
      </c>
      <c r="R73" s="6" t="b">
        <v>0</v>
      </c>
      <c r="S73" s="6" t="b">
        <v>0</v>
      </c>
      <c r="T73" s="6" t="b">
        <v>0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1 dari 31 (3%)</v>
      </c>
    </row>
    <row r="74" ht="22.5" customHeight="1">
      <c r="A74" s="10">
        <v>73.0</v>
      </c>
      <c r="B74" s="11"/>
      <c r="C74" s="20">
        <v>59492.0</v>
      </c>
      <c r="D74" s="12" t="s">
        <v>68</v>
      </c>
      <c r="E74" s="12" t="s">
        <v>155</v>
      </c>
      <c r="F74" s="13"/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1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1</v>
      </c>
      <c r="AJ74" s="6" t="b">
        <v>0</v>
      </c>
      <c r="AK74" s="6" t="b">
        <v>0</v>
      </c>
      <c r="AL74" s="9" t="str">
        <f t="shared" si="1"/>
        <v>15 dari 31 (48%)</v>
      </c>
    </row>
    <row r="75" ht="22.5" customHeight="1">
      <c r="A75" s="10">
        <v>74.0</v>
      </c>
      <c r="B75" s="11"/>
      <c r="C75" s="20">
        <v>58498.0</v>
      </c>
      <c r="D75" s="12" t="s">
        <v>68</v>
      </c>
      <c r="E75" s="12" t="s">
        <v>155</v>
      </c>
      <c r="F75" s="13"/>
      <c r="G75" s="6" t="b">
        <v>1</v>
      </c>
      <c r="H75" s="6" t="b">
        <v>1</v>
      </c>
      <c r="I75" s="6" t="b">
        <v>1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1</v>
      </c>
      <c r="AJ75" s="6" t="b">
        <v>0</v>
      </c>
      <c r="AK75" s="6" t="b">
        <v>0</v>
      </c>
      <c r="AL75" s="17" t="str">
        <f t="shared" si="1"/>
        <v>15 dari 31 (48%)</v>
      </c>
    </row>
    <row r="76" ht="22.5" customHeight="1">
      <c r="A76" s="2">
        <v>75.0</v>
      </c>
      <c r="B76" s="11"/>
      <c r="C76" s="20">
        <v>60539.0</v>
      </c>
      <c r="D76" s="12" t="s">
        <v>68</v>
      </c>
      <c r="E76" s="12" t="s">
        <v>109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1</v>
      </c>
      <c r="AJ76" s="6" t="b">
        <v>0</v>
      </c>
      <c r="AK76" s="6" t="b">
        <v>0</v>
      </c>
      <c r="AL76" s="9" t="str">
        <f t="shared" si="1"/>
        <v>15 dari 31 (48%)</v>
      </c>
    </row>
    <row r="77" ht="22.5" customHeight="1">
      <c r="A77" s="61">
        <v>76.0</v>
      </c>
      <c r="B77" s="62"/>
      <c r="C77" s="32">
        <v>59397.0</v>
      </c>
      <c r="D77" s="51" t="s">
        <v>68</v>
      </c>
      <c r="E77" s="51" t="s">
        <v>109</v>
      </c>
      <c r="F77" s="53"/>
      <c r="G77" s="35" t="b">
        <v>0</v>
      </c>
      <c r="H77" s="35" t="b">
        <v>0</v>
      </c>
      <c r="I77" s="35" t="b">
        <v>0</v>
      </c>
      <c r="J77" s="35" t="b">
        <v>0</v>
      </c>
      <c r="K77" s="35" t="b">
        <v>0</v>
      </c>
      <c r="L77" s="35" t="b">
        <v>0</v>
      </c>
      <c r="M77" s="35" t="b">
        <v>0</v>
      </c>
      <c r="N77" s="35" t="b">
        <v>0</v>
      </c>
      <c r="O77" s="35" t="b">
        <v>0</v>
      </c>
      <c r="P77" s="35" t="b">
        <v>0</v>
      </c>
      <c r="Q77" s="35" t="b">
        <v>0</v>
      </c>
      <c r="R77" s="35" t="b">
        <v>0</v>
      </c>
      <c r="S77" s="35" t="b">
        <v>0</v>
      </c>
      <c r="T77" s="35" t="b">
        <v>0</v>
      </c>
      <c r="U77" s="35" t="b">
        <v>0</v>
      </c>
      <c r="V77" s="35" t="b">
        <v>0</v>
      </c>
      <c r="W77" s="35" t="b">
        <v>0</v>
      </c>
      <c r="X77" s="35" t="b">
        <v>0</v>
      </c>
      <c r="Y77" s="35" t="b">
        <v>0</v>
      </c>
      <c r="Z77" s="35" t="b">
        <v>0</v>
      </c>
      <c r="AA77" s="35" t="b">
        <v>0</v>
      </c>
      <c r="AB77" s="35" t="b">
        <v>0</v>
      </c>
      <c r="AC77" s="35" t="b">
        <v>0</v>
      </c>
      <c r="AD77" s="35" t="b">
        <v>0</v>
      </c>
      <c r="AE77" s="35" t="b">
        <v>0</v>
      </c>
      <c r="AF77" s="35" t="b">
        <v>0</v>
      </c>
      <c r="AG77" s="35" t="b">
        <v>0</v>
      </c>
      <c r="AH77" s="35" t="b">
        <v>0</v>
      </c>
      <c r="AI77" s="35" t="b">
        <v>0</v>
      </c>
      <c r="AJ77" s="35" t="b">
        <v>0</v>
      </c>
      <c r="AK77" s="35" t="b">
        <v>0</v>
      </c>
      <c r="AL77" s="38" t="str">
        <f t="shared" si="1"/>
        <v>0 dari 31 (0%)</v>
      </c>
    </row>
    <row r="78" ht="22.5" customHeight="1">
      <c r="A78" s="109">
        <v>77.0</v>
      </c>
      <c r="B78" s="110"/>
      <c r="C78" s="111">
        <v>54268.0</v>
      </c>
      <c r="D78" s="103" t="s">
        <v>68</v>
      </c>
      <c r="E78" s="103" t="s">
        <v>155</v>
      </c>
      <c r="F78" s="133" t="s">
        <v>46</v>
      </c>
      <c r="G78" s="105" t="b">
        <v>1</v>
      </c>
      <c r="H78" s="105" t="b">
        <v>1</v>
      </c>
      <c r="I78" s="105" t="b">
        <v>1</v>
      </c>
      <c r="J78" s="105" t="b">
        <v>1</v>
      </c>
      <c r="K78" s="105" t="b">
        <v>1</v>
      </c>
      <c r="L78" s="105" t="b">
        <v>1</v>
      </c>
      <c r="M78" s="105" t="b">
        <v>1</v>
      </c>
      <c r="N78" s="105" t="b">
        <v>1</v>
      </c>
      <c r="O78" s="105" t="b">
        <v>1</v>
      </c>
      <c r="P78" s="105" t="b">
        <v>1</v>
      </c>
      <c r="Q78" s="105" t="b">
        <v>1</v>
      </c>
      <c r="R78" s="105" t="b">
        <v>1</v>
      </c>
      <c r="S78" s="105" t="b">
        <v>1</v>
      </c>
      <c r="T78" s="105" t="b">
        <v>1</v>
      </c>
      <c r="U78" s="105" t="b">
        <v>0</v>
      </c>
      <c r="V78" s="105" t="b">
        <v>0</v>
      </c>
      <c r="W78" s="105" t="b">
        <v>0</v>
      </c>
      <c r="X78" s="105" t="b">
        <v>0</v>
      </c>
      <c r="Y78" s="105" t="b">
        <v>0</v>
      </c>
      <c r="Z78" s="105" t="b">
        <v>0</v>
      </c>
      <c r="AA78" s="105" t="b">
        <v>0</v>
      </c>
      <c r="AB78" s="105" t="b">
        <v>0</v>
      </c>
      <c r="AC78" s="105" t="b">
        <v>0</v>
      </c>
      <c r="AD78" s="105" t="b">
        <v>0</v>
      </c>
      <c r="AE78" s="105" t="b">
        <v>0</v>
      </c>
      <c r="AF78" s="105" t="b">
        <v>0</v>
      </c>
      <c r="AG78" s="105" t="b">
        <v>0</v>
      </c>
      <c r="AH78" s="105" t="b">
        <v>0</v>
      </c>
      <c r="AI78" s="105" t="b">
        <v>1</v>
      </c>
      <c r="AJ78" s="105" t="b">
        <v>0</v>
      </c>
      <c r="AK78" s="105" t="b">
        <v>0</v>
      </c>
      <c r="AL78" s="127" t="str">
        <f t="shared" si="1"/>
        <v>15 dari 31 (48%)</v>
      </c>
    </row>
    <row r="79" ht="22.5" customHeight="1">
      <c r="A79" s="2">
        <v>78.0</v>
      </c>
      <c r="B79" s="11"/>
      <c r="C79" s="22">
        <v>61176.0</v>
      </c>
      <c r="D79" s="12" t="s">
        <v>63</v>
      </c>
      <c r="E79" s="12" t="s">
        <v>87</v>
      </c>
      <c r="F79" s="13"/>
      <c r="G79" s="6" t="b">
        <v>1</v>
      </c>
      <c r="H79" s="6" t="b">
        <v>1</v>
      </c>
      <c r="I79" s="6" t="b">
        <v>1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1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1</v>
      </c>
      <c r="AJ79" s="6" t="b">
        <v>0</v>
      </c>
      <c r="AK79" s="6" t="b">
        <v>0</v>
      </c>
      <c r="AL79" s="9" t="str">
        <f t="shared" si="1"/>
        <v>15 dari 31 (48%)</v>
      </c>
    </row>
    <row r="80" ht="22.5" customHeight="1">
      <c r="A80" s="10">
        <v>79.0</v>
      </c>
      <c r="B80" s="11"/>
      <c r="C80" s="22">
        <v>60907.0</v>
      </c>
      <c r="D80" s="12" t="s">
        <v>68</v>
      </c>
      <c r="E80" s="12" t="s">
        <v>109</v>
      </c>
      <c r="F80" s="13"/>
      <c r="G80" s="6" t="b">
        <v>1</v>
      </c>
      <c r="H80" s="6" t="b">
        <v>1</v>
      </c>
      <c r="I80" s="6" t="b">
        <v>0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1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1</v>
      </c>
      <c r="AJ80" s="6" t="b">
        <v>0</v>
      </c>
      <c r="AK80" s="6" t="b">
        <v>0</v>
      </c>
      <c r="AL80" s="9" t="str">
        <f t="shared" si="1"/>
        <v>14 dari 31 (45%)</v>
      </c>
    </row>
    <row r="81" ht="22.5" customHeight="1">
      <c r="A81" s="10">
        <v>80.0</v>
      </c>
      <c r="B81" s="11"/>
      <c r="C81" s="22">
        <v>59821.0</v>
      </c>
      <c r="D81" s="12" t="s">
        <v>68</v>
      </c>
      <c r="E81" s="12" t="s">
        <v>109</v>
      </c>
      <c r="F81" s="13"/>
      <c r="G81" s="6" t="b">
        <v>1</v>
      </c>
      <c r="H81" s="6" t="b">
        <v>1</v>
      </c>
      <c r="I81" s="6" t="b">
        <v>1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1</v>
      </c>
      <c r="AJ81" s="6" t="b">
        <v>0</v>
      </c>
      <c r="AK81" s="6" t="b">
        <v>0</v>
      </c>
      <c r="AL81" s="17" t="str">
        <f t="shared" si="1"/>
        <v>15 dari 31 (48%)</v>
      </c>
    </row>
    <row r="82" ht="22.5" customHeight="1">
      <c r="A82" s="2">
        <v>81.0</v>
      </c>
      <c r="B82" s="11"/>
      <c r="C82" s="20">
        <v>59323.0</v>
      </c>
      <c r="D82" s="12" t="s">
        <v>68</v>
      </c>
      <c r="E82" s="12" t="s">
        <v>155</v>
      </c>
      <c r="F82" s="13"/>
      <c r="G82" s="6" t="b">
        <v>1</v>
      </c>
      <c r="H82" s="6" t="b">
        <v>1</v>
      </c>
      <c r="I82" s="6" t="b">
        <v>1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1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1</v>
      </c>
      <c r="AJ82" s="6" t="b">
        <v>0</v>
      </c>
      <c r="AK82" s="6" t="b">
        <v>0</v>
      </c>
      <c r="AL82" s="9" t="str">
        <f t="shared" si="1"/>
        <v>15 dari 31 (48%)</v>
      </c>
    </row>
    <row r="83" ht="22.5" customHeight="1">
      <c r="A83" s="109">
        <v>82.0</v>
      </c>
      <c r="B83" s="110"/>
      <c r="C83" s="111">
        <v>28302.0</v>
      </c>
      <c r="D83" s="103" t="s">
        <v>39</v>
      </c>
      <c r="E83" s="103" t="s">
        <v>57</v>
      </c>
      <c r="F83" s="104"/>
      <c r="G83" s="105" t="b">
        <v>1</v>
      </c>
      <c r="H83" s="105" t="b">
        <v>1</v>
      </c>
      <c r="I83" s="105" t="b">
        <v>1</v>
      </c>
      <c r="J83" s="105" t="b">
        <v>1</v>
      </c>
      <c r="K83" s="105" t="b">
        <v>1</v>
      </c>
      <c r="L83" s="105" t="b">
        <v>1</v>
      </c>
      <c r="M83" s="105" t="b">
        <v>1</v>
      </c>
      <c r="N83" s="105" t="b">
        <v>1</v>
      </c>
      <c r="O83" s="105" t="b">
        <v>1</v>
      </c>
      <c r="P83" s="105" t="b">
        <v>1</v>
      </c>
      <c r="Q83" s="105" t="b">
        <v>1</v>
      </c>
      <c r="R83" s="105" t="b">
        <v>1</v>
      </c>
      <c r="S83" s="105" t="b">
        <v>1</v>
      </c>
      <c r="T83" s="105" t="b">
        <v>1</v>
      </c>
      <c r="U83" s="105" t="b">
        <v>0</v>
      </c>
      <c r="V83" s="105" t="b">
        <v>0</v>
      </c>
      <c r="W83" s="105" t="b">
        <v>0</v>
      </c>
      <c r="X83" s="105" t="b">
        <v>0</v>
      </c>
      <c r="Y83" s="105" t="b">
        <v>0</v>
      </c>
      <c r="Z83" s="105" t="b">
        <v>1</v>
      </c>
      <c r="AA83" s="105" t="b">
        <v>1</v>
      </c>
      <c r="AB83" s="105" t="b">
        <v>1</v>
      </c>
      <c r="AC83" s="105" t="b">
        <v>1</v>
      </c>
      <c r="AD83" s="105" t="b">
        <v>1</v>
      </c>
      <c r="AE83" s="105" t="b">
        <v>0</v>
      </c>
      <c r="AF83" s="105" t="b">
        <v>0</v>
      </c>
      <c r="AG83" s="105" t="b">
        <v>0</v>
      </c>
      <c r="AH83" s="105" t="b">
        <v>0</v>
      </c>
      <c r="AI83" s="105" t="b">
        <v>1</v>
      </c>
      <c r="AJ83" s="105" t="b">
        <v>0</v>
      </c>
      <c r="AK83" s="105" t="b">
        <v>0</v>
      </c>
      <c r="AL83" s="106" t="str">
        <f t="shared" si="1"/>
        <v>20 dari 31 (65%)</v>
      </c>
    </row>
    <row r="84" ht="22.5" customHeight="1">
      <c r="A84" s="10">
        <v>83.0</v>
      </c>
      <c r="B84" s="11"/>
      <c r="C84" s="22">
        <v>59626.0</v>
      </c>
      <c r="D84" s="12" t="s">
        <v>68</v>
      </c>
      <c r="E84" s="12" t="s">
        <v>155</v>
      </c>
      <c r="F84" s="13"/>
      <c r="G84" s="6" t="b">
        <v>1</v>
      </c>
      <c r="H84" s="6" t="b">
        <v>1</v>
      </c>
      <c r="I84" s="6" t="b">
        <v>1</v>
      </c>
      <c r="J84" s="6" t="b">
        <v>1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1</v>
      </c>
      <c r="P84" s="6" t="b">
        <v>1</v>
      </c>
      <c r="Q84" s="6" t="b">
        <v>1</v>
      </c>
      <c r="R84" s="6" t="b">
        <v>1</v>
      </c>
      <c r="S84" s="6" t="b">
        <v>1</v>
      </c>
      <c r="T84" s="6" t="b">
        <v>1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1</v>
      </c>
      <c r="AJ84" s="6" t="b">
        <v>0</v>
      </c>
      <c r="AK84" s="6" t="b">
        <v>0</v>
      </c>
      <c r="AL84" s="17" t="str">
        <f t="shared" si="1"/>
        <v>15 dari 31 (48%)</v>
      </c>
    </row>
    <row r="85" ht="22.5" customHeight="1">
      <c r="A85" s="2">
        <v>84.0</v>
      </c>
      <c r="B85" s="11"/>
      <c r="C85" s="22">
        <v>41703.0</v>
      </c>
      <c r="D85" s="12" t="s">
        <v>98</v>
      </c>
      <c r="E85" s="12" t="s">
        <v>142</v>
      </c>
      <c r="F85" s="13"/>
      <c r="G85" s="6" t="b">
        <v>1</v>
      </c>
      <c r="H85" s="6" t="b">
        <v>1</v>
      </c>
      <c r="I85" s="6" t="b">
        <v>0</v>
      </c>
      <c r="J85" s="6" t="b">
        <v>1</v>
      </c>
      <c r="K85" s="6" t="b">
        <v>1</v>
      </c>
      <c r="L85" s="6" t="b">
        <v>1</v>
      </c>
      <c r="M85" s="6" t="b">
        <v>1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1</v>
      </c>
      <c r="S85" s="6" t="b">
        <v>1</v>
      </c>
      <c r="T85" s="6" t="b">
        <v>1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0</v>
      </c>
      <c r="AJ85" s="6" t="b">
        <v>0</v>
      </c>
      <c r="AK85" s="6" t="b">
        <v>0</v>
      </c>
      <c r="AL85" s="9" t="str">
        <f t="shared" si="1"/>
        <v>13 dari 31 (42%)</v>
      </c>
    </row>
    <row r="86" ht="22.5" customHeight="1">
      <c r="A86" s="10">
        <v>85.0</v>
      </c>
      <c r="B86" s="11"/>
      <c r="C86" s="22">
        <v>30445.0</v>
      </c>
      <c r="D86" s="12" t="s">
        <v>63</v>
      </c>
      <c r="E86" s="12" t="s">
        <v>87</v>
      </c>
      <c r="F86" s="13"/>
      <c r="G86" s="6" t="b">
        <v>1</v>
      </c>
      <c r="H86" s="6" t="b">
        <v>1</v>
      </c>
      <c r="I86" s="6" t="b">
        <v>1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0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13 dari 31 (42%)</v>
      </c>
    </row>
    <row r="87" ht="22.5" customHeight="1">
      <c r="A87" s="10">
        <v>86.0</v>
      </c>
      <c r="B87" s="11"/>
      <c r="C87" s="22">
        <v>60796.0</v>
      </c>
      <c r="D87" s="12" t="s">
        <v>68</v>
      </c>
      <c r="E87" s="12" t="s">
        <v>109</v>
      </c>
      <c r="F87" s="13"/>
      <c r="G87" s="6" t="b">
        <v>1</v>
      </c>
      <c r="H87" s="6" t="b">
        <v>1</v>
      </c>
      <c r="I87" s="6" t="b">
        <v>1</v>
      </c>
      <c r="J87" s="6" t="b">
        <v>1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1</v>
      </c>
      <c r="S87" s="6" t="b">
        <v>1</v>
      </c>
      <c r="T87" s="6" t="b">
        <v>1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1</v>
      </c>
      <c r="AJ87" s="6" t="b">
        <v>0</v>
      </c>
      <c r="AK87" s="6" t="b">
        <v>0</v>
      </c>
      <c r="AL87" s="17" t="str">
        <f t="shared" si="1"/>
        <v>15 dari 31 (48%)</v>
      </c>
    </row>
    <row r="88" ht="22.5" customHeight="1">
      <c r="A88" s="2">
        <v>87.0</v>
      </c>
      <c r="B88" s="11"/>
      <c r="C88" s="22">
        <v>60522.0</v>
      </c>
      <c r="D88" s="12" t="s">
        <v>39</v>
      </c>
      <c r="E88" s="12" t="s">
        <v>57</v>
      </c>
      <c r="F88" s="13"/>
      <c r="G88" s="6" t="b">
        <v>1</v>
      </c>
      <c r="H88" s="6" t="b">
        <v>1</v>
      </c>
      <c r="I88" s="6" t="b">
        <v>0</v>
      </c>
      <c r="J88" s="6" t="b">
        <v>1</v>
      </c>
      <c r="K88" s="6" t="b">
        <v>1</v>
      </c>
      <c r="L88" s="6" t="b">
        <v>1</v>
      </c>
      <c r="M88" s="6" t="b">
        <v>1</v>
      </c>
      <c r="N88" s="6" t="b">
        <v>1</v>
      </c>
      <c r="O88" s="6" t="b">
        <v>1</v>
      </c>
      <c r="P88" s="6" t="b">
        <v>1</v>
      </c>
      <c r="Q88" s="6" t="b">
        <v>1</v>
      </c>
      <c r="R88" s="6" t="b">
        <v>1</v>
      </c>
      <c r="S88" s="6" t="b">
        <v>1</v>
      </c>
      <c r="T88" s="6" t="b">
        <v>1</v>
      </c>
      <c r="U88" s="6" t="b">
        <v>0</v>
      </c>
      <c r="V88" s="6" t="b">
        <v>0</v>
      </c>
      <c r="W88" s="6" t="b">
        <v>1</v>
      </c>
      <c r="X88" s="6" t="b">
        <v>1</v>
      </c>
      <c r="Y88" s="6" t="b">
        <v>1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1</v>
      </c>
      <c r="AJ88" s="6" t="b">
        <v>0</v>
      </c>
      <c r="AK88" s="6" t="b">
        <v>0</v>
      </c>
      <c r="AL88" s="9" t="str">
        <f t="shared" si="1"/>
        <v>17 dari 31 (55%)</v>
      </c>
    </row>
    <row r="89" ht="22.5" customHeight="1">
      <c r="A89" s="10">
        <v>88.0</v>
      </c>
      <c r="B89" s="11"/>
      <c r="C89" s="22">
        <v>58252.0</v>
      </c>
      <c r="D89" s="12" t="s">
        <v>80</v>
      </c>
      <c r="E89" s="12" t="s">
        <v>154</v>
      </c>
      <c r="F89" s="13"/>
      <c r="G89" s="6" t="b">
        <v>1</v>
      </c>
      <c r="H89" s="6" t="b">
        <v>1</v>
      </c>
      <c r="I89" s="6" t="b">
        <v>0</v>
      </c>
      <c r="J89" s="6" t="b">
        <v>1</v>
      </c>
      <c r="K89" s="6" t="b">
        <v>1</v>
      </c>
      <c r="L89" s="6" t="b">
        <v>1</v>
      </c>
      <c r="M89" s="6" t="b">
        <v>1</v>
      </c>
      <c r="N89" s="6" t="b">
        <v>1</v>
      </c>
      <c r="O89" s="6" t="b">
        <v>1</v>
      </c>
      <c r="P89" s="6" t="b">
        <v>1</v>
      </c>
      <c r="Q89" s="6" t="b">
        <v>1</v>
      </c>
      <c r="R89" s="6" t="b">
        <v>1</v>
      </c>
      <c r="S89" s="6" t="b">
        <v>1</v>
      </c>
      <c r="T89" s="6" t="b">
        <v>1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1</v>
      </c>
      <c r="AJ89" s="6" t="b">
        <v>0</v>
      </c>
      <c r="AK89" s="6" t="b">
        <v>0</v>
      </c>
      <c r="AL89" s="9" t="str">
        <f t="shared" si="1"/>
        <v>14 dari 31 (45%)</v>
      </c>
    </row>
    <row r="90" ht="22.5" customHeight="1">
      <c r="A90" s="10">
        <v>89.0</v>
      </c>
      <c r="B90" s="11"/>
      <c r="C90" s="22">
        <v>59322.0</v>
      </c>
      <c r="D90" s="12" t="s">
        <v>101</v>
      </c>
      <c r="E90" s="12" t="s">
        <v>122</v>
      </c>
      <c r="F90" s="13"/>
      <c r="G90" s="6" t="b">
        <v>1</v>
      </c>
      <c r="H90" s="6" t="b">
        <v>1</v>
      </c>
      <c r="I90" s="6" t="b">
        <v>1</v>
      </c>
      <c r="J90" s="6" t="b">
        <v>1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1</v>
      </c>
      <c r="S90" s="6" t="b">
        <v>1</v>
      </c>
      <c r="T90" s="6" t="b">
        <v>1</v>
      </c>
      <c r="U90" s="6" t="b">
        <v>0</v>
      </c>
      <c r="V90" s="6" t="b">
        <v>0</v>
      </c>
      <c r="W90" s="6" t="b">
        <v>1</v>
      </c>
      <c r="X90" s="6" t="b">
        <v>1</v>
      </c>
      <c r="Y90" s="6" t="b">
        <v>1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17 dari 31 (55%)</v>
      </c>
    </row>
    <row r="91" ht="22.5" customHeight="1">
      <c r="A91" s="2">
        <v>90.0</v>
      </c>
      <c r="B91" s="11"/>
      <c r="C91" s="22">
        <v>32885.0</v>
      </c>
      <c r="D91" s="12" t="s">
        <v>74</v>
      </c>
      <c r="E91" s="12" t="s">
        <v>104</v>
      </c>
      <c r="F91" s="13"/>
      <c r="G91" s="6" t="b">
        <v>1</v>
      </c>
      <c r="H91" s="6" t="b">
        <v>1</v>
      </c>
      <c r="I91" s="6" t="b">
        <v>0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1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0</v>
      </c>
      <c r="AJ91" s="6" t="b">
        <v>0</v>
      </c>
      <c r="AK91" s="6" t="b">
        <v>0</v>
      </c>
      <c r="AL91" s="9" t="str">
        <f t="shared" si="1"/>
        <v>13 dari 31 (42%)</v>
      </c>
    </row>
    <row r="92" ht="22.5" customHeight="1">
      <c r="A92" s="10">
        <v>91.0</v>
      </c>
      <c r="B92" s="11"/>
      <c r="C92" s="20">
        <v>56910.0</v>
      </c>
      <c r="D92" s="12" t="s">
        <v>68</v>
      </c>
      <c r="E92" s="12" t="s">
        <v>109</v>
      </c>
      <c r="F92" s="13"/>
      <c r="G92" s="6" t="b">
        <v>1</v>
      </c>
      <c r="H92" s="6" t="b">
        <v>1</v>
      </c>
      <c r="I92" s="6" t="b">
        <v>1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1</v>
      </c>
      <c r="S92" s="6" t="b">
        <v>1</v>
      </c>
      <c r="T92" s="6" t="b">
        <v>1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1</v>
      </c>
      <c r="AJ92" s="6" t="b">
        <v>0</v>
      </c>
      <c r="AK92" s="6" t="b">
        <v>0</v>
      </c>
      <c r="AL92" s="9" t="str">
        <f t="shared" si="1"/>
        <v>15 dari 31 (48%)</v>
      </c>
    </row>
    <row r="93" ht="22.5" customHeight="1">
      <c r="A93" s="10">
        <v>92.0</v>
      </c>
      <c r="B93" s="11"/>
      <c r="C93" s="20">
        <v>60904.0</v>
      </c>
      <c r="D93" s="12" t="s">
        <v>68</v>
      </c>
      <c r="E93" s="12" t="s">
        <v>109</v>
      </c>
      <c r="F93" s="13"/>
      <c r="G93" s="6" t="b">
        <v>1</v>
      </c>
      <c r="H93" s="6" t="b">
        <v>1</v>
      </c>
      <c r="I93" s="6" t="b">
        <v>0</v>
      </c>
      <c r="J93" s="6" t="b">
        <v>1</v>
      </c>
      <c r="K93" s="6" t="b">
        <v>1</v>
      </c>
      <c r="L93" s="6" t="b">
        <v>1</v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1</v>
      </c>
      <c r="S93" s="6" t="b">
        <v>1</v>
      </c>
      <c r="T93" s="6" t="b">
        <v>1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1</v>
      </c>
      <c r="AJ93" s="6" t="b">
        <v>0</v>
      </c>
      <c r="AK93" s="6" t="b">
        <v>0</v>
      </c>
      <c r="AL93" s="17" t="str">
        <f t="shared" si="1"/>
        <v>14 dari 31 (45%)</v>
      </c>
    </row>
    <row r="94" ht="22.5" customHeight="1">
      <c r="A94" s="2">
        <v>93.0</v>
      </c>
      <c r="B94" s="11"/>
      <c r="C94" s="20">
        <v>59933.0</v>
      </c>
      <c r="D94" s="12" t="s">
        <v>68</v>
      </c>
      <c r="E94" s="12" t="s">
        <v>109</v>
      </c>
      <c r="F94" s="13"/>
      <c r="G94" s="6" t="b">
        <v>1</v>
      </c>
      <c r="H94" s="6" t="b">
        <v>1</v>
      </c>
      <c r="I94" s="6" t="b">
        <v>0</v>
      </c>
      <c r="J94" s="6" t="b">
        <v>1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1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0</v>
      </c>
      <c r="AJ94" s="6" t="b">
        <v>0</v>
      </c>
      <c r="AK94" s="6" t="b">
        <v>0</v>
      </c>
      <c r="AL94" s="9" t="str">
        <f t="shared" si="1"/>
        <v>13 dari 31 (42%)</v>
      </c>
    </row>
    <row r="95" ht="22.5" customHeight="1">
      <c r="A95" s="10">
        <v>94.0</v>
      </c>
      <c r="B95" s="11"/>
      <c r="C95" s="20">
        <v>60607.0</v>
      </c>
      <c r="D95" s="12" t="s">
        <v>51</v>
      </c>
      <c r="E95" s="12" t="s">
        <v>140</v>
      </c>
      <c r="F95" s="13"/>
      <c r="G95" s="6" t="b">
        <v>1</v>
      </c>
      <c r="H95" s="6" t="b">
        <v>1</v>
      </c>
      <c r="I95" s="6" t="b">
        <v>0</v>
      </c>
      <c r="J95" s="6" t="b">
        <v>1</v>
      </c>
      <c r="K95" s="6" t="b">
        <v>1</v>
      </c>
      <c r="L95" s="6" t="b">
        <v>1</v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1</v>
      </c>
      <c r="S95" s="6" t="b">
        <v>1</v>
      </c>
      <c r="T95" s="6" t="b">
        <v>1</v>
      </c>
      <c r="U95" s="6" t="b">
        <v>0</v>
      </c>
      <c r="V95" s="6" t="b">
        <v>0</v>
      </c>
      <c r="W95" s="6" t="b">
        <v>1</v>
      </c>
      <c r="X95" s="6" t="b">
        <v>1</v>
      </c>
      <c r="Y95" s="6" t="b">
        <v>1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0</v>
      </c>
      <c r="AJ95" s="6" t="b">
        <v>0</v>
      </c>
      <c r="AK95" s="6" t="b">
        <v>0</v>
      </c>
      <c r="AL95" s="9" t="str">
        <f t="shared" si="1"/>
        <v>16 dari 31 (52%)</v>
      </c>
    </row>
    <row r="96" ht="22.5" customHeight="1">
      <c r="A96" s="61">
        <v>95.0</v>
      </c>
      <c r="B96" s="62"/>
      <c r="C96" s="60">
        <v>61177.0</v>
      </c>
      <c r="D96" s="51" t="s">
        <v>51</v>
      </c>
      <c r="E96" s="51" t="s">
        <v>140</v>
      </c>
      <c r="F96" s="53"/>
      <c r="G96" s="35" t="b">
        <v>0</v>
      </c>
      <c r="H96" s="35" t="b">
        <v>0</v>
      </c>
      <c r="I96" s="35" t="b">
        <v>0</v>
      </c>
      <c r="J96" s="35" t="b">
        <v>0</v>
      </c>
      <c r="K96" s="35" t="b">
        <v>0</v>
      </c>
      <c r="L96" s="35" t="b">
        <v>0</v>
      </c>
      <c r="M96" s="35" t="b">
        <v>0</v>
      </c>
      <c r="N96" s="35" t="b">
        <v>0</v>
      </c>
      <c r="O96" s="35" t="b">
        <v>0</v>
      </c>
      <c r="P96" s="35" t="b">
        <v>0</v>
      </c>
      <c r="Q96" s="35" t="b">
        <v>0</v>
      </c>
      <c r="R96" s="35" t="b">
        <v>0</v>
      </c>
      <c r="S96" s="35" t="b">
        <v>0</v>
      </c>
      <c r="T96" s="35" t="b">
        <v>0</v>
      </c>
      <c r="U96" s="35" t="b">
        <v>0</v>
      </c>
      <c r="V96" s="35" t="b">
        <v>0</v>
      </c>
      <c r="W96" s="35" t="b">
        <v>0</v>
      </c>
      <c r="X96" s="35" t="b">
        <v>0</v>
      </c>
      <c r="Y96" s="35" t="b">
        <v>0</v>
      </c>
      <c r="Z96" s="35" t="b">
        <v>0</v>
      </c>
      <c r="AA96" s="35" t="b">
        <v>0</v>
      </c>
      <c r="AB96" s="35" t="b">
        <v>0</v>
      </c>
      <c r="AC96" s="35" t="b">
        <v>0</v>
      </c>
      <c r="AD96" s="35" t="b">
        <v>0</v>
      </c>
      <c r="AE96" s="35" t="b">
        <v>0</v>
      </c>
      <c r="AF96" s="35" t="b">
        <v>0</v>
      </c>
      <c r="AG96" s="35" t="b">
        <v>0</v>
      </c>
      <c r="AH96" s="35" t="b">
        <v>0</v>
      </c>
      <c r="AI96" s="35" t="b">
        <v>0</v>
      </c>
      <c r="AJ96" s="35" t="b">
        <v>0</v>
      </c>
      <c r="AK96" s="35" t="b">
        <v>0</v>
      </c>
      <c r="AL96" s="64" t="str">
        <f t="shared" si="1"/>
        <v>0 dari 31 (0%)</v>
      </c>
    </row>
    <row r="97" ht="22.5" customHeight="1">
      <c r="A97" s="2">
        <v>96.0</v>
      </c>
      <c r="B97" s="11"/>
      <c r="C97" s="22">
        <v>61178.0</v>
      </c>
      <c r="D97" s="12" t="s">
        <v>51</v>
      </c>
      <c r="E97" s="12" t="s">
        <v>140</v>
      </c>
      <c r="F97" s="13"/>
      <c r="G97" s="6" t="b">
        <v>1</v>
      </c>
      <c r="H97" s="6" t="b">
        <v>1</v>
      </c>
      <c r="I97" s="6" t="b">
        <v>1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1</v>
      </c>
      <c r="S97" s="6" t="b">
        <v>1</v>
      </c>
      <c r="T97" s="6" t="b">
        <v>1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1</v>
      </c>
      <c r="AJ97" s="6" t="b">
        <v>0</v>
      </c>
      <c r="AK97" s="6" t="b">
        <v>0</v>
      </c>
      <c r="AL97" s="9" t="str">
        <f t="shared" si="1"/>
        <v>15 dari 31 (48%)</v>
      </c>
    </row>
    <row r="98" ht="22.5" customHeight="1">
      <c r="A98" s="10">
        <v>97.0</v>
      </c>
      <c r="B98" s="11"/>
      <c r="C98" s="22">
        <v>59554.0</v>
      </c>
      <c r="D98" s="12" t="s">
        <v>51</v>
      </c>
      <c r="E98" s="12" t="s">
        <v>140</v>
      </c>
      <c r="F98" s="13"/>
      <c r="G98" s="6" t="b">
        <v>1</v>
      </c>
      <c r="H98" s="6" t="b">
        <v>1</v>
      </c>
      <c r="I98" s="6" t="b">
        <v>0</v>
      </c>
      <c r="J98" s="6" t="b">
        <v>1</v>
      </c>
      <c r="K98" s="6" t="b">
        <v>1</v>
      </c>
      <c r="L98" s="6" t="b">
        <v>1</v>
      </c>
      <c r="M98" s="6" t="b">
        <v>1</v>
      </c>
      <c r="N98" s="6" t="b">
        <v>1</v>
      </c>
      <c r="O98" s="6" t="b">
        <v>1</v>
      </c>
      <c r="P98" s="6" t="b">
        <v>1</v>
      </c>
      <c r="Q98" s="6" t="b">
        <v>1</v>
      </c>
      <c r="R98" s="6" t="b">
        <v>1</v>
      </c>
      <c r="S98" s="6" t="b">
        <v>1</v>
      </c>
      <c r="T98" s="6" t="b">
        <v>1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13 dari 31 (42%)</v>
      </c>
    </row>
    <row r="99" ht="22.5" customHeight="1">
      <c r="A99" s="61">
        <v>98.0</v>
      </c>
      <c r="B99" s="62"/>
      <c r="C99" s="32">
        <v>21369.0</v>
      </c>
      <c r="D99" s="51" t="s">
        <v>101</v>
      </c>
      <c r="E99" s="51" t="s">
        <v>122</v>
      </c>
      <c r="F99" s="53"/>
      <c r="G99" s="35" t="b">
        <v>0</v>
      </c>
      <c r="H99" s="35" t="b">
        <v>0</v>
      </c>
      <c r="I99" s="35" t="b">
        <v>0</v>
      </c>
      <c r="J99" s="35" t="b">
        <v>0</v>
      </c>
      <c r="K99" s="35" t="b">
        <v>0</v>
      </c>
      <c r="L99" s="35" t="b">
        <v>0</v>
      </c>
      <c r="M99" s="35" t="b">
        <v>0</v>
      </c>
      <c r="N99" s="35" t="b">
        <v>0</v>
      </c>
      <c r="O99" s="35" t="b">
        <v>0</v>
      </c>
      <c r="P99" s="35" t="b">
        <v>0</v>
      </c>
      <c r="Q99" s="35" t="b">
        <v>0</v>
      </c>
      <c r="R99" s="35" t="b">
        <v>0</v>
      </c>
      <c r="S99" s="35" t="b">
        <v>0</v>
      </c>
      <c r="T99" s="35" t="b">
        <v>0</v>
      </c>
      <c r="U99" s="35" t="b">
        <v>0</v>
      </c>
      <c r="V99" s="35" t="b">
        <v>0</v>
      </c>
      <c r="W99" s="35" t="b">
        <v>0</v>
      </c>
      <c r="X99" s="35" t="b">
        <v>0</v>
      </c>
      <c r="Y99" s="35" t="b">
        <v>0</v>
      </c>
      <c r="Z99" s="35" t="b">
        <v>0</v>
      </c>
      <c r="AA99" s="35" t="b">
        <v>0</v>
      </c>
      <c r="AB99" s="35" t="b">
        <v>0</v>
      </c>
      <c r="AC99" s="35" t="b">
        <v>0</v>
      </c>
      <c r="AD99" s="35" t="b">
        <v>0</v>
      </c>
      <c r="AE99" s="35" t="b">
        <v>0</v>
      </c>
      <c r="AF99" s="35" t="b">
        <v>0</v>
      </c>
      <c r="AG99" s="35" t="b">
        <v>0</v>
      </c>
      <c r="AH99" s="35" t="b">
        <v>0</v>
      </c>
      <c r="AI99" s="35" t="b">
        <v>0</v>
      </c>
      <c r="AJ99" s="35" t="b">
        <v>0</v>
      </c>
      <c r="AK99" s="35" t="b">
        <v>0</v>
      </c>
      <c r="AL99" s="64" t="str">
        <f t="shared" si="1"/>
        <v>0 dari 31 (0%)</v>
      </c>
    </row>
    <row r="100" ht="22.5" customHeight="1">
      <c r="A100" s="2">
        <v>99.0</v>
      </c>
      <c r="B100" s="11"/>
      <c r="C100" s="22">
        <v>59531.0</v>
      </c>
      <c r="D100" s="12" t="s">
        <v>56</v>
      </c>
      <c r="E100" s="12" t="s">
        <v>88</v>
      </c>
      <c r="F100" s="13"/>
      <c r="G100" s="6" t="b">
        <v>1</v>
      </c>
      <c r="H100" s="6" t="b">
        <v>1</v>
      </c>
      <c r="I100" s="6" t="b">
        <v>1</v>
      </c>
      <c r="J100" s="6" t="b">
        <v>1</v>
      </c>
      <c r="K100" s="6" t="b">
        <v>1</v>
      </c>
      <c r="L100" s="6" t="b">
        <v>1</v>
      </c>
      <c r="M100" s="6" t="b">
        <v>1</v>
      </c>
      <c r="N100" s="6" t="b">
        <v>1</v>
      </c>
      <c r="O100" s="6" t="b">
        <v>1</v>
      </c>
      <c r="P100" s="6" t="b">
        <v>1</v>
      </c>
      <c r="Q100" s="6" t="b">
        <v>1</v>
      </c>
      <c r="R100" s="6" t="b">
        <v>1</v>
      </c>
      <c r="S100" s="6" t="b">
        <v>1</v>
      </c>
      <c r="T100" s="6" t="b">
        <v>1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0</v>
      </c>
      <c r="AJ100" s="6" t="b">
        <v>0</v>
      </c>
      <c r="AK100" s="6" t="b">
        <v>0</v>
      </c>
      <c r="AL100" s="9" t="str">
        <f t="shared" si="1"/>
        <v>14 dari 31 (45%)</v>
      </c>
    </row>
    <row r="101" ht="22.5" customHeight="1">
      <c r="A101" s="10">
        <v>100.0</v>
      </c>
      <c r="B101" s="11"/>
      <c r="C101" s="22">
        <v>60961.0</v>
      </c>
      <c r="D101" s="12" t="s">
        <v>68</v>
      </c>
      <c r="E101" s="12" t="s">
        <v>155</v>
      </c>
      <c r="F101" s="13"/>
      <c r="G101" s="6" t="b">
        <v>1</v>
      </c>
      <c r="H101" s="6" t="b">
        <v>1</v>
      </c>
      <c r="I101" s="6" t="b">
        <v>1</v>
      </c>
      <c r="J101" s="6" t="b">
        <v>1</v>
      </c>
      <c r="K101" s="6" t="b">
        <v>1</v>
      </c>
      <c r="L101" s="6" t="b">
        <v>1</v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b">
        <v>1</v>
      </c>
      <c r="T101" s="6" t="b">
        <v>1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1</v>
      </c>
      <c r="AJ101" s="6" t="b">
        <v>0</v>
      </c>
      <c r="AK101" s="6" t="b">
        <v>0</v>
      </c>
      <c r="AL101" s="9" t="str">
        <f t="shared" si="1"/>
        <v>15 dari 31 (48%)</v>
      </c>
    </row>
    <row r="102" ht="22.5" customHeight="1">
      <c r="A102" s="10">
        <v>101.0</v>
      </c>
      <c r="B102" s="11"/>
      <c r="C102" s="20">
        <v>60625.0</v>
      </c>
      <c r="D102" s="12" t="s">
        <v>68</v>
      </c>
      <c r="E102" s="12" t="s">
        <v>109</v>
      </c>
      <c r="F102" s="13"/>
      <c r="G102" s="6" t="b">
        <v>1</v>
      </c>
      <c r="H102" s="6" t="b">
        <v>1</v>
      </c>
      <c r="I102" s="6" t="b">
        <v>0</v>
      </c>
      <c r="J102" s="6" t="b">
        <v>1</v>
      </c>
      <c r="K102" s="6" t="b">
        <v>1</v>
      </c>
      <c r="L102" s="6" t="b">
        <v>1</v>
      </c>
      <c r="M102" s="6" t="b">
        <v>1</v>
      </c>
      <c r="N102" s="6" t="b">
        <v>1</v>
      </c>
      <c r="O102" s="6" t="b">
        <v>1</v>
      </c>
      <c r="P102" s="6" t="b">
        <v>1</v>
      </c>
      <c r="Q102" s="6" t="b">
        <v>1</v>
      </c>
      <c r="R102" s="6" t="b">
        <v>1</v>
      </c>
      <c r="S102" s="6" t="b">
        <v>1</v>
      </c>
      <c r="T102" s="6" t="b">
        <v>1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1</v>
      </c>
      <c r="AJ102" s="6" t="b">
        <v>0</v>
      </c>
      <c r="AK102" s="6" t="b">
        <v>0</v>
      </c>
      <c r="AL102" s="17" t="str">
        <f t="shared" si="1"/>
        <v>14 dari 31 (45%)</v>
      </c>
    </row>
    <row r="103" ht="22.5" customHeight="1">
      <c r="A103" s="2">
        <v>102.0</v>
      </c>
      <c r="B103" s="11"/>
      <c r="C103" s="20">
        <v>54503.0</v>
      </c>
      <c r="D103" s="12" t="s">
        <v>74</v>
      </c>
      <c r="E103" s="12" t="s">
        <v>104</v>
      </c>
      <c r="F103" s="15" t="s">
        <v>50</v>
      </c>
      <c r="G103" s="6" t="b">
        <v>1</v>
      </c>
      <c r="H103" s="6" t="b">
        <v>0</v>
      </c>
      <c r="I103" s="6" t="b">
        <v>0</v>
      </c>
      <c r="J103" s="6" t="b">
        <v>0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  <c r="P103" s="6" t="b">
        <v>0</v>
      </c>
      <c r="Q103" s="6" t="b">
        <v>0</v>
      </c>
      <c r="R103" s="6" t="b">
        <v>0</v>
      </c>
      <c r="S103" s="6" t="b">
        <v>0</v>
      </c>
      <c r="T103" s="6" t="b">
        <v>0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1 dari 31 (3%)</v>
      </c>
    </row>
    <row r="104" ht="22.5" customHeight="1">
      <c r="A104" s="10">
        <v>103.0</v>
      </c>
      <c r="B104" s="11"/>
      <c r="C104" s="20">
        <v>58140.0</v>
      </c>
      <c r="D104" s="12" t="s">
        <v>98</v>
      </c>
      <c r="E104" s="12" t="s">
        <v>104</v>
      </c>
      <c r="F104" s="13"/>
      <c r="G104" s="6" t="b">
        <v>1</v>
      </c>
      <c r="H104" s="6" t="b">
        <v>1</v>
      </c>
      <c r="I104" s="6" t="b">
        <v>0</v>
      </c>
      <c r="J104" s="6" t="b">
        <v>1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1</v>
      </c>
      <c r="AJ104" s="6" t="b">
        <v>0</v>
      </c>
      <c r="AK104" s="6" t="b">
        <v>0</v>
      </c>
      <c r="AL104" s="9" t="str">
        <f t="shared" si="1"/>
        <v>14 dari 31 (45%)</v>
      </c>
    </row>
    <row r="105" ht="22.5" customHeight="1">
      <c r="A105" s="10">
        <v>104.0</v>
      </c>
      <c r="B105" s="11"/>
      <c r="C105" s="20">
        <v>48050.0</v>
      </c>
      <c r="D105" s="12" t="s">
        <v>141</v>
      </c>
      <c r="E105" s="12" t="s">
        <v>142</v>
      </c>
      <c r="F105" s="15" t="s">
        <v>50</v>
      </c>
      <c r="G105" s="6" t="b">
        <v>1</v>
      </c>
      <c r="H105" s="6" t="b">
        <v>0</v>
      </c>
      <c r="I105" s="6" t="b">
        <v>0</v>
      </c>
      <c r="J105" s="6" t="b">
        <v>0</v>
      </c>
      <c r="K105" s="6" t="b">
        <v>0</v>
      </c>
      <c r="L105" s="6" t="b">
        <v>0</v>
      </c>
      <c r="M105" s="6" t="b">
        <v>0</v>
      </c>
      <c r="N105" s="6" t="b">
        <v>0</v>
      </c>
      <c r="O105" s="6" t="b">
        <v>0</v>
      </c>
      <c r="P105" s="6" t="b">
        <v>0</v>
      </c>
      <c r="Q105" s="6" t="b">
        <v>0</v>
      </c>
      <c r="R105" s="6" t="b">
        <v>0</v>
      </c>
      <c r="S105" s="6" t="b">
        <v>0</v>
      </c>
      <c r="T105" s="6" t="b">
        <v>0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17" t="str">
        <f t="shared" si="1"/>
        <v>1 dari 31 (3%)</v>
      </c>
    </row>
    <row r="106" ht="22.5" customHeight="1">
      <c r="A106" s="2">
        <v>105.0</v>
      </c>
      <c r="B106" s="11"/>
      <c r="C106" s="20">
        <v>61182.0</v>
      </c>
      <c r="D106" s="12" t="s">
        <v>98</v>
      </c>
      <c r="E106" s="12" t="s">
        <v>142</v>
      </c>
      <c r="F106" s="13"/>
      <c r="G106" s="6" t="b">
        <v>1</v>
      </c>
      <c r="H106" s="6" t="b">
        <v>1</v>
      </c>
      <c r="I106" s="6" t="b">
        <v>1</v>
      </c>
      <c r="J106" s="6" t="b">
        <v>1</v>
      </c>
      <c r="K106" s="6" t="b">
        <v>1</v>
      </c>
      <c r="L106" s="6" t="b">
        <v>1</v>
      </c>
      <c r="M106" s="6" t="b">
        <v>1</v>
      </c>
      <c r="N106" s="6" t="b">
        <v>1</v>
      </c>
      <c r="O106" s="6" t="b">
        <v>1</v>
      </c>
      <c r="P106" s="6" t="b">
        <v>1</v>
      </c>
      <c r="Q106" s="6" t="b">
        <v>1</v>
      </c>
      <c r="R106" s="6" t="b">
        <v>1</v>
      </c>
      <c r="S106" s="6" t="b">
        <v>1</v>
      </c>
      <c r="T106" s="6" t="b">
        <v>1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0</v>
      </c>
      <c r="AJ106" s="6" t="b">
        <v>0</v>
      </c>
      <c r="AK106" s="6" t="b">
        <v>0</v>
      </c>
      <c r="AL106" s="9" t="str">
        <f t="shared" si="1"/>
        <v>14 dari 31 (45%)</v>
      </c>
    </row>
    <row r="107" ht="22.5" customHeight="1">
      <c r="A107" s="10">
        <v>106.0</v>
      </c>
      <c r="B107" s="11"/>
      <c r="C107" s="22">
        <v>61183.0</v>
      </c>
      <c r="D107" s="12" t="s">
        <v>161</v>
      </c>
      <c r="E107" s="12" t="s">
        <v>162</v>
      </c>
      <c r="F107" s="15" t="s">
        <v>50</v>
      </c>
      <c r="G107" s="6" t="b">
        <v>1</v>
      </c>
      <c r="H107" s="6" t="b">
        <v>0</v>
      </c>
      <c r="I107" s="6" t="b">
        <v>0</v>
      </c>
      <c r="J107" s="6" t="b">
        <v>0</v>
      </c>
      <c r="K107" s="6" t="b">
        <v>0</v>
      </c>
      <c r="L107" s="6" t="b">
        <v>0</v>
      </c>
      <c r="M107" s="6" t="b">
        <v>0</v>
      </c>
      <c r="N107" s="6" t="b">
        <v>0</v>
      </c>
      <c r="O107" s="6" t="b">
        <v>0</v>
      </c>
      <c r="P107" s="6" t="b">
        <v>0</v>
      </c>
      <c r="Q107" s="6" t="b">
        <v>0</v>
      </c>
      <c r="R107" s="6" t="b">
        <v>0</v>
      </c>
      <c r="S107" s="6" t="b">
        <v>0</v>
      </c>
      <c r="T107" s="6" t="b">
        <v>0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0</v>
      </c>
      <c r="AJ107" s="6" t="b">
        <v>0</v>
      </c>
      <c r="AK107" s="6" t="b">
        <v>0</v>
      </c>
      <c r="AL107" s="9" t="str">
        <f t="shared" si="1"/>
        <v>1 dari 31 (3%)</v>
      </c>
    </row>
    <row r="108" ht="22.5" customHeight="1">
      <c r="A108" s="10">
        <v>107.0</v>
      </c>
      <c r="B108" s="11"/>
      <c r="C108" s="22">
        <v>46506.0</v>
      </c>
      <c r="D108" s="12" t="s">
        <v>63</v>
      </c>
      <c r="E108" s="12" t="s">
        <v>87</v>
      </c>
      <c r="F108" s="13"/>
      <c r="G108" s="6" t="b">
        <v>1</v>
      </c>
      <c r="H108" s="6" t="b">
        <v>1</v>
      </c>
      <c r="I108" s="6" t="b">
        <v>1</v>
      </c>
      <c r="J108" s="6" t="b">
        <v>1</v>
      </c>
      <c r="K108" s="6" t="b">
        <v>1</v>
      </c>
      <c r="L108" s="6" t="b">
        <v>1</v>
      </c>
      <c r="M108" s="6" t="b">
        <v>1</v>
      </c>
      <c r="N108" s="6" t="b">
        <v>1</v>
      </c>
      <c r="O108" s="6" t="b">
        <v>1</v>
      </c>
      <c r="P108" s="6" t="b">
        <v>1</v>
      </c>
      <c r="Q108" s="6" t="b">
        <v>1</v>
      </c>
      <c r="R108" s="6" t="b">
        <v>0</v>
      </c>
      <c r="S108" s="6" t="b">
        <v>1</v>
      </c>
      <c r="T108" s="6" t="b">
        <v>1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1</v>
      </c>
      <c r="AJ108" s="6" t="b">
        <v>0</v>
      </c>
      <c r="AK108" s="6" t="b">
        <v>0</v>
      </c>
      <c r="AL108" s="17" t="str">
        <f t="shared" si="1"/>
        <v>14 dari 31 (45%)</v>
      </c>
    </row>
    <row r="109" ht="22.5" customHeight="1">
      <c r="A109" s="2">
        <v>108.0</v>
      </c>
      <c r="B109" s="11"/>
      <c r="C109" s="22">
        <v>61184.0</v>
      </c>
      <c r="D109" s="12" t="s">
        <v>39</v>
      </c>
      <c r="E109" s="12" t="s">
        <v>57</v>
      </c>
      <c r="F109" s="13"/>
      <c r="G109" s="6" t="b">
        <v>1</v>
      </c>
      <c r="H109" s="6" t="b">
        <v>1</v>
      </c>
      <c r="I109" s="6" t="b">
        <v>1</v>
      </c>
      <c r="J109" s="6" t="b">
        <v>1</v>
      </c>
      <c r="K109" s="6" t="b">
        <v>1</v>
      </c>
      <c r="L109" s="6" t="b">
        <v>1</v>
      </c>
      <c r="M109" s="6" t="b">
        <v>1</v>
      </c>
      <c r="N109" s="6" t="b">
        <v>1</v>
      </c>
      <c r="O109" s="6" t="b">
        <v>1</v>
      </c>
      <c r="P109" s="6" t="b">
        <v>1</v>
      </c>
      <c r="Q109" s="6" t="b">
        <v>1</v>
      </c>
      <c r="R109" s="6" t="b">
        <v>1</v>
      </c>
      <c r="S109" s="6" t="b">
        <v>1</v>
      </c>
      <c r="T109" s="6" t="b">
        <v>1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1</v>
      </c>
      <c r="AA109" s="6" t="b">
        <v>1</v>
      </c>
      <c r="AB109" s="6" t="b">
        <v>1</v>
      </c>
      <c r="AC109" s="6" t="b">
        <v>1</v>
      </c>
      <c r="AD109" s="6" t="b">
        <v>1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1</v>
      </c>
      <c r="AJ109" s="6" t="b">
        <v>0</v>
      </c>
      <c r="AK109" s="6" t="b">
        <v>0</v>
      </c>
      <c r="AL109" s="9" t="str">
        <f t="shared" si="1"/>
        <v>20 dari 31 (65%)</v>
      </c>
    </row>
    <row r="110" ht="22.5" customHeight="1">
      <c r="A110" s="10">
        <v>109.0</v>
      </c>
      <c r="B110" s="11"/>
      <c r="C110" s="22">
        <v>61185.0</v>
      </c>
      <c r="D110" s="12" t="s">
        <v>98</v>
      </c>
      <c r="E110" s="12" t="s">
        <v>142</v>
      </c>
      <c r="F110" s="13"/>
      <c r="G110" s="6" t="b">
        <v>1</v>
      </c>
      <c r="H110" s="6" t="b">
        <v>1</v>
      </c>
      <c r="I110" s="6" t="b">
        <v>0</v>
      </c>
      <c r="J110" s="6" t="b">
        <v>1</v>
      </c>
      <c r="K110" s="6" t="b">
        <v>1</v>
      </c>
      <c r="L110" s="6" t="b">
        <v>1</v>
      </c>
      <c r="M110" s="6" t="b">
        <v>1</v>
      </c>
      <c r="N110" s="6" t="b">
        <v>1</v>
      </c>
      <c r="O110" s="6" t="b">
        <v>1</v>
      </c>
      <c r="P110" s="6" t="b">
        <v>1</v>
      </c>
      <c r="Q110" s="6" t="b">
        <v>1</v>
      </c>
      <c r="R110" s="6" t="b">
        <v>1</v>
      </c>
      <c r="S110" s="6" t="b">
        <v>1</v>
      </c>
      <c r="T110" s="6" t="b">
        <v>0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0</v>
      </c>
      <c r="AJ110" s="6" t="b">
        <v>0</v>
      </c>
      <c r="AK110" s="6" t="b">
        <v>0</v>
      </c>
      <c r="AL110" s="9" t="str">
        <f t="shared" si="1"/>
        <v>12 dari 31 (39%)</v>
      </c>
    </row>
    <row r="111" ht="22.5" customHeight="1">
      <c r="A111" s="61">
        <v>110.0</v>
      </c>
      <c r="B111" s="62"/>
      <c r="C111" s="32">
        <v>57958.0</v>
      </c>
      <c r="D111" s="51" t="s">
        <v>68</v>
      </c>
      <c r="E111" s="51" t="s">
        <v>109</v>
      </c>
      <c r="F111" s="53"/>
      <c r="G111" s="35" t="b">
        <v>0</v>
      </c>
      <c r="H111" s="35" t="b">
        <v>0</v>
      </c>
      <c r="I111" s="35" t="b">
        <v>0</v>
      </c>
      <c r="J111" s="35" t="b">
        <v>0</v>
      </c>
      <c r="K111" s="35" t="b">
        <v>0</v>
      </c>
      <c r="L111" s="35" t="b">
        <v>0</v>
      </c>
      <c r="M111" s="35" t="b">
        <v>0</v>
      </c>
      <c r="N111" s="35" t="b">
        <v>0</v>
      </c>
      <c r="O111" s="35" t="b">
        <v>0</v>
      </c>
      <c r="P111" s="35" t="b">
        <v>0</v>
      </c>
      <c r="Q111" s="35" t="b">
        <v>0</v>
      </c>
      <c r="R111" s="35" t="b">
        <v>0</v>
      </c>
      <c r="S111" s="35" t="b">
        <v>0</v>
      </c>
      <c r="T111" s="35" t="b">
        <v>0</v>
      </c>
      <c r="U111" s="35" t="b">
        <v>0</v>
      </c>
      <c r="V111" s="35" t="b">
        <v>0</v>
      </c>
      <c r="W111" s="35" t="b">
        <v>0</v>
      </c>
      <c r="X111" s="35" t="b">
        <v>0</v>
      </c>
      <c r="Y111" s="35" t="b">
        <v>0</v>
      </c>
      <c r="Z111" s="35" t="b">
        <v>0</v>
      </c>
      <c r="AA111" s="35" t="b">
        <v>0</v>
      </c>
      <c r="AB111" s="35" t="b">
        <v>0</v>
      </c>
      <c r="AC111" s="35" t="b">
        <v>0</v>
      </c>
      <c r="AD111" s="35" t="b">
        <v>0</v>
      </c>
      <c r="AE111" s="35" t="b">
        <v>0</v>
      </c>
      <c r="AF111" s="35" t="b">
        <v>0</v>
      </c>
      <c r="AG111" s="35" t="b">
        <v>0</v>
      </c>
      <c r="AH111" s="35" t="b">
        <v>0</v>
      </c>
      <c r="AI111" s="35" t="b">
        <v>0</v>
      </c>
      <c r="AJ111" s="35" t="b">
        <v>0</v>
      </c>
      <c r="AK111" s="35" t="b">
        <v>0</v>
      </c>
      <c r="AL111" s="64" t="str">
        <f t="shared" si="1"/>
        <v>0 dari 31 (0%)</v>
      </c>
    </row>
    <row r="112" ht="22.5" customHeight="1">
      <c r="A112" s="2">
        <v>111.0</v>
      </c>
      <c r="B112" s="11"/>
      <c r="C112" s="20">
        <v>61186.0</v>
      </c>
      <c r="D112" s="12" t="s">
        <v>98</v>
      </c>
      <c r="E112" s="12" t="s">
        <v>142</v>
      </c>
      <c r="F112" s="13"/>
      <c r="G112" s="6" t="b">
        <v>1</v>
      </c>
      <c r="H112" s="6" t="b">
        <v>1</v>
      </c>
      <c r="I112" s="6" t="b">
        <v>0</v>
      </c>
      <c r="J112" s="6" t="b">
        <v>1</v>
      </c>
      <c r="K112" s="6" t="b">
        <v>1</v>
      </c>
      <c r="L112" s="6" t="b">
        <v>1</v>
      </c>
      <c r="M112" s="6" t="b">
        <v>1</v>
      </c>
      <c r="N112" s="6" t="b">
        <v>1</v>
      </c>
      <c r="O112" s="6" t="b">
        <v>1</v>
      </c>
      <c r="P112" s="6" t="b">
        <v>1</v>
      </c>
      <c r="Q112" s="6" t="b">
        <v>1</v>
      </c>
      <c r="R112" s="6" t="b">
        <v>1</v>
      </c>
      <c r="S112" s="6" t="b">
        <v>1</v>
      </c>
      <c r="T112" s="6" t="b">
        <v>0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0</v>
      </c>
      <c r="AJ112" s="6" t="b">
        <v>0</v>
      </c>
      <c r="AK112" s="6" t="b">
        <v>0</v>
      </c>
      <c r="AL112" s="9" t="str">
        <f t="shared" si="1"/>
        <v>12 dari 31 (39%)</v>
      </c>
    </row>
    <row r="113" ht="22.5" customHeight="1">
      <c r="A113" s="10">
        <v>112.0</v>
      </c>
      <c r="B113" s="11"/>
      <c r="C113" s="20">
        <v>61012.0</v>
      </c>
      <c r="D113" s="12" t="s">
        <v>74</v>
      </c>
      <c r="E113" s="12" t="s">
        <v>104</v>
      </c>
      <c r="F113" s="13"/>
      <c r="G113" s="6" t="b">
        <v>1</v>
      </c>
      <c r="H113" s="6" t="b">
        <v>1</v>
      </c>
      <c r="I113" s="6" t="b">
        <v>0</v>
      </c>
      <c r="J113" s="6" t="b">
        <v>1</v>
      </c>
      <c r="K113" s="6" t="b">
        <v>1</v>
      </c>
      <c r="L113" s="6" t="b">
        <v>1</v>
      </c>
      <c r="M113" s="6" t="b">
        <v>1</v>
      </c>
      <c r="N113" s="6" t="b">
        <v>1</v>
      </c>
      <c r="O113" s="6" t="b">
        <v>1</v>
      </c>
      <c r="P113" s="6" t="b">
        <v>1</v>
      </c>
      <c r="Q113" s="6" t="b">
        <v>1</v>
      </c>
      <c r="R113" s="6" t="b">
        <v>1</v>
      </c>
      <c r="S113" s="6" t="b">
        <v>1</v>
      </c>
      <c r="T113" s="6" t="b">
        <v>0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0</v>
      </c>
      <c r="AJ113" s="6" t="b">
        <v>0</v>
      </c>
      <c r="AK113" s="6" t="b">
        <v>0</v>
      </c>
      <c r="AL113" s="9" t="str">
        <f t="shared" si="1"/>
        <v>12 dari 31 (39%)</v>
      </c>
    </row>
    <row r="114" ht="22.5" customHeight="1">
      <c r="A114" s="10">
        <v>113.0</v>
      </c>
      <c r="B114" s="11"/>
      <c r="C114" s="20">
        <v>56138.0</v>
      </c>
      <c r="D114" s="12" t="s">
        <v>74</v>
      </c>
      <c r="E114" s="12" t="s">
        <v>75</v>
      </c>
      <c r="F114" s="13"/>
      <c r="G114" s="6" t="b">
        <v>1</v>
      </c>
      <c r="H114" s="6" t="b">
        <v>1</v>
      </c>
      <c r="I114" s="6" t="b">
        <v>0</v>
      </c>
      <c r="J114" s="6" t="b">
        <v>1</v>
      </c>
      <c r="K114" s="6" t="b">
        <v>1</v>
      </c>
      <c r="L114" s="6" t="b">
        <v>1</v>
      </c>
      <c r="M114" s="6" t="b">
        <v>1</v>
      </c>
      <c r="N114" s="6" t="b">
        <v>1</v>
      </c>
      <c r="O114" s="6" t="b">
        <v>1</v>
      </c>
      <c r="P114" s="6" t="b">
        <v>1</v>
      </c>
      <c r="Q114" s="6" t="b">
        <v>1</v>
      </c>
      <c r="R114" s="6" t="b">
        <v>1</v>
      </c>
      <c r="S114" s="6" t="b">
        <v>1</v>
      </c>
      <c r="T114" s="6" t="b">
        <v>1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0</v>
      </c>
      <c r="AJ114" s="6" t="b">
        <v>0</v>
      </c>
      <c r="AK114" s="6" t="b">
        <v>0</v>
      </c>
      <c r="AL114" s="17" t="str">
        <f t="shared" si="1"/>
        <v>13 dari 31 (42%)</v>
      </c>
    </row>
    <row r="115" ht="22.5" customHeight="1">
      <c r="A115" s="2">
        <v>114.0</v>
      </c>
      <c r="B115" s="11"/>
      <c r="C115" s="20">
        <v>61187.0</v>
      </c>
      <c r="D115" s="12" t="s">
        <v>101</v>
      </c>
      <c r="E115" s="12" t="s">
        <v>122</v>
      </c>
      <c r="F115" s="13"/>
      <c r="G115" s="6" t="b">
        <v>1</v>
      </c>
      <c r="H115" s="6" t="b">
        <v>1</v>
      </c>
      <c r="I115" s="6" t="b">
        <v>0</v>
      </c>
      <c r="J115" s="6" t="b">
        <v>1</v>
      </c>
      <c r="K115" s="6" t="b">
        <v>1</v>
      </c>
      <c r="L115" s="6" t="b">
        <v>1</v>
      </c>
      <c r="M115" s="6" t="b">
        <v>1</v>
      </c>
      <c r="N115" s="6" t="b">
        <v>1</v>
      </c>
      <c r="O115" s="6" t="b">
        <v>1</v>
      </c>
      <c r="P115" s="6" t="b">
        <v>1</v>
      </c>
      <c r="Q115" s="6" t="b">
        <v>1</v>
      </c>
      <c r="R115" s="6" t="b">
        <v>1</v>
      </c>
      <c r="S115" s="6" t="b">
        <v>1</v>
      </c>
      <c r="T115" s="6" t="b">
        <v>1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13 dari 31 (42%)</v>
      </c>
    </row>
    <row r="116" ht="22.5" customHeight="1">
      <c r="A116" s="10">
        <v>115.0</v>
      </c>
      <c r="B116" s="11"/>
      <c r="C116" s="20">
        <v>53909.0</v>
      </c>
      <c r="D116" s="12" t="s">
        <v>98</v>
      </c>
      <c r="E116" s="12" t="s">
        <v>86</v>
      </c>
      <c r="F116" s="13"/>
      <c r="G116" s="6" t="b">
        <v>1</v>
      </c>
      <c r="H116" s="6" t="b">
        <v>1</v>
      </c>
      <c r="I116" s="6" t="b">
        <v>1</v>
      </c>
      <c r="J116" s="6" t="b">
        <v>1</v>
      </c>
      <c r="K116" s="6" t="b">
        <v>1</v>
      </c>
      <c r="L116" s="6" t="b">
        <v>1</v>
      </c>
      <c r="M116" s="6" t="b">
        <v>1</v>
      </c>
      <c r="N116" s="6" t="b">
        <v>1</v>
      </c>
      <c r="O116" s="6" t="b">
        <v>0</v>
      </c>
      <c r="P116" s="6" t="b">
        <v>1</v>
      </c>
      <c r="Q116" s="6" t="b">
        <v>1</v>
      </c>
      <c r="R116" s="6" t="b">
        <v>1</v>
      </c>
      <c r="S116" s="6" t="b">
        <v>1</v>
      </c>
      <c r="T116" s="6" t="b">
        <v>1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1</v>
      </c>
      <c r="AA116" s="6" t="b">
        <v>1</v>
      </c>
      <c r="AB116" s="6" t="b">
        <v>1</v>
      </c>
      <c r="AC116" s="6" t="b">
        <v>1</v>
      </c>
      <c r="AD116" s="6" t="b">
        <v>1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1</v>
      </c>
      <c r="AJ116" s="6" t="b">
        <v>0</v>
      </c>
      <c r="AK116" s="6" t="b">
        <v>0</v>
      </c>
      <c r="AL116" s="9" t="str">
        <f t="shared" si="1"/>
        <v>19 dari 31 (61%)</v>
      </c>
    </row>
    <row r="117" ht="22.5" customHeight="1">
      <c r="A117" s="10">
        <v>116.0</v>
      </c>
      <c r="B117" s="11"/>
      <c r="C117" s="22">
        <v>30784.0</v>
      </c>
      <c r="D117" s="12" t="s">
        <v>85</v>
      </c>
      <c r="E117" s="12" t="s">
        <v>69</v>
      </c>
      <c r="F117" s="13"/>
      <c r="G117" s="6" t="b">
        <v>1</v>
      </c>
      <c r="H117" s="6" t="b">
        <v>1</v>
      </c>
      <c r="I117" s="6" t="b">
        <v>1</v>
      </c>
      <c r="J117" s="6" t="b">
        <v>1</v>
      </c>
      <c r="K117" s="6" t="b">
        <v>1</v>
      </c>
      <c r="L117" s="6" t="b">
        <v>1</v>
      </c>
      <c r="M117" s="6" t="b">
        <v>1</v>
      </c>
      <c r="N117" s="6" t="b">
        <v>1</v>
      </c>
      <c r="O117" s="6" t="b">
        <v>1</v>
      </c>
      <c r="P117" s="6" t="b">
        <v>1</v>
      </c>
      <c r="Q117" s="6" t="b">
        <v>1</v>
      </c>
      <c r="R117" s="6" t="b">
        <v>1</v>
      </c>
      <c r="S117" s="6" t="b">
        <v>1</v>
      </c>
      <c r="T117" s="6" t="b">
        <v>1</v>
      </c>
      <c r="U117" s="6" t="b">
        <v>0</v>
      </c>
      <c r="V117" s="6" t="b">
        <v>0</v>
      </c>
      <c r="W117" s="6" t="b">
        <v>1</v>
      </c>
      <c r="X117" s="6" t="b">
        <v>0</v>
      </c>
      <c r="Y117" s="6" t="b">
        <v>0</v>
      </c>
      <c r="Z117" s="6" t="b">
        <v>1</v>
      </c>
      <c r="AA117" s="6" t="b">
        <v>1</v>
      </c>
      <c r="AB117" s="6" t="b">
        <v>1</v>
      </c>
      <c r="AC117" s="6" t="b">
        <v>1</v>
      </c>
      <c r="AD117" s="6" t="b">
        <v>1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1</v>
      </c>
      <c r="AJ117" s="6" t="b">
        <v>0</v>
      </c>
      <c r="AK117" s="6" t="b">
        <v>0</v>
      </c>
      <c r="AL117" s="17" t="str">
        <f t="shared" si="1"/>
        <v>21 dari 31 (68%)</v>
      </c>
    </row>
    <row r="118" ht="22.5" customHeight="1">
      <c r="A118" s="2">
        <v>117.0</v>
      </c>
      <c r="B118" s="11"/>
      <c r="C118" s="22">
        <v>61188.0</v>
      </c>
      <c r="D118" s="12" t="s">
        <v>161</v>
      </c>
      <c r="E118" s="12" t="s">
        <v>162</v>
      </c>
      <c r="F118" s="15" t="s">
        <v>50</v>
      </c>
      <c r="G118" s="6" t="b">
        <v>1</v>
      </c>
      <c r="H118" s="6" t="b">
        <v>0</v>
      </c>
      <c r="I118" s="6" t="b">
        <v>0</v>
      </c>
      <c r="J118" s="6" t="b">
        <v>0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  <c r="P118" s="6" t="b">
        <v>0</v>
      </c>
      <c r="Q118" s="6" t="b">
        <v>0</v>
      </c>
      <c r="R118" s="6" t="b">
        <v>0</v>
      </c>
      <c r="S118" s="6" t="b">
        <v>0</v>
      </c>
      <c r="T118" s="6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0</v>
      </c>
      <c r="AJ118" s="6" t="b">
        <v>0</v>
      </c>
      <c r="AK118" s="6" t="b">
        <v>0</v>
      </c>
      <c r="AL118" s="9" t="str">
        <f t="shared" si="1"/>
        <v>1 dari 31 (3%)</v>
      </c>
    </row>
    <row r="119" ht="22.5" customHeight="1">
      <c r="A119" s="10">
        <v>118.0</v>
      </c>
      <c r="B119" s="11"/>
      <c r="C119" s="22">
        <v>47453.0</v>
      </c>
      <c r="D119" s="12" t="s">
        <v>40</v>
      </c>
      <c r="E119" s="12" t="s">
        <v>43</v>
      </c>
      <c r="F119" s="13"/>
      <c r="G119" s="6" t="b">
        <v>1</v>
      </c>
      <c r="H119" s="6" t="b">
        <v>1</v>
      </c>
      <c r="I119" s="6" t="b">
        <v>1</v>
      </c>
      <c r="J119" s="6" t="b">
        <v>1</v>
      </c>
      <c r="K119" s="6" t="b">
        <v>1</v>
      </c>
      <c r="L119" s="6" t="b">
        <v>1</v>
      </c>
      <c r="M119" s="6" t="b">
        <v>1</v>
      </c>
      <c r="N119" s="6" t="b">
        <v>1</v>
      </c>
      <c r="O119" s="6" t="b">
        <v>1</v>
      </c>
      <c r="P119" s="6" t="b">
        <v>1</v>
      </c>
      <c r="Q119" s="6" t="b">
        <v>1</v>
      </c>
      <c r="R119" s="6" t="b">
        <v>1</v>
      </c>
      <c r="S119" s="6" t="b">
        <v>1</v>
      </c>
      <c r="T119" s="6" t="b">
        <v>1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0</v>
      </c>
      <c r="AA119" s="6" t="b">
        <v>0</v>
      </c>
      <c r="AB119" s="6" t="b">
        <v>0</v>
      </c>
      <c r="AC119" s="6" t="b">
        <v>0</v>
      </c>
      <c r="AD119" s="6" t="b">
        <v>0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1</v>
      </c>
      <c r="AJ119" s="6" t="b">
        <v>0</v>
      </c>
      <c r="AK119" s="6" t="b">
        <v>0</v>
      </c>
      <c r="AL119" s="9" t="str">
        <f t="shared" si="1"/>
        <v>15 dari 31 (48%)</v>
      </c>
    </row>
    <row r="120" ht="22.5" customHeight="1">
      <c r="A120" s="10">
        <v>119.0</v>
      </c>
      <c r="B120" s="11"/>
      <c r="C120" s="65">
        <v>60828.0</v>
      </c>
      <c r="D120" s="12" t="s">
        <v>39</v>
      </c>
      <c r="E120" s="12" t="s">
        <v>57</v>
      </c>
      <c r="F120" s="13"/>
      <c r="G120" s="6" t="b">
        <v>1</v>
      </c>
      <c r="H120" s="6" t="b">
        <v>1</v>
      </c>
      <c r="I120" s="6" t="b">
        <v>1</v>
      </c>
      <c r="J120" s="6" t="b">
        <v>1</v>
      </c>
      <c r="K120" s="6" t="b">
        <v>1</v>
      </c>
      <c r="L120" s="6" t="b">
        <v>1</v>
      </c>
      <c r="M120" s="6" t="b">
        <v>1</v>
      </c>
      <c r="N120" s="6" t="b">
        <v>1</v>
      </c>
      <c r="O120" s="6" t="b">
        <v>1</v>
      </c>
      <c r="P120" s="6" t="b">
        <v>1</v>
      </c>
      <c r="Q120" s="6" t="b">
        <v>1</v>
      </c>
      <c r="R120" s="6" t="b">
        <v>1</v>
      </c>
      <c r="S120" s="6" t="b">
        <v>1</v>
      </c>
      <c r="T120" s="6" t="b">
        <v>1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1</v>
      </c>
      <c r="AJ120" s="6" t="b">
        <v>0</v>
      </c>
      <c r="AK120" s="6" t="b">
        <v>0</v>
      </c>
      <c r="AL120" s="17" t="str">
        <f t="shared" si="1"/>
        <v>15 dari 31 (48%)</v>
      </c>
    </row>
    <row r="121" ht="22.5" customHeight="1">
      <c r="A121" s="2">
        <v>120.0</v>
      </c>
      <c r="B121" s="11"/>
      <c r="C121" s="22">
        <v>61190.0</v>
      </c>
      <c r="D121" s="12" t="s">
        <v>98</v>
      </c>
      <c r="E121" s="12" t="s">
        <v>142</v>
      </c>
      <c r="F121" s="15" t="s">
        <v>50</v>
      </c>
      <c r="G121" s="6" t="b">
        <v>1</v>
      </c>
      <c r="H121" s="6" t="b">
        <v>1</v>
      </c>
      <c r="I121" s="6" t="b">
        <v>1</v>
      </c>
      <c r="J121" s="6" t="b">
        <v>1</v>
      </c>
      <c r="K121" s="6" t="b">
        <v>1</v>
      </c>
      <c r="L121" s="6" t="b">
        <v>1</v>
      </c>
      <c r="M121" s="6" t="b">
        <v>1</v>
      </c>
      <c r="N121" s="6" t="b">
        <v>1</v>
      </c>
      <c r="O121" s="6" t="b">
        <v>1</v>
      </c>
      <c r="P121" s="6" t="b">
        <v>1</v>
      </c>
      <c r="Q121" s="6" t="b">
        <v>1</v>
      </c>
      <c r="R121" s="6" t="b">
        <v>1</v>
      </c>
      <c r="S121" s="6" t="b">
        <v>1</v>
      </c>
      <c r="T121" s="6" t="b">
        <v>0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0</v>
      </c>
      <c r="AJ121" s="6" t="b">
        <v>0</v>
      </c>
      <c r="AK121" s="6" t="b">
        <v>0</v>
      </c>
      <c r="AL121" s="9" t="str">
        <f t="shared" si="1"/>
        <v>13 dari 31 (42%)</v>
      </c>
    </row>
    <row r="122" ht="22.5" customHeight="1">
      <c r="A122" s="10">
        <v>121.0</v>
      </c>
      <c r="B122" s="11"/>
      <c r="C122" s="22">
        <v>57968.0</v>
      </c>
      <c r="D122" s="20" t="s">
        <v>68</v>
      </c>
      <c r="E122" s="20" t="s">
        <v>109</v>
      </c>
      <c r="G122" s="6" t="b">
        <v>1</v>
      </c>
      <c r="H122" s="6" t="b">
        <v>1</v>
      </c>
      <c r="I122" s="6" t="b">
        <v>0</v>
      </c>
      <c r="J122" s="6" t="b">
        <v>1</v>
      </c>
      <c r="K122" s="6" t="b">
        <v>1</v>
      </c>
      <c r="L122" s="6" t="b">
        <v>1</v>
      </c>
      <c r="M122" s="6" t="b">
        <v>1</v>
      </c>
      <c r="N122" s="6" t="b">
        <v>1</v>
      </c>
      <c r="O122" s="6" t="b">
        <v>1</v>
      </c>
      <c r="P122" s="6" t="b">
        <v>1</v>
      </c>
      <c r="Q122" s="6" t="b">
        <v>1</v>
      </c>
      <c r="R122" s="6" t="b">
        <v>1</v>
      </c>
      <c r="S122" s="6" t="b">
        <v>1</v>
      </c>
      <c r="T122" s="6" t="b">
        <v>1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1</v>
      </c>
      <c r="AJ122" s="6" t="b">
        <v>0</v>
      </c>
      <c r="AK122" s="6" t="b">
        <v>0</v>
      </c>
      <c r="AL122" s="9" t="str">
        <f t="shared" si="1"/>
        <v>14 dari 31 (45%)</v>
      </c>
    </row>
    <row r="123" ht="22.5" customHeight="1">
      <c r="A123" s="10">
        <v>122.0</v>
      </c>
      <c r="B123" s="11"/>
      <c r="C123" s="22">
        <v>57744.0</v>
      </c>
      <c r="D123" s="20" t="s">
        <v>80</v>
      </c>
      <c r="E123" s="20" t="s">
        <v>154</v>
      </c>
      <c r="G123" s="6" t="b">
        <v>1</v>
      </c>
      <c r="H123" s="6" t="b">
        <v>1</v>
      </c>
      <c r="I123" s="6" t="b">
        <v>0</v>
      </c>
      <c r="J123" s="6" t="b">
        <v>1</v>
      </c>
      <c r="K123" s="6" t="b">
        <v>1</v>
      </c>
      <c r="L123" s="6" t="b">
        <v>1</v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1</v>
      </c>
      <c r="S123" s="6" t="b">
        <v>1</v>
      </c>
      <c r="T123" s="6" t="b">
        <v>1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1</v>
      </c>
      <c r="AJ123" s="6" t="b">
        <v>0</v>
      </c>
      <c r="AK123" s="6" t="b">
        <v>0</v>
      </c>
      <c r="AL123" s="17" t="str">
        <f t="shared" si="1"/>
        <v>14 dari 31 (45%)</v>
      </c>
    </row>
    <row r="124" ht="22.5" customHeight="1">
      <c r="A124" s="2">
        <v>123.0</v>
      </c>
      <c r="B124" s="11"/>
      <c r="C124" s="22">
        <v>56006.0</v>
      </c>
      <c r="D124" s="20" t="s">
        <v>74</v>
      </c>
      <c r="E124" s="20" t="s">
        <v>104</v>
      </c>
      <c r="G124" s="6" t="b">
        <v>1</v>
      </c>
      <c r="H124" s="6" t="b">
        <v>1</v>
      </c>
      <c r="I124" s="6" t="b">
        <v>0</v>
      </c>
      <c r="J124" s="6" t="b">
        <v>1</v>
      </c>
      <c r="K124" s="6" t="b">
        <v>1</v>
      </c>
      <c r="L124" s="6" t="b">
        <v>1</v>
      </c>
      <c r="M124" s="6" t="b">
        <v>1</v>
      </c>
      <c r="N124" s="6" t="b">
        <v>1</v>
      </c>
      <c r="O124" s="6" t="b">
        <v>1</v>
      </c>
      <c r="P124" s="6" t="b">
        <v>1</v>
      </c>
      <c r="Q124" s="6" t="b">
        <v>1</v>
      </c>
      <c r="R124" s="6" t="b">
        <v>1</v>
      </c>
      <c r="S124" s="6" t="b">
        <v>1</v>
      </c>
      <c r="T124" s="6" t="b">
        <v>0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0</v>
      </c>
      <c r="AJ124" s="6" t="b">
        <v>0</v>
      </c>
      <c r="AK124" s="6" t="b">
        <v>0</v>
      </c>
      <c r="AL124" s="9" t="str">
        <f t="shared" si="1"/>
        <v>12 dari 31 (39%)</v>
      </c>
    </row>
    <row r="125" ht="22.5" customHeight="1">
      <c r="A125" s="10">
        <v>124.0</v>
      </c>
      <c r="B125" s="11"/>
      <c r="C125" s="22">
        <v>50091.0</v>
      </c>
      <c r="D125" s="20" t="s">
        <v>85</v>
      </c>
      <c r="E125" s="20" t="s">
        <v>139</v>
      </c>
      <c r="F125" s="14" t="s">
        <v>50</v>
      </c>
      <c r="G125" s="6" t="b">
        <v>1</v>
      </c>
      <c r="H125" s="6" t="b">
        <v>0</v>
      </c>
      <c r="I125" s="6" t="b">
        <v>0</v>
      </c>
      <c r="J125" s="6" t="b">
        <v>0</v>
      </c>
      <c r="K125" s="6" t="b">
        <v>0</v>
      </c>
      <c r="L125" s="6" t="b">
        <v>0</v>
      </c>
      <c r="M125" s="6" t="b">
        <v>0</v>
      </c>
      <c r="N125" s="6" t="b">
        <v>0</v>
      </c>
      <c r="O125" s="6" t="b">
        <v>0</v>
      </c>
      <c r="P125" s="6" t="b">
        <v>0</v>
      </c>
      <c r="Q125" s="6" t="b">
        <v>0</v>
      </c>
      <c r="R125" s="6" t="b">
        <v>0</v>
      </c>
      <c r="S125" s="6" t="b">
        <v>0</v>
      </c>
      <c r="T125" s="6" t="b">
        <v>0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1</v>
      </c>
      <c r="AA125" s="6" t="b">
        <v>1</v>
      </c>
      <c r="AB125" s="6" t="b">
        <v>1</v>
      </c>
      <c r="AC125" s="6" t="b">
        <v>1</v>
      </c>
      <c r="AD125" s="6" t="b">
        <v>1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0</v>
      </c>
      <c r="AJ125" s="6" t="b">
        <v>0</v>
      </c>
      <c r="AK125" s="6" t="b">
        <v>0</v>
      </c>
      <c r="AL125" s="9" t="str">
        <f t="shared" si="1"/>
        <v>6 dari 31 (19%)</v>
      </c>
    </row>
    <row r="126" ht="22.5" customHeight="1">
      <c r="A126" s="10">
        <v>125.0</v>
      </c>
      <c r="B126" s="11"/>
      <c r="C126" s="22">
        <v>37021.0</v>
      </c>
      <c r="D126" s="20" t="s">
        <v>54</v>
      </c>
      <c r="E126" s="20" t="s">
        <v>155</v>
      </c>
      <c r="G126" s="6" t="b">
        <v>1</v>
      </c>
      <c r="H126" s="6" t="b">
        <v>1</v>
      </c>
      <c r="I126" s="6" t="b">
        <v>0</v>
      </c>
      <c r="J126" s="6" t="b">
        <v>1</v>
      </c>
      <c r="K126" s="6" t="b">
        <v>1</v>
      </c>
      <c r="L126" s="6" t="b">
        <v>1</v>
      </c>
      <c r="M126" s="6" t="b">
        <v>1</v>
      </c>
      <c r="N126" s="6" t="b">
        <v>1</v>
      </c>
      <c r="O126" s="6" t="b">
        <v>1</v>
      </c>
      <c r="P126" s="6" t="b">
        <v>1</v>
      </c>
      <c r="Q126" s="6" t="b">
        <v>1</v>
      </c>
      <c r="R126" s="6" t="b">
        <v>1</v>
      </c>
      <c r="S126" s="6" t="b">
        <v>1</v>
      </c>
      <c r="T126" s="6" t="b">
        <v>1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0</v>
      </c>
      <c r="AJ126" s="6" t="b">
        <v>0</v>
      </c>
      <c r="AK126" s="6" t="b">
        <v>0</v>
      </c>
      <c r="AL126" s="17" t="str">
        <f t="shared" si="1"/>
        <v>13 dari 31 (42%)</v>
      </c>
    </row>
    <row r="127" ht="22.5" customHeight="1">
      <c r="A127" s="2">
        <v>126.0</v>
      </c>
      <c r="B127" s="11"/>
      <c r="C127" s="22">
        <v>58217.0</v>
      </c>
      <c r="D127" s="20" t="s">
        <v>40</v>
      </c>
      <c r="E127" s="20" t="s">
        <v>43</v>
      </c>
      <c r="G127" s="6" t="b">
        <v>1</v>
      </c>
      <c r="H127" s="6" t="b">
        <v>1</v>
      </c>
      <c r="I127" s="6" t="b">
        <v>1</v>
      </c>
      <c r="J127" s="6" t="b">
        <v>1</v>
      </c>
      <c r="K127" s="6" t="b">
        <v>1</v>
      </c>
      <c r="L127" s="6" t="b">
        <v>1</v>
      </c>
      <c r="M127" s="6" t="b">
        <v>1</v>
      </c>
      <c r="N127" s="6" t="b">
        <v>1</v>
      </c>
      <c r="O127" s="6" t="b">
        <v>1</v>
      </c>
      <c r="P127" s="6" t="b">
        <v>1</v>
      </c>
      <c r="Q127" s="6" t="b">
        <v>1</v>
      </c>
      <c r="R127" s="6" t="b">
        <v>1</v>
      </c>
      <c r="S127" s="6" t="b">
        <v>1</v>
      </c>
      <c r="T127" s="6" t="b">
        <v>1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1</v>
      </c>
      <c r="AJ127" s="6" t="b">
        <v>0</v>
      </c>
      <c r="AK127" s="6" t="b">
        <v>0</v>
      </c>
      <c r="AL127" s="9" t="str">
        <f t="shared" si="1"/>
        <v>15 dari 31 (48%)</v>
      </c>
    </row>
    <row r="128" ht="22.5" customHeight="1">
      <c r="A128" s="10">
        <v>127.0</v>
      </c>
      <c r="B128" s="11"/>
      <c r="C128" s="22">
        <v>53840.0</v>
      </c>
      <c r="D128" s="20" t="s">
        <v>39</v>
      </c>
      <c r="E128" s="20" t="s">
        <v>57</v>
      </c>
      <c r="G128" s="6" t="b">
        <v>1</v>
      </c>
      <c r="H128" s="6" t="b">
        <v>1</v>
      </c>
      <c r="I128" s="6" t="b">
        <v>1</v>
      </c>
      <c r="J128" s="6" t="b">
        <v>1</v>
      </c>
      <c r="K128" s="6" t="b">
        <v>1</v>
      </c>
      <c r="L128" s="6" t="b">
        <v>1</v>
      </c>
      <c r="M128" s="6" t="b">
        <v>1</v>
      </c>
      <c r="N128" s="6" t="b">
        <v>1</v>
      </c>
      <c r="O128" s="6" t="b">
        <v>1</v>
      </c>
      <c r="P128" s="6" t="b">
        <v>1</v>
      </c>
      <c r="Q128" s="6" t="b">
        <v>1</v>
      </c>
      <c r="R128" s="6" t="b">
        <v>1</v>
      </c>
      <c r="S128" s="6" t="b">
        <v>1</v>
      </c>
      <c r="T128" s="6" t="b">
        <v>1</v>
      </c>
      <c r="U128" s="6" t="b">
        <v>0</v>
      </c>
      <c r="V128" s="6" t="b">
        <v>0</v>
      </c>
      <c r="W128" s="6" t="b">
        <v>0</v>
      </c>
      <c r="X128" s="6" t="b">
        <v>0</v>
      </c>
      <c r="Y128" s="6" t="b">
        <v>0</v>
      </c>
      <c r="Z128" s="6" t="b">
        <v>1</v>
      </c>
      <c r="AA128" s="6" t="b">
        <v>1</v>
      </c>
      <c r="AB128" s="6" t="b">
        <v>1</v>
      </c>
      <c r="AC128" s="6" t="b">
        <v>1</v>
      </c>
      <c r="AD128" s="6" t="b">
        <v>1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1</v>
      </c>
      <c r="AJ128" s="6" t="b">
        <v>0</v>
      </c>
      <c r="AK128" s="6" t="b">
        <v>0</v>
      </c>
      <c r="AL128" s="9" t="str">
        <f t="shared" si="1"/>
        <v>20 dari 31 (65%)</v>
      </c>
    </row>
    <row r="129" ht="22.5" customHeight="1">
      <c r="A129" s="61">
        <v>128.0</v>
      </c>
      <c r="B129" s="62"/>
      <c r="C129" s="32">
        <v>61191.0</v>
      </c>
      <c r="D129" s="60" t="s">
        <v>54</v>
      </c>
      <c r="E129" s="60" t="s">
        <v>155</v>
      </c>
      <c r="F129" s="122"/>
      <c r="G129" s="35" t="b">
        <v>0</v>
      </c>
      <c r="H129" s="35" t="b">
        <v>0</v>
      </c>
      <c r="I129" s="35" t="b">
        <v>0</v>
      </c>
      <c r="J129" s="35" t="b">
        <v>0</v>
      </c>
      <c r="K129" s="35" t="b">
        <v>0</v>
      </c>
      <c r="L129" s="35" t="b">
        <v>0</v>
      </c>
      <c r="M129" s="35" t="b">
        <v>0</v>
      </c>
      <c r="N129" s="35" t="b">
        <v>0</v>
      </c>
      <c r="O129" s="35" t="b">
        <v>0</v>
      </c>
      <c r="P129" s="35" t="b">
        <v>0</v>
      </c>
      <c r="Q129" s="35" t="b">
        <v>0</v>
      </c>
      <c r="R129" s="35" t="b">
        <v>0</v>
      </c>
      <c r="S129" s="35" t="b">
        <v>0</v>
      </c>
      <c r="T129" s="35" t="b">
        <v>0</v>
      </c>
      <c r="U129" s="35" t="b">
        <v>0</v>
      </c>
      <c r="V129" s="35" t="b">
        <v>0</v>
      </c>
      <c r="W129" s="35" t="b">
        <v>0</v>
      </c>
      <c r="X129" s="35" t="b">
        <v>0</v>
      </c>
      <c r="Y129" s="35" t="b">
        <v>0</v>
      </c>
      <c r="Z129" s="35" t="b">
        <v>0</v>
      </c>
      <c r="AA129" s="35" t="b">
        <v>0</v>
      </c>
      <c r="AB129" s="35" t="b">
        <v>0</v>
      </c>
      <c r="AC129" s="35" t="b">
        <v>0</v>
      </c>
      <c r="AD129" s="35" t="b">
        <v>0</v>
      </c>
      <c r="AE129" s="35" t="b">
        <v>0</v>
      </c>
      <c r="AF129" s="35" t="b">
        <v>0</v>
      </c>
      <c r="AG129" s="35" t="b">
        <v>0</v>
      </c>
      <c r="AH129" s="35" t="b">
        <v>0</v>
      </c>
      <c r="AI129" s="35" t="b">
        <v>0</v>
      </c>
      <c r="AJ129" s="35" t="b">
        <v>0</v>
      </c>
      <c r="AK129" s="35" t="b">
        <v>0</v>
      </c>
      <c r="AL129" s="64" t="str">
        <f t="shared" si="1"/>
        <v>0 dari 31 (0%)</v>
      </c>
    </row>
    <row r="130" ht="22.5" customHeight="1">
      <c r="A130" s="2">
        <v>129.0</v>
      </c>
      <c r="B130" s="11"/>
      <c r="C130" s="22">
        <v>26768.0</v>
      </c>
      <c r="D130" s="20" t="s">
        <v>85</v>
      </c>
      <c r="E130" s="20" t="s">
        <v>69</v>
      </c>
      <c r="G130" s="6" t="b">
        <v>1</v>
      </c>
      <c r="H130" s="6" t="b">
        <v>1</v>
      </c>
      <c r="I130" s="6" t="b">
        <v>1</v>
      </c>
      <c r="J130" s="6" t="b">
        <v>1</v>
      </c>
      <c r="K130" s="6" t="b">
        <v>1</v>
      </c>
      <c r="L130" s="6" t="b">
        <v>1</v>
      </c>
      <c r="M130" s="6" t="b">
        <v>1</v>
      </c>
      <c r="N130" s="6" t="b">
        <v>1</v>
      </c>
      <c r="O130" s="6" t="b">
        <v>1</v>
      </c>
      <c r="P130" s="6" t="b">
        <v>1</v>
      </c>
      <c r="Q130" s="6" t="b">
        <v>1</v>
      </c>
      <c r="R130" s="6" t="b">
        <v>1</v>
      </c>
      <c r="S130" s="6" t="b">
        <v>1</v>
      </c>
      <c r="T130" s="6" t="b">
        <v>1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1</v>
      </c>
      <c r="AJ130" s="6" t="b">
        <v>0</v>
      </c>
      <c r="AK130" s="6" t="b">
        <v>0</v>
      </c>
      <c r="AL130" s="9" t="str">
        <f t="shared" si="1"/>
        <v>15 dari 31 (48%)</v>
      </c>
    </row>
    <row r="131" ht="22.5" customHeight="1">
      <c r="A131" s="10">
        <v>130.0</v>
      </c>
      <c r="B131" s="11"/>
      <c r="C131" s="22">
        <v>48050.0</v>
      </c>
      <c r="D131" s="20" t="s">
        <v>98</v>
      </c>
      <c r="E131" s="20" t="s">
        <v>142</v>
      </c>
      <c r="G131" s="6" t="b">
        <v>1</v>
      </c>
      <c r="H131" s="6" t="b">
        <v>1</v>
      </c>
      <c r="I131" s="6" t="b">
        <v>0</v>
      </c>
      <c r="J131" s="6" t="b">
        <v>1</v>
      </c>
      <c r="K131" s="6" t="b">
        <v>1</v>
      </c>
      <c r="L131" s="6" t="b">
        <v>1</v>
      </c>
      <c r="M131" s="6" t="b">
        <v>1</v>
      </c>
      <c r="N131" s="6" t="b">
        <v>1</v>
      </c>
      <c r="O131" s="6" t="b">
        <v>1</v>
      </c>
      <c r="P131" s="6" t="b">
        <v>1</v>
      </c>
      <c r="Q131" s="6" t="b">
        <v>1</v>
      </c>
      <c r="R131" s="6" t="b">
        <v>1</v>
      </c>
      <c r="S131" s="6" t="b">
        <v>1</v>
      </c>
      <c r="T131" s="6" t="b">
        <v>0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0</v>
      </c>
      <c r="AJ131" s="6" t="b">
        <v>0</v>
      </c>
      <c r="AK131" s="6" t="b">
        <v>0</v>
      </c>
      <c r="AL131" s="9" t="str">
        <f t="shared" si="1"/>
        <v>12 dari 31 (39%)</v>
      </c>
    </row>
    <row r="132" ht="22.5" customHeight="1">
      <c r="A132" s="10">
        <v>131.0</v>
      </c>
      <c r="B132" s="11"/>
      <c r="C132" s="20">
        <v>60861.0</v>
      </c>
      <c r="D132" s="12" t="s">
        <v>68</v>
      </c>
      <c r="E132" s="12" t="s">
        <v>109</v>
      </c>
      <c r="F132" s="13"/>
      <c r="G132" s="6" t="b">
        <v>1</v>
      </c>
      <c r="H132" s="6" t="b">
        <v>1</v>
      </c>
      <c r="I132" s="6" t="b">
        <v>1</v>
      </c>
      <c r="J132" s="6" t="b">
        <v>1</v>
      </c>
      <c r="K132" s="6" t="b">
        <v>1</v>
      </c>
      <c r="L132" s="6" t="b">
        <v>1</v>
      </c>
      <c r="M132" s="6" t="b">
        <v>1</v>
      </c>
      <c r="N132" s="6" t="b">
        <v>1</v>
      </c>
      <c r="O132" s="6" t="b">
        <v>1</v>
      </c>
      <c r="P132" s="6" t="b">
        <v>1</v>
      </c>
      <c r="Q132" s="6" t="b">
        <v>1</v>
      </c>
      <c r="R132" s="6" t="b">
        <v>1</v>
      </c>
      <c r="S132" s="6" t="b">
        <v>1</v>
      </c>
      <c r="T132" s="6" t="b">
        <v>1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1</v>
      </c>
      <c r="AJ132" s="6" t="b">
        <v>0</v>
      </c>
      <c r="AK132" s="6" t="b">
        <v>0</v>
      </c>
      <c r="AL132" s="17" t="str">
        <f t="shared" si="1"/>
        <v>15 dari 31 (48%)</v>
      </c>
    </row>
    <row r="133" ht="22.5" customHeight="1">
      <c r="A133" s="2">
        <v>132.0</v>
      </c>
      <c r="B133" s="11"/>
      <c r="C133" s="20">
        <v>61194.0</v>
      </c>
      <c r="D133" s="12" t="s">
        <v>85</v>
      </c>
      <c r="E133" s="12" t="s">
        <v>128</v>
      </c>
      <c r="F133" s="13"/>
      <c r="G133" s="6" t="b">
        <v>1</v>
      </c>
      <c r="H133" s="6" t="b">
        <v>1</v>
      </c>
      <c r="I133" s="6" t="b">
        <v>1</v>
      </c>
      <c r="J133" s="6" t="b">
        <v>1</v>
      </c>
      <c r="K133" s="6" t="b">
        <v>1</v>
      </c>
      <c r="L133" s="6" t="b">
        <v>1</v>
      </c>
      <c r="M133" s="6" t="b">
        <v>1</v>
      </c>
      <c r="N133" s="6" t="b">
        <v>1</v>
      </c>
      <c r="O133" s="6" t="b">
        <v>1</v>
      </c>
      <c r="P133" s="6" t="b">
        <v>1</v>
      </c>
      <c r="Q133" s="6" t="b">
        <v>1</v>
      </c>
      <c r="R133" s="6" t="b">
        <v>1</v>
      </c>
      <c r="S133" s="6" t="b">
        <v>1</v>
      </c>
      <c r="T133" s="6" t="b">
        <v>1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1</v>
      </c>
      <c r="AJ133" s="6" t="b">
        <v>0</v>
      </c>
      <c r="AK133" s="6" t="b">
        <v>0</v>
      </c>
      <c r="AL133" s="9" t="str">
        <f t="shared" si="1"/>
        <v>15 dari 31 (48%)</v>
      </c>
    </row>
    <row r="134" ht="22.5" customHeight="1">
      <c r="A134" s="10">
        <v>133.0</v>
      </c>
      <c r="B134" s="11"/>
      <c r="C134" s="20">
        <v>61195.0</v>
      </c>
      <c r="D134" s="12" t="s">
        <v>74</v>
      </c>
      <c r="E134" s="12" t="s">
        <v>104</v>
      </c>
      <c r="F134" s="13"/>
      <c r="G134" s="6" t="b">
        <v>1</v>
      </c>
      <c r="H134" s="6" t="b">
        <v>1</v>
      </c>
      <c r="I134" s="6" t="b">
        <v>0</v>
      </c>
      <c r="J134" s="6" t="b">
        <v>1</v>
      </c>
      <c r="K134" s="6" t="b">
        <v>1</v>
      </c>
      <c r="L134" s="6" t="b">
        <v>1</v>
      </c>
      <c r="M134" s="6" t="b">
        <v>1</v>
      </c>
      <c r="N134" s="6" t="b">
        <v>1</v>
      </c>
      <c r="O134" s="6" t="b">
        <v>1</v>
      </c>
      <c r="P134" s="6" t="b">
        <v>1</v>
      </c>
      <c r="Q134" s="6" t="b">
        <v>1</v>
      </c>
      <c r="R134" s="6" t="b">
        <v>1</v>
      </c>
      <c r="S134" s="6" t="b">
        <v>1</v>
      </c>
      <c r="T134" s="6" t="b">
        <v>1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0</v>
      </c>
      <c r="AJ134" s="6" t="b">
        <v>0</v>
      </c>
      <c r="AK134" s="6" t="b">
        <v>0</v>
      </c>
      <c r="AL134" s="9" t="str">
        <f t="shared" si="1"/>
        <v>13 dari 31 (42%)</v>
      </c>
    </row>
    <row r="135" ht="22.5" customHeight="1">
      <c r="A135" s="10">
        <v>134.0</v>
      </c>
      <c r="B135" s="11"/>
      <c r="C135" s="20">
        <v>61196.0</v>
      </c>
      <c r="D135" s="12" t="s">
        <v>74</v>
      </c>
      <c r="E135" s="12" t="s">
        <v>84</v>
      </c>
      <c r="F135" s="13"/>
      <c r="G135" s="6" t="b">
        <v>1</v>
      </c>
      <c r="H135" s="6" t="b">
        <v>1</v>
      </c>
      <c r="I135" s="6" t="b">
        <v>0</v>
      </c>
      <c r="J135" s="6" t="b">
        <v>1</v>
      </c>
      <c r="K135" s="6" t="b">
        <v>1</v>
      </c>
      <c r="L135" s="6" t="b">
        <v>1</v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1</v>
      </c>
      <c r="S135" s="6" t="b">
        <v>1</v>
      </c>
      <c r="T135" s="6" t="b">
        <v>0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0</v>
      </c>
      <c r="AJ135" s="6" t="b">
        <v>0</v>
      </c>
      <c r="AK135" s="6" t="b">
        <v>0</v>
      </c>
      <c r="AL135" s="17" t="str">
        <f t="shared" si="1"/>
        <v>12 dari 31 (39%)</v>
      </c>
    </row>
    <row r="136" ht="22.5" customHeight="1">
      <c r="A136" s="2">
        <v>135.0</v>
      </c>
      <c r="B136" s="11"/>
      <c r="C136" s="20">
        <v>61188.0</v>
      </c>
      <c r="D136" s="12" t="s">
        <v>41</v>
      </c>
      <c r="E136" s="12" t="s">
        <v>48</v>
      </c>
      <c r="F136" s="13"/>
      <c r="G136" s="6" t="b">
        <v>1</v>
      </c>
      <c r="H136" s="6" t="b">
        <v>1</v>
      </c>
      <c r="I136" s="6" t="b">
        <v>0</v>
      </c>
      <c r="J136" s="6" t="b">
        <v>1</v>
      </c>
      <c r="K136" s="6" t="b">
        <v>1</v>
      </c>
      <c r="L136" s="6" t="b">
        <v>0</v>
      </c>
      <c r="M136" s="6" t="b">
        <v>0</v>
      </c>
      <c r="N136" s="6" t="b">
        <v>0</v>
      </c>
      <c r="O136" s="6" t="b">
        <v>0</v>
      </c>
      <c r="P136" s="6" t="b">
        <v>0</v>
      </c>
      <c r="Q136" s="6" t="b">
        <v>0</v>
      </c>
      <c r="R136" s="6" t="b">
        <v>0</v>
      </c>
      <c r="S136" s="6" t="b">
        <v>0</v>
      </c>
      <c r="T136" s="6" t="b">
        <v>1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1</v>
      </c>
      <c r="AB136" s="6" t="b">
        <v>1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0</v>
      </c>
      <c r="AJ136" s="6" t="b">
        <v>0</v>
      </c>
      <c r="AK136" s="6" t="b">
        <v>0</v>
      </c>
      <c r="AL136" s="9" t="str">
        <f t="shared" si="1"/>
        <v>7 dari 31 (23%)</v>
      </c>
    </row>
    <row r="137" ht="22.5" customHeight="1">
      <c r="A137" s="10">
        <v>136.0</v>
      </c>
      <c r="B137" s="11"/>
      <c r="C137" s="22">
        <v>61183.0</v>
      </c>
      <c r="D137" s="12" t="s">
        <v>51</v>
      </c>
      <c r="E137" s="12" t="s">
        <v>140</v>
      </c>
      <c r="F137" s="13"/>
      <c r="G137" s="6" t="b">
        <v>1</v>
      </c>
      <c r="H137" s="6" t="b">
        <v>1</v>
      </c>
      <c r="I137" s="6" t="b">
        <v>0</v>
      </c>
      <c r="J137" s="6" t="b">
        <v>1</v>
      </c>
      <c r="K137" s="6" t="b">
        <v>1</v>
      </c>
      <c r="L137" s="6" t="b">
        <v>1</v>
      </c>
      <c r="M137" s="6" t="b">
        <v>1</v>
      </c>
      <c r="N137" s="6" t="b">
        <v>1</v>
      </c>
      <c r="O137" s="6" t="b">
        <v>1</v>
      </c>
      <c r="P137" s="6" t="b">
        <v>1</v>
      </c>
      <c r="Q137" s="6" t="b">
        <v>1</v>
      </c>
      <c r="R137" s="6" t="b">
        <v>1</v>
      </c>
      <c r="S137" s="6" t="b">
        <v>1</v>
      </c>
      <c r="T137" s="6" t="b">
        <v>1</v>
      </c>
      <c r="U137" s="6" t="b">
        <v>0</v>
      </c>
      <c r="V137" s="6" t="b">
        <v>0</v>
      </c>
      <c r="W137" s="6" t="b">
        <v>0</v>
      </c>
      <c r="X137" s="6" t="b">
        <v>1</v>
      </c>
      <c r="Y137" s="6" t="b">
        <v>1</v>
      </c>
      <c r="Z137" s="6" t="b">
        <v>1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0</v>
      </c>
      <c r="AJ137" s="6" t="b">
        <v>0</v>
      </c>
      <c r="AK137" s="6" t="b">
        <v>0</v>
      </c>
      <c r="AL137" s="9" t="str">
        <f t="shared" si="1"/>
        <v>16 dari 31 (52%)</v>
      </c>
    </row>
    <row r="138" ht="22.5" customHeight="1">
      <c r="A138" s="10">
        <v>137.0</v>
      </c>
      <c r="B138" s="11"/>
      <c r="C138" s="22">
        <v>32441.0</v>
      </c>
      <c r="D138" s="56" t="s">
        <v>74</v>
      </c>
      <c r="E138" s="56" t="s">
        <v>104</v>
      </c>
      <c r="F138" s="15" t="s">
        <v>50</v>
      </c>
      <c r="G138" s="6" t="b">
        <v>1</v>
      </c>
      <c r="H138" s="6" t="b">
        <v>0</v>
      </c>
      <c r="I138" s="6" t="b">
        <v>0</v>
      </c>
      <c r="J138" s="6" t="b">
        <v>0</v>
      </c>
      <c r="K138" s="6" t="b">
        <v>0</v>
      </c>
      <c r="L138" s="6" t="b">
        <v>0</v>
      </c>
      <c r="M138" s="6" t="b">
        <v>0</v>
      </c>
      <c r="N138" s="6" t="b">
        <v>0</v>
      </c>
      <c r="O138" s="6" t="b">
        <v>0</v>
      </c>
      <c r="P138" s="6" t="b">
        <v>0</v>
      </c>
      <c r="Q138" s="6" t="b">
        <v>0</v>
      </c>
      <c r="R138" s="6" t="b">
        <v>0</v>
      </c>
      <c r="S138" s="6" t="b">
        <v>0</v>
      </c>
      <c r="T138" s="6" t="b">
        <v>0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0</v>
      </c>
      <c r="AJ138" s="6" t="b">
        <v>0</v>
      </c>
      <c r="AK138" s="6" t="b">
        <v>0</v>
      </c>
      <c r="AL138" s="17" t="str">
        <f t="shared" si="1"/>
        <v>1 dari 31 (3%)</v>
      </c>
    </row>
    <row r="139" ht="22.5" customHeight="1">
      <c r="A139" s="2">
        <v>138.0</v>
      </c>
      <c r="B139" s="11"/>
      <c r="C139" s="22">
        <v>61052.0</v>
      </c>
      <c r="D139" s="12" t="s">
        <v>74</v>
      </c>
      <c r="E139" s="12" t="s">
        <v>84</v>
      </c>
      <c r="F139" s="13"/>
      <c r="G139" s="6" t="b">
        <v>1</v>
      </c>
      <c r="H139" s="6" t="b">
        <v>1</v>
      </c>
      <c r="I139" s="6" t="b">
        <v>0</v>
      </c>
      <c r="J139" s="6" t="b">
        <v>1</v>
      </c>
      <c r="K139" s="6" t="b">
        <v>1</v>
      </c>
      <c r="L139" s="6" t="b">
        <v>1</v>
      </c>
      <c r="M139" s="6" t="b">
        <v>1</v>
      </c>
      <c r="N139" s="6" t="b">
        <v>1</v>
      </c>
      <c r="O139" s="6" t="b">
        <v>1</v>
      </c>
      <c r="P139" s="6" t="b">
        <v>1</v>
      </c>
      <c r="Q139" s="6" t="b">
        <v>1</v>
      </c>
      <c r="R139" s="6" t="b">
        <v>1</v>
      </c>
      <c r="S139" s="6" t="b">
        <v>1</v>
      </c>
      <c r="T139" s="6" t="b">
        <v>0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0</v>
      </c>
      <c r="AJ139" s="6" t="b">
        <v>0</v>
      </c>
      <c r="AK139" s="6" t="b">
        <v>0</v>
      </c>
      <c r="AL139" s="9" t="str">
        <f t="shared" si="1"/>
        <v>12 dari 31 (39%)</v>
      </c>
    </row>
    <row r="140" ht="22.5" customHeight="1">
      <c r="A140" s="10">
        <v>139.0</v>
      </c>
      <c r="B140" s="11"/>
      <c r="C140" s="22">
        <v>60565.0</v>
      </c>
      <c r="D140" s="12" t="s">
        <v>74</v>
      </c>
      <c r="E140" s="12" t="s">
        <v>84</v>
      </c>
      <c r="F140" s="13"/>
      <c r="G140" s="6" t="b">
        <v>1</v>
      </c>
      <c r="H140" s="6" t="b">
        <v>1</v>
      </c>
      <c r="I140" s="6" t="b">
        <v>0</v>
      </c>
      <c r="J140" s="6" t="b">
        <v>1</v>
      </c>
      <c r="K140" s="6" t="b">
        <v>1</v>
      </c>
      <c r="L140" s="6" t="b">
        <v>1</v>
      </c>
      <c r="M140" s="6" t="b">
        <v>1</v>
      </c>
      <c r="N140" s="6" t="b">
        <v>1</v>
      </c>
      <c r="O140" s="6" t="b">
        <v>1</v>
      </c>
      <c r="P140" s="6" t="b">
        <v>1</v>
      </c>
      <c r="Q140" s="6" t="b">
        <v>1</v>
      </c>
      <c r="R140" s="6" t="b">
        <v>1</v>
      </c>
      <c r="S140" s="6" t="b">
        <v>1</v>
      </c>
      <c r="T140" s="6" t="b">
        <v>0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1</v>
      </c>
      <c r="AJ140" s="6" t="b">
        <v>0</v>
      </c>
      <c r="AK140" s="6" t="b">
        <v>0</v>
      </c>
      <c r="AL140" s="9" t="str">
        <f t="shared" si="1"/>
        <v>13 dari 31 (42%)</v>
      </c>
    </row>
    <row r="141" ht="22.5" customHeight="1">
      <c r="A141" s="10">
        <v>140.0</v>
      </c>
      <c r="B141" s="11"/>
      <c r="C141" s="22">
        <v>59147.0</v>
      </c>
      <c r="D141" s="12" t="s">
        <v>54</v>
      </c>
      <c r="E141" s="12" t="s">
        <v>155</v>
      </c>
      <c r="F141" s="15" t="s">
        <v>50</v>
      </c>
      <c r="G141" s="6" t="b">
        <v>1</v>
      </c>
      <c r="H141" s="6" t="b">
        <v>0</v>
      </c>
      <c r="I141" s="6" t="b">
        <v>0</v>
      </c>
      <c r="J141" s="6" t="b">
        <v>0</v>
      </c>
      <c r="K141" s="6" t="b">
        <v>0</v>
      </c>
      <c r="L141" s="6" t="b">
        <v>0</v>
      </c>
      <c r="M141" s="6" t="b">
        <v>0</v>
      </c>
      <c r="N141" s="6" t="b">
        <v>0</v>
      </c>
      <c r="O141" s="6" t="b">
        <v>0</v>
      </c>
      <c r="P141" s="6" t="b">
        <v>0</v>
      </c>
      <c r="Q141" s="6" t="b">
        <v>0</v>
      </c>
      <c r="R141" s="6" t="b">
        <v>0</v>
      </c>
      <c r="S141" s="6" t="b">
        <v>0</v>
      </c>
      <c r="T141" s="6" t="b">
        <v>0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0</v>
      </c>
      <c r="AJ141" s="6" t="b">
        <v>0</v>
      </c>
      <c r="AK141" s="6" t="b">
        <v>0</v>
      </c>
      <c r="AL141" s="17" t="str">
        <f t="shared" si="1"/>
        <v>1 dari 31 (3%)</v>
      </c>
    </row>
    <row r="142" ht="22.5" customHeight="1">
      <c r="A142" s="2">
        <v>141.0</v>
      </c>
      <c r="B142" s="11"/>
      <c r="C142" s="20">
        <v>59147.0</v>
      </c>
      <c r="D142" s="12" t="s">
        <v>54</v>
      </c>
      <c r="E142" s="12" t="s">
        <v>155</v>
      </c>
      <c r="F142" s="13"/>
      <c r="G142" s="6" t="b">
        <v>1</v>
      </c>
      <c r="H142" s="6" t="b">
        <v>1</v>
      </c>
      <c r="I142" s="6" t="b">
        <v>0</v>
      </c>
      <c r="J142" s="6" t="b">
        <v>1</v>
      </c>
      <c r="K142" s="6" t="b">
        <v>1</v>
      </c>
      <c r="L142" s="6" t="b">
        <v>1</v>
      </c>
      <c r="M142" s="6" t="b">
        <v>1</v>
      </c>
      <c r="N142" s="6" t="b">
        <v>1</v>
      </c>
      <c r="O142" s="6" t="b">
        <v>1</v>
      </c>
      <c r="P142" s="6" t="b">
        <v>1</v>
      </c>
      <c r="Q142" s="6" t="b">
        <v>1</v>
      </c>
      <c r="R142" s="6" t="b">
        <v>1</v>
      </c>
      <c r="S142" s="6" t="b">
        <v>1</v>
      </c>
      <c r="T142" s="6" t="b">
        <v>1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0</v>
      </c>
      <c r="AJ142" s="6" t="b">
        <v>0</v>
      </c>
      <c r="AK142" s="6" t="b">
        <v>0</v>
      </c>
      <c r="AL142" s="9" t="str">
        <f t="shared" si="1"/>
        <v>13 dari 31 (42%)</v>
      </c>
    </row>
    <row r="143" ht="22.5" customHeight="1">
      <c r="A143" s="10">
        <v>142.0</v>
      </c>
      <c r="B143" s="11"/>
      <c r="C143" s="20">
        <v>58947.0</v>
      </c>
      <c r="D143" s="12" t="s">
        <v>85</v>
      </c>
      <c r="E143" s="12" t="s">
        <v>165</v>
      </c>
      <c r="F143" s="15" t="s">
        <v>50</v>
      </c>
      <c r="G143" s="6" t="b">
        <v>1</v>
      </c>
      <c r="H143" s="6" t="b">
        <v>0</v>
      </c>
      <c r="I143" s="6" t="b">
        <v>0</v>
      </c>
      <c r="J143" s="6" t="b">
        <v>0</v>
      </c>
      <c r="K143" s="6" t="b">
        <v>0</v>
      </c>
      <c r="L143" s="6" t="b">
        <v>0</v>
      </c>
      <c r="M143" s="6" t="b">
        <v>0</v>
      </c>
      <c r="N143" s="6" t="b">
        <v>0</v>
      </c>
      <c r="O143" s="6" t="b">
        <v>0</v>
      </c>
      <c r="P143" s="6" t="b">
        <v>0</v>
      </c>
      <c r="Q143" s="6" t="b">
        <v>0</v>
      </c>
      <c r="R143" s="6" t="b">
        <v>0</v>
      </c>
      <c r="S143" s="6" t="b">
        <v>0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1</v>
      </c>
      <c r="AA143" s="6" t="b">
        <v>1</v>
      </c>
      <c r="AB143" s="6" t="b">
        <v>1</v>
      </c>
      <c r="AC143" s="6" t="b">
        <v>1</v>
      </c>
      <c r="AD143" s="6" t="b">
        <v>1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0</v>
      </c>
      <c r="AJ143" s="6" t="b">
        <v>0</v>
      </c>
      <c r="AK143" s="6" t="b">
        <v>0</v>
      </c>
      <c r="AL143" s="9" t="str">
        <f t="shared" si="1"/>
        <v>6 dari 31 (19%)</v>
      </c>
    </row>
    <row r="144" ht="22.5" customHeight="1">
      <c r="A144" s="10">
        <v>143.0</v>
      </c>
      <c r="B144" s="11"/>
      <c r="C144" s="20">
        <v>61197.0</v>
      </c>
      <c r="D144" s="12" t="s">
        <v>63</v>
      </c>
      <c r="E144" s="12" t="s">
        <v>87</v>
      </c>
      <c r="F144" s="13"/>
      <c r="G144" s="6" t="b">
        <v>1</v>
      </c>
      <c r="H144" s="6" t="b">
        <v>1</v>
      </c>
      <c r="I144" s="6" t="b">
        <v>1</v>
      </c>
      <c r="J144" s="6" t="b">
        <v>1</v>
      </c>
      <c r="K144" s="6" t="b">
        <v>1</v>
      </c>
      <c r="L144" s="6" t="b">
        <v>1</v>
      </c>
      <c r="M144" s="6" t="b">
        <v>1</v>
      </c>
      <c r="N144" s="6" t="b">
        <v>1</v>
      </c>
      <c r="O144" s="6" t="b">
        <v>1</v>
      </c>
      <c r="P144" s="6" t="b">
        <v>1</v>
      </c>
      <c r="Q144" s="6" t="b">
        <v>1</v>
      </c>
      <c r="R144" s="6" t="b">
        <v>1</v>
      </c>
      <c r="S144" s="6" t="b">
        <v>1</v>
      </c>
      <c r="T144" s="6" t="b">
        <v>0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1</v>
      </c>
      <c r="AJ144" s="6" t="b">
        <v>0</v>
      </c>
      <c r="AK144" s="6" t="b">
        <v>0</v>
      </c>
      <c r="AL144" s="17" t="str">
        <f t="shared" si="1"/>
        <v>14 dari 31 (45%)</v>
      </c>
    </row>
    <row r="145" ht="22.5" customHeight="1">
      <c r="A145" s="2">
        <v>144.0</v>
      </c>
      <c r="B145" s="11"/>
      <c r="C145" s="20">
        <v>61199.0</v>
      </c>
      <c r="D145" s="12" t="s">
        <v>63</v>
      </c>
      <c r="E145" s="12" t="s">
        <v>87</v>
      </c>
      <c r="F145" s="15" t="s">
        <v>50</v>
      </c>
      <c r="G145" s="6" t="b">
        <v>1</v>
      </c>
      <c r="H145" s="6" t="b">
        <v>0</v>
      </c>
      <c r="I145" s="6" t="b">
        <v>0</v>
      </c>
      <c r="J145" s="6" t="b">
        <v>1</v>
      </c>
      <c r="K145" s="6" t="b">
        <v>1</v>
      </c>
      <c r="L145" s="6" t="b">
        <v>1</v>
      </c>
      <c r="M145" s="6" t="b">
        <v>1</v>
      </c>
      <c r="N145" s="6" t="b">
        <v>1</v>
      </c>
      <c r="O145" s="6" t="b">
        <v>1</v>
      </c>
      <c r="P145" s="6" t="b">
        <v>1</v>
      </c>
      <c r="Q145" s="6" t="b">
        <v>1</v>
      </c>
      <c r="R145" s="6" t="b">
        <v>1</v>
      </c>
      <c r="S145" s="6" t="b">
        <v>1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1</v>
      </c>
      <c r="AJ145" s="6" t="b">
        <v>0</v>
      </c>
      <c r="AK145" s="6" t="b">
        <v>0</v>
      </c>
      <c r="AL145" s="9" t="str">
        <f t="shared" si="1"/>
        <v>12 dari 31 (39%)</v>
      </c>
    </row>
    <row r="146" ht="22.5" customHeight="1">
      <c r="A146" s="10">
        <v>145.0</v>
      </c>
      <c r="B146" s="11"/>
      <c r="C146" s="20">
        <v>59950.0</v>
      </c>
      <c r="D146" s="12" t="s">
        <v>63</v>
      </c>
      <c r="E146" s="12" t="s">
        <v>58</v>
      </c>
      <c r="F146" s="13"/>
      <c r="G146" s="6" t="b">
        <v>1</v>
      </c>
      <c r="H146" s="6" t="b">
        <v>1</v>
      </c>
      <c r="I146" s="6" t="b">
        <v>0</v>
      </c>
      <c r="J146" s="6" t="b">
        <v>1</v>
      </c>
      <c r="K146" s="6" t="b">
        <v>0</v>
      </c>
      <c r="L146" s="6" t="b">
        <v>0</v>
      </c>
      <c r="M146" s="6" t="b">
        <v>1</v>
      </c>
      <c r="N146" s="6" t="b">
        <v>1</v>
      </c>
      <c r="O146" s="6" t="b">
        <v>1</v>
      </c>
      <c r="P146" s="6" t="b">
        <v>1</v>
      </c>
      <c r="Q146" s="6" t="b">
        <v>1</v>
      </c>
      <c r="R146" s="6" t="b">
        <v>1</v>
      </c>
      <c r="S146" s="6" t="b">
        <v>1</v>
      </c>
      <c r="T146" s="6" t="b">
        <v>1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0</v>
      </c>
      <c r="AJ146" s="6" t="b">
        <v>0</v>
      </c>
      <c r="AK146" s="6" t="b">
        <v>0</v>
      </c>
      <c r="AL146" s="9" t="str">
        <f t="shared" si="1"/>
        <v>11 dari 31 (35%)</v>
      </c>
    </row>
    <row r="147" ht="22.5" customHeight="1">
      <c r="A147" s="10">
        <v>146.0</v>
      </c>
      <c r="B147" s="11"/>
      <c r="C147" s="22">
        <v>59749.0</v>
      </c>
      <c r="D147" s="12" t="s">
        <v>63</v>
      </c>
      <c r="E147" s="12" t="s">
        <v>58</v>
      </c>
      <c r="F147" s="13"/>
      <c r="G147" s="6" t="b">
        <v>1</v>
      </c>
      <c r="H147" s="6" t="b">
        <v>1</v>
      </c>
      <c r="I147" s="6" t="b">
        <v>0</v>
      </c>
      <c r="J147" s="6" t="b">
        <v>1</v>
      </c>
      <c r="K147" s="6" t="b">
        <v>1</v>
      </c>
      <c r="L147" s="6" t="b">
        <v>1</v>
      </c>
      <c r="M147" s="6" t="b">
        <v>1</v>
      </c>
      <c r="N147" s="6" t="b">
        <v>1</v>
      </c>
      <c r="O147" s="6" t="b">
        <v>1</v>
      </c>
      <c r="P147" s="6" t="b">
        <v>1</v>
      </c>
      <c r="Q147" s="6" t="b">
        <v>1</v>
      </c>
      <c r="R147" s="6" t="b">
        <v>1</v>
      </c>
      <c r="S147" s="6" t="b">
        <v>1</v>
      </c>
      <c r="T147" s="6" t="b">
        <v>0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0</v>
      </c>
      <c r="AJ147" s="6" t="b">
        <v>0</v>
      </c>
      <c r="AK147" s="6" t="b">
        <v>0</v>
      </c>
      <c r="AL147" s="17" t="str">
        <f t="shared" si="1"/>
        <v>12 dari 31 (39%)</v>
      </c>
    </row>
    <row r="148" ht="22.5" customHeight="1">
      <c r="A148" s="2">
        <v>147.0</v>
      </c>
      <c r="B148" s="11"/>
      <c r="C148" s="22">
        <v>55546.0</v>
      </c>
      <c r="D148" s="12" t="s">
        <v>63</v>
      </c>
      <c r="E148" s="12" t="s">
        <v>58</v>
      </c>
      <c r="F148" s="13"/>
      <c r="G148" s="6" t="b">
        <v>1</v>
      </c>
      <c r="H148" s="6" t="b">
        <v>1</v>
      </c>
      <c r="I148" s="6" t="b">
        <v>0</v>
      </c>
      <c r="J148" s="6" t="b">
        <v>1</v>
      </c>
      <c r="K148" s="6" t="b">
        <v>0</v>
      </c>
      <c r="L148" s="6" t="b">
        <v>0</v>
      </c>
      <c r="M148" s="6" t="b">
        <v>1</v>
      </c>
      <c r="N148" s="6" t="b">
        <v>1</v>
      </c>
      <c r="O148" s="6" t="b">
        <v>1</v>
      </c>
      <c r="P148" s="6" t="b">
        <v>1</v>
      </c>
      <c r="Q148" s="6" t="b">
        <v>1</v>
      </c>
      <c r="R148" s="6" t="b">
        <v>1</v>
      </c>
      <c r="S148" s="6" t="b">
        <v>1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0</v>
      </c>
      <c r="AJ148" s="6" t="b">
        <v>0</v>
      </c>
      <c r="AK148" s="6" t="b">
        <v>0</v>
      </c>
      <c r="AL148" s="9" t="str">
        <f t="shared" si="1"/>
        <v>10 dari 31 (32%)</v>
      </c>
    </row>
    <row r="149" ht="22.5" customHeight="1">
      <c r="A149" s="10">
        <v>148.0</v>
      </c>
      <c r="B149" s="11"/>
      <c r="C149" s="22">
        <v>60875.0</v>
      </c>
      <c r="D149" s="12" t="s">
        <v>63</v>
      </c>
      <c r="E149" s="12" t="s">
        <v>58</v>
      </c>
      <c r="F149" s="13"/>
      <c r="G149" s="6" t="b">
        <v>1</v>
      </c>
      <c r="H149" s="6" t="b">
        <v>1</v>
      </c>
      <c r="I149" s="6" t="b">
        <v>0</v>
      </c>
      <c r="J149" s="6" t="b">
        <v>1</v>
      </c>
      <c r="K149" s="6" t="b">
        <v>0</v>
      </c>
      <c r="L149" s="6" t="b">
        <v>0</v>
      </c>
      <c r="M149" s="6" t="b">
        <v>1</v>
      </c>
      <c r="N149" s="6" t="b">
        <v>1</v>
      </c>
      <c r="O149" s="6" t="b">
        <v>1</v>
      </c>
      <c r="P149" s="6" t="b">
        <v>1</v>
      </c>
      <c r="Q149" s="6" t="b">
        <v>1</v>
      </c>
      <c r="R149" s="6" t="b">
        <v>1</v>
      </c>
      <c r="S149" s="6" t="b">
        <v>1</v>
      </c>
      <c r="T149" s="6" t="b">
        <v>0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0</v>
      </c>
      <c r="AJ149" s="6" t="b">
        <v>0</v>
      </c>
      <c r="AK149" s="6" t="b">
        <v>0</v>
      </c>
      <c r="AL149" s="9" t="str">
        <f t="shared" si="1"/>
        <v>10 dari 31 (32%)</v>
      </c>
    </row>
    <row r="150" ht="22.5" customHeight="1">
      <c r="A150" s="10">
        <v>149.0</v>
      </c>
      <c r="B150" s="11"/>
      <c r="C150" s="22">
        <v>25802.0</v>
      </c>
      <c r="D150" s="12" t="s">
        <v>63</v>
      </c>
      <c r="E150" s="12" t="s">
        <v>58</v>
      </c>
      <c r="F150" s="13"/>
      <c r="G150" s="6" t="b">
        <v>1</v>
      </c>
      <c r="H150" s="6" t="b">
        <v>1</v>
      </c>
      <c r="I150" s="6" t="b">
        <v>0</v>
      </c>
      <c r="J150" s="6" t="b">
        <v>1</v>
      </c>
      <c r="K150" s="6" t="b">
        <v>0</v>
      </c>
      <c r="L150" s="6" t="b">
        <v>0</v>
      </c>
      <c r="M150" s="6" t="b">
        <v>1</v>
      </c>
      <c r="N150" s="6" t="b">
        <v>1</v>
      </c>
      <c r="O150" s="6" t="b">
        <v>1</v>
      </c>
      <c r="P150" s="6" t="b">
        <v>1</v>
      </c>
      <c r="Q150" s="6" t="b">
        <v>1</v>
      </c>
      <c r="R150" s="6" t="b">
        <v>1</v>
      </c>
      <c r="S150" s="6" t="b">
        <v>1</v>
      </c>
      <c r="T150" s="6" t="b">
        <v>0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0</v>
      </c>
      <c r="AJ150" s="6" t="b">
        <v>0</v>
      </c>
      <c r="AK150" s="6" t="b">
        <v>0</v>
      </c>
      <c r="AL150" s="17" t="str">
        <f t="shared" si="1"/>
        <v>10 dari 31 (32%)</v>
      </c>
    </row>
    <row r="151" ht="22.5" customHeight="1">
      <c r="A151" s="2">
        <v>150.0</v>
      </c>
      <c r="B151" s="11"/>
      <c r="C151" s="22">
        <v>56926.0</v>
      </c>
      <c r="D151" s="12" t="s">
        <v>63</v>
      </c>
      <c r="E151" s="12" t="s">
        <v>58</v>
      </c>
      <c r="F151" s="13"/>
      <c r="G151" s="6" t="b">
        <v>1</v>
      </c>
      <c r="H151" s="6" t="b">
        <v>1</v>
      </c>
      <c r="I151" s="6" t="b">
        <v>0</v>
      </c>
      <c r="J151" s="6" t="b">
        <v>1</v>
      </c>
      <c r="K151" s="6" t="b">
        <v>0</v>
      </c>
      <c r="L151" s="6" t="b">
        <v>0</v>
      </c>
      <c r="M151" s="6" t="b">
        <v>1</v>
      </c>
      <c r="N151" s="6" t="b">
        <v>1</v>
      </c>
      <c r="O151" s="6" t="b">
        <v>1</v>
      </c>
      <c r="P151" s="6" t="b">
        <v>1</v>
      </c>
      <c r="Q151" s="6" t="b">
        <v>1</v>
      </c>
      <c r="R151" s="6" t="b">
        <v>1</v>
      </c>
      <c r="S151" s="6" t="b">
        <v>1</v>
      </c>
      <c r="T151" s="6" t="b">
        <v>0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0</v>
      </c>
      <c r="AF151" s="6" t="b">
        <v>0</v>
      </c>
      <c r="AG151" s="6" t="b">
        <v>0</v>
      </c>
      <c r="AH151" s="6" t="b">
        <v>0</v>
      </c>
      <c r="AI151" s="6" t="b">
        <v>0</v>
      </c>
      <c r="AJ151" s="6" t="b">
        <v>0</v>
      </c>
      <c r="AK151" s="6" t="b">
        <v>0</v>
      </c>
      <c r="AL151" s="9" t="str">
        <f t="shared" si="1"/>
        <v>10 dari 31 (32%)</v>
      </c>
    </row>
    <row r="152" ht="22.5" customHeight="1">
      <c r="A152" s="10">
        <v>151.0</v>
      </c>
      <c r="B152" s="11"/>
      <c r="C152" s="20">
        <v>58886.0</v>
      </c>
      <c r="D152" s="12" t="s">
        <v>63</v>
      </c>
      <c r="E152" s="12" t="s">
        <v>58</v>
      </c>
      <c r="F152" s="13"/>
      <c r="G152" s="6" t="b">
        <v>1</v>
      </c>
      <c r="H152" s="6" t="b">
        <v>1</v>
      </c>
      <c r="I152" s="6" t="b">
        <v>0</v>
      </c>
      <c r="J152" s="6" t="b">
        <v>1</v>
      </c>
      <c r="K152" s="6" t="b">
        <v>0</v>
      </c>
      <c r="L152" s="6" t="b">
        <v>0</v>
      </c>
      <c r="M152" s="6" t="b">
        <v>1</v>
      </c>
      <c r="N152" s="6" t="b">
        <v>1</v>
      </c>
      <c r="O152" s="6" t="b">
        <v>1</v>
      </c>
      <c r="P152" s="6" t="b">
        <v>1</v>
      </c>
      <c r="Q152" s="6" t="b">
        <v>1</v>
      </c>
      <c r="R152" s="6" t="b">
        <v>1</v>
      </c>
      <c r="S152" s="6" t="b">
        <v>1</v>
      </c>
      <c r="T152" s="6" t="b">
        <v>0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0</v>
      </c>
      <c r="Z152" s="6" t="b">
        <v>0</v>
      </c>
      <c r="AA152" s="6" t="b">
        <v>0</v>
      </c>
      <c r="AB152" s="6" t="b">
        <v>0</v>
      </c>
      <c r="AC152" s="6" t="b">
        <v>0</v>
      </c>
      <c r="AD152" s="6" t="b">
        <v>0</v>
      </c>
      <c r="AE152" s="6" t="b">
        <v>0</v>
      </c>
      <c r="AF152" s="6" t="b">
        <v>0</v>
      </c>
      <c r="AG152" s="6" t="b">
        <v>0</v>
      </c>
      <c r="AH152" s="6" t="b">
        <v>0</v>
      </c>
      <c r="AI152" s="6" t="b">
        <v>0</v>
      </c>
      <c r="AJ152" s="6" t="b">
        <v>0</v>
      </c>
      <c r="AK152" s="6" t="b">
        <v>0</v>
      </c>
      <c r="AL152" s="9" t="str">
        <f t="shared" si="1"/>
        <v>10 dari 31 (32%)</v>
      </c>
    </row>
    <row r="153" ht="22.5" customHeight="1">
      <c r="A153" s="10">
        <v>152.0</v>
      </c>
      <c r="B153" s="11"/>
      <c r="C153" s="20">
        <v>56344.0</v>
      </c>
      <c r="D153" s="12" t="s">
        <v>63</v>
      </c>
      <c r="E153" s="12" t="s">
        <v>58</v>
      </c>
      <c r="F153" s="13"/>
      <c r="G153" s="112" t="b">
        <v>1</v>
      </c>
      <c r="H153" s="112" t="b">
        <v>1</v>
      </c>
      <c r="I153" s="112" t="b">
        <v>0</v>
      </c>
      <c r="J153" s="112" t="b">
        <v>1</v>
      </c>
      <c r="K153" s="112" t="b">
        <v>0</v>
      </c>
      <c r="L153" s="112" t="b">
        <v>0</v>
      </c>
      <c r="M153" s="112" t="b">
        <v>1</v>
      </c>
      <c r="N153" s="112" t="b">
        <v>1</v>
      </c>
      <c r="O153" s="112" t="b">
        <v>1</v>
      </c>
      <c r="P153" s="112" t="b">
        <v>1</v>
      </c>
      <c r="Q153" s="112" t="b">
        <v>1</v>
      </c>
      <c r="R153" s="112" t="b">
        <v>1</v>
      </c>
      <c r="S153" s="112" t="b">
        <v>1</v>
      </c>
      <c r="T153" s="112" t="b">
        <v>0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0</v>
      </c>
      <c r="AA153" s="112" t="b">
        <v>0</v>
      </c>
      <c r="AB153" s="112" t="b">
        <v>0</v>
      </c>
      <c r="AC153" s="112" t="b">
        <v>0</v>
      </c>
      <c r="AD153" s="112" t="b">
        <v>0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0</v>
      </c>
      <c r="AJ153" s="112" t="b">
        <v>0</v>
      </c>
      <c r="AK153" s="112" t="b">
        <v>0</v>
      </c>
      <c r="AL153" s="113" t="str">
        <f t="shared" si="1"/>
        <v>10 dari 31 (32%)</v>
      </c>
    </row>
    <row r="154" ht="22.5" customHeight="1">
      <c r="A154" s="2">
        <v>153.0</v>
      </c>
      <c r="B154" s="11"/>
      <c r="C154" s="20">
        <v>60073.0</v>
      </c>
      <c r="D154" s="12" t="s">
        <v>63</v>
      </c>
      <c r="E154" s="12" t="s">
        <v>58</v>
      </c>
      <c r="F154" s="13"/>
      <c r="G154" s="114" t="b">
        <v>1</v>
      </c>
      <c r="H154" s="114" t="b">
        <v>1</v>
      </c>
      <c r="I154" s="114" t="b">
        <v>1</v>
      </c>
      <c r="J154" s="114" t="b">
        <v>1</v>
      </c>
      <c r="K154" s="114" t="b">
        <v>1</v>
      </c>
      <c r="L154" s="114" t="b">
        <v>1</v>
      </c>
      <c r="M154" s="114" t="b">
        <v>1</v>
      </c>
      <c r="N154" s="114" t="b">
        <v>1</v>
      </c>
      <c r="O154" s="114" t="b">
        <v>1</v>
      </c>
      <c r="P154" s="114" t="b">
        <v>1</v>
      </c>
      <c r="Q154" s="114" t="b">
        <v>1</v>
      </c>
      <c r="R154" s="114" t="b">
        <v>1</v>
      </c>
      <c r="S154" s="114" t="b">
        <v>1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1</v>
      </c>
      <c r="AJ154" s="114" t="b">
        <v>0</v>
      </c>
      <c r="AK154" s="114" t="b">
        <v>0</v>
      </c>
      <c r="AL154" s="115" t="str">
        <f t="shared" si="1"/>
        <v>14 dari 31 (45%)</v>
      </c>
    </row>
    <row r="155" ht="22.5" customHeight="1">
      <c r="A155" s="10">
        <v>154.0</v>
      </c>
      <c r="B155" s="11"/>
      <c r="C155" s="20">
        <v>44964.0</v>
      </c>
      <c r="D155" s="12" t="s">
        <v>63</v>
      </c>
      <c r="E155" s="12" t="s">
        <v>58</v>
      </c>
      <c r="F155" s="13"/>
      <c r="G155" s="114" t="b">
        <v>1</v>
      </c>
      <c r="H155" s="114" t="b">
        <v>1</v>
      </c>
      <c r="I155" s="114" t="b">
        <v>0</v>
      </c>
      <c r="J155" s="114" t="b">
        <v>1</v>
      </c>
      <c r="K155" s="114" t="b">
        <v>0</v>
      </c>
      <c r="L155" s="114" t="b">
        <v>0</v>
      </c>
      <c r="M155" s="114" t="b">
        <v>1</v>
      </c>
      <c r="N155" s="114" t="b">
        <v>1</v>
      </c>
      <c r="O155" s="114" t="b">
        <v>1</v>
      </c>
      <c r="P155" s="114" t="b">
        <v>1</v>
      </c>
      <c r="Q155" s="114" t="b">
        <v>1</v>
      </c>
      <c r="R155" s="114" t="b">
        <v>1</v>
      </c>
      <c r="S155" s="114" t="b">
        <v>1</v>
      </c>
      <c r="T155" s="114" t="b">
        <v>1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5" t="str">
        <f t="shared" si="1"/>
        <v>11 dari 31 (35%)</v>
      </c>
    </row>
    <row r="156" ht="22.5" customHeight="1">
      <c r="A156" s="10">
        <v>155.0</v>
      </c>
      <c r="B156" s="11"/>
      <c r="C156" s="20">
        <v>60180.0</v>
      </c>
      <c r="D156" s="12" t="s">
        <v>63</v>
      </c>
      <c r="E156" s="12" t="s">
        <v>58</v>
      </c>
      <c r="F156" s="13"/>
      <c r="G156" s="114" t="b">
        <v>1</v>
      </c>
      <c r="H156" s="114" t="b">
        <v>1</v>
      </c>
      <c r="I156" s="114" t="b">
        <v>0</v>
      </c>
      <c r="J156" s="114" t="b">
        <v>1</v>
      </c>
      <c r="K156" s="114" t="b">
        <v>0</v>
      </c>
      <c r="L156" s="114" t="b">
        <v>0</v>
      </c>
      <c r="M156" s="114" t="b">
        <v>1</v>
      </c>
      <c r="N156" s="114" t="b">
        <v>1</v>
      </c>
      <c r="O156" s="114" t="b">
        <v>1</v>
      </c>
      <c r="P156" s="114" t="b">
        <v>1</v>
      </c>
      <c r="Q156" s="114" t="b">
        <v>1</v>
      </c>
      <c r="R156" s="114" t="b">
        <v>1</v>
      </c>
      <c r="S156" s="114" t="b">
        <v>1</v>
      </c>
      <c r="T156" s="114" t="b">
        <v>0</v>
      </c>
      <c r="U156" s="114" t="b">
        <v>0</v>
      </c>
      <c r="V156" s="114" t="b">
        <v>0</v>
      </c>
      <c r="W156" s="114" t="b">
        <v>0</v>
      </c>
      <c r="X156" s="114" t="b">
        <v>0</v>
      </c>
      <c r="Y156" s="114" t="b">
        <v>0</v>
      </c>
      <c r="Z156" s="114" t="b">
        <v>0</v>
      </c>
      <c r="AA156" s="114" t="b">
        <v>0</v>
      </c>
      <c r="AB156" s="114" t="b">
        <v>0</v>
      </c>
      <c r="AC156" s="114" t="b">
        <v>0</v>
      </c>
      <c r="AD156" s="114" t="b">
        <v>0</v>
      </c>
      <c r="AE156" s="114" t="b">
        <v>0</v>
      </c>
      <c r="AF156" s="114" t="b">
        <v>0</v>
      </c>
      <c r="AG156" s="114" t="b">
        <v>0</v>
      </c>
      <c r="AH156" s="114" t="b">
        <v>0</v>
      </c>
      <c r="AI156" s="114" t="b">
        <v>0</v>
      </c>
      <c r="AJ156" s="114" t="b">
        <v>0</v>
      </c>
      <c r="AK156" s="114" t="b">
        <v>0</v>
      </c>
      <c r="AL156" s="115" t="str">
        <f t="shared" si="1"/>
        <v>10 dari 31 (32%)</v>
      </c>
    </row>
    <row r="157" ht="22.5" customHeight="1">
      <c r="A157" s="2">
        <v>156.0</v>
      </c>
      <c r="B157" s="11"/>
      <c r="C157" s="22">
        <v>60580.0</v>
      </c>
      <c r="D157" s="12" t="s">
        <v>63</v>
      </c>
      <c r="E157" s="12" t="s">
        <v>58</v>
      </c>
      <c r="F157" s="13"/>
      <c r="G157" s="114" t="b">
        <v>1</v>
      </c>
      <c r="H157" s="114" t="b">
        <v>1</v>
      </c>
      <c r="I157" s="114" t="b">
        <v>0</v>
      </c>
      <c r="J157" s="114" t="b">
        <v>1</v>
      </c>
      <c r="K157" s="114" t="b">
        <v>0</v>
      </c>
      <c r="L157" s="114" t="b">
        <v>0</v>
      </c>
      <c r="M157" s="114" t="b">
        <v>1</v>
      </c>
      <c r="N157" s="114" t="b">
        <v>1</v>
      </c>
      <c r="O157" s="114" t="b">
        <v>1</v>
      </c>
      <c r="P157" s="114" t="b">
        <v>0</v>
      </c>
      <c r="Q157" s="114" t="b">
        <v>0</v>
      </c>
      <c r="R157" s="114" t="b">
        <v>1</v>
      </c>
      <c r="S157" s="114" t="b">
        <v>1</v>
      </c>
      <c r="T157" s="114" t="b">
        <v>1</v>
      </c>
      <c r="U157" s="114" t="b">
        <v>0</v>
      </c>
      <c r="V157" s="114" t="b">
        <v>0</v>
      </c>
      <c r="W157" s="114" t="b">
        <v>0</v>
      </c>
      <c r="X157" s="114" t="b">
        <v>0</v>
      </c>
      <c r="Y157" s="114" t="b">
        <v>0</v>
      </c>
      <c r="Z157" s="114" t="b">
        <v>0</v>
      </c>
      <c r="AA157" s="114" t="b">
        <v>0</v>
      </c>
      <c r="AB157" s="114" t="b">
        <v>0</v>
      </c>
      <c r="AC157" s="114" t="b">
        <v>0</v>
      </c>
      <c r="AD157" s="114" t="b">
        <v>0</v>
      </c>
      <c r="AE157" s="114" t="b">
        <v>0</v>
      </c>
      <c r="AF157" s="114" t="b">
        <v>0</v>
      </c>
      <c r="AG157" s="114" t="b">
        <v>0</v>
      </c>
      <c r="AH157" s="114" t="b">
        <v>0</v>
      </c>
      <c r="AI157" s="114" t="b">
        <v>0</v>
      </c>
      <c r="AJ157" s="114" t="b">
        <v>0</v>
      </c>
      <c r="AK157" s="114" t="b">
        <v>0</v>
      </c>
      <c r="AL157" s="115" t="str">
        <f t="shared" si="1"/>
        <v>9 dari 31 (29%)</v>
      </c>
    </row>
    <row r="158" ht="22.5" customHeight="1">
      <c r="A158" s="10">
        <v>157.0</v>
      </c>
      <c r="B158" s="11"/>
      <c r="C158" s="22">
        <v>60233.0</v>
      </c>
      <c r="D158" s="12" t="s">
        <v>63</v>
      </c>
      <c r="E158" s="12" t="s">
        <v>58</v>
      </c>
      <c r="F158" s="13"/>
      <c r="G158" s="114" t="b">
        <v>1</v>
      </c>
      <c r="H158" s="114" t="b">
        <v>1</v>
      </c>
      <c r="I158" s="114" t="b">
        <v>0</v>
      </c>
      <c r="J158" s="114" t="b">
        <v>1</v>
      </c>
      <c r="K158" s="114" t="b">
        <v>0</v>
      </c>
      <c r="L158" s="114" t="b">
        <v>0</v>
      </c>
      <c r="M158" s="114" t="b">
        <v>1</v>
      </c>
      <c r="N158" s="114" t="b">
        <v>1</v>
      </c>
      <c r="O158" s="114" t="b">
        <v>1</v>
      </c>
      <c r="P158" s="114" t="b">
        <v>1</v>
      </c>
      <c r="Q158" s="114" t="b">
        <v>1</v>
      </c>
      <c r="R158" s="114" t="b">
        <v>1</v>
      </c>
      <c r="S158" s="114" t="b">
        <v>1</v>
      </c>
      <c r="T158" s="114" t="b">
        <v>1</v>
      </c>
      <c r="U158" s="114" t="b">
        <v>0</v>
      </c>
      <c r="V158" s="114" t="b">
        <v>0</v>
      </c>
      <c r="W158" s="114" t="b">
        <v>0</v>
      </c>
      <c r="X158" s="114" t="b">
        <v>0</v>
      </c>
      <c r="Y158" s="114" t="b">
        <v>0</v>
      </c>
      <c r="Z158" s="114" t="b">
        <v>0</v>
      </c>
      <c r="AA158" s="114" t="b">
        <v>0</v>
      </c>
      <c r="AB158" s="114" t="b">
        <v>0</v>
      </c>
      <c r="AC158" s="114" t="b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 t="b">
        <v>0</v>
      </c>
      <c r="AI158" s="114" t="b">
        <v>0</v>
      </c>
      <c r="AJ158" s="114" t="b">
        <v>0</v>
      </c>
      <c r="AK158" s="114" t="b">
        <v>0</v>
      </c>
      <c r="AL158" s="115" t="str">
        <f t="shared" si="1"/>
        <v>11 dari 31 (35%)</v>
      </c>
    </row>
    <row r="159" ht="22.5" customHeight="1">
      <c r="A159" s="10">
        <v>158.0</v>
      </c>
      <c r="B159" s="11"/>
      <c r="C159" s="22">
        <v>58710.0</v>
      </c>
      <c r="D159" s="12" t="s">
        <v>63</v>
      </c>
      <c r="E159" s="12" t="s">
        <v>58</v>
      </c>
      <c r="F159" s="15" t="s">
        <v>50</v>
      </c>
      <c r="G159" s="114" t="b">
        <v>1</v>
      </c>
      <c r="H159" s="114" t="b">
        <v>0</v>
      </c>
      <c r="I159" s="114" t="b">
        <v>0</v>
      </c>
      <c r="J159" s="114" t="b">
        <v>1</v>
      </c>
      <c r="K159" s="114" t="b">
        <v>1</v>
      </c>
      <c r="L159" s="114" t="b">
        <v>1</v>
      </c>
      <c r="M159" s="114" t="b">
        <v>1</v>
      </c>
      <c r="N159" s="114" t="b">
        <v>1</v>
      </c>
      <c r="O159" s="114" t="b">
        <v>1</v>
      </c>
      <c r="P159" s="114" t="b">
        <v>0</v>
      </c>
      <c r="Q159" s="114" t="b">
        <v>0</v>
      </c>
      <c r="R159" s="114" t="b">
        <v>1</v>
      </c>
      <c r="S159" s="114" t="b">
        <v>1</v>
      </c>
      <c r="T159" s="114" t="b">
        <v>0</v>
      </c>
      <c r="U159" s="114" t="b">
        <v>0</v>
      </c>
      <c r="V159" s="114" t="b">
        <v>0</v>
      </c>
      <c r="W159" s="114" t="b">
        <v>0</v>
      </c>
      <c r="X159" s="114" t="b">
        <v>0</v>
      </c>
      <c r="Y159" s="114" t="b">
        <v>0</v>
      </c>
      <c r="Z159" s="114" t="b">
        <v>0</v>
      </c>
      <c r="AA159" s="114" t="b">
        <v>0</v>
      </c>
      <c r="AB159" s="114" t="b">
        <v>0</v>
      </c>
      <c r="AC159" s="114" t="b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 t="b">
        <v>0</v>
      </c>
      <c r="AI159" s="114" t="b">
        <v>0</v>
      </c>
      <c r="AJ159" s="114" t="b">
        <v>0</v>
      </c>
      <c r="AK159" s="114" t="b">
        <v>0</v>
      </c>
      <c r="AL159" s="115" t="str">
        <f t="shared" si="1"/>
        <v>9 dari 31 (29%)</v>
      </c>
    </row>
    <row r="160" ht="22.5" customHeight="1">
      <c r="A160" s="2">
        <v>159.0</v>
      </c>
      <c r="B160" s="11"/>
      <c r="C160" s="22">
        <v>60948.0</v>
      </c>
      <c r="D160" s="12" t="s">
        <v>63</v>
      </c>
      <c r="E160" s="12" t="s">
        <v>58</v>
      </c>
      <c r="F160" s="13"/>
      <c r="G160" s="114" t="b">
        <v>1</v>
      </c>
      <c r="H160" s="114" t="b">
        <v>1</v>
      </c>
      <c r="I160" s="114" t="b">
        <v>0</v>
      </c>
      <c r="J160" s="114" t="b">
        <v>1</v>
      </c>
      <c r="K160" s="114" t="b">
        <v>0</v>
      </c>
      <c r="L160" s="114" t="b">
        <v>0</v>
      </c>
      <c r="M160" s="114" t="b">
        <v>1</v>
      </c>
      <c r="N160" s="114" t="b">
        <v>1</v>
      </c>
      <c r="O160" s="114" t="b">
        <v>1</v>
      </c>
      <c r="P160" s="114" t="b">
        <v>1</v>
      </c>
      <c r="Q160" s="114" t="b">
        <v>1</v>
      </c>
      <c r="R160" s="114" t="b">
        <v>1</v>
      </c>
      <c r="S160" s="114" t="b">
        <v>1</v>
      </c>
      <c r="T160" s="114" t="b">
        <v>0</v>
      </c>
      <c r="U160" s="114" t="b">
        <v>0</v>
      </c>
      <c r="V160" s="114" t="b">
        <v>0</v>
      </c>
      <c r="W160" s="114" t="b">
        <v>0</v>
      </c>
      <c r="X160" s="114" t="b">
        <v>0</v>
      </c>
      <c r="Y160" s="114" t="b">
        <v>0</v>
      </c>
      <c r="Z160" s="114" t="b">
        <v>0</v>
      </c>
      <c r="AA160" s="114" t="b">
        <v>0</v>
      </c>
      <c r="AB160" s="114" t="b">
        <v>0</v>
      </c>
      <c r="AC160" s="114" t="b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 t="b">
        <v>0</v>
      </c>
      <c r="AI160" s="114" t="b">
        <v>0</v>
      </c>
      <c r="AJ160" s="114" t="b">
        <v>0</v>
      </c>
      <c r="AK160" s="114" t="b">
        <v>0</v>
      </c>
      <c r="AL160" s="115" t="str">
        <f t="shared" si="1"/>
        <v>10 dari 31 (32%)</v>
      </c>
    </row>
    <row r="161" ht="22.5" customHeight="1">
      <c r="A161" s="10">
        <v>160.0</v>
      </c>
      <c r="B161" s="11"/>
      <c r="C161" s="22">
        <v>57395.0</v>
      </c>
      <c r="D161" s="12" t="s">
        <v>63</v>
      </c>
      <c r="E161" s="12" t="s">
        <v>58</v>
      </c>
      <c r="F161" s="13"/>
      <c r="G161" s="114" t="b">
        <v>1</v>
      </c>
      <c r="H161" s="114" t="b">
        <v>1</v>
      </c>
      <c r="I161" s="114" t="b">
        <v>0</v>
      </c>
      <c r="J161" s="114" t="b">
        <v>1</v>
      </c>
      <c r="K161" s="114" t="b">
        <v>0</v>
      </c>
      <c r="L161" s="114" t="b">
        <v>0</v>
      </c>
      <c r="M161" s="114" t="b">
        <v>1</v>
      </c>
      <c r="N161" s="114" t="b">
        <v>1</v>
      </c>
      <c r="O161" s="114" t="b">
        <v>1</v>
      </c>
      <c r="P161" s="114" t="b">
        <v>1</v>
      </c>
      <c r="Q161" s="114" t="b">
        <v>1</v>
      </c>
      <c r="R161" s="114" t="b">
        <v>1</v>
      </c>
      <c r="S161" s="114" t="b">
        <v>1</v>
      </c>
      <c r="T161" s="114" t="b">
        <v>1</v>
      </c>
      <c r="U161" s="114" t="b">
        <v>0</v>
      </c>
      <c r="V161" s="114" t="b">
        <v>0</v>
      </c>
      <c r="W161" s="114" t="b">
        <v>0</v>
      </c>
      <c r="X161" s="114" t="b">
        <v>0</v>
      </c>
      <c r="Y161" s="114" t="b">
        <v>0</v>
      </c>
      <c r="Z161" s="114" t="b">
        <v>0</v>
      </c>
      <c r="AA161" s="114" t="b">
        <v>0</v>
      </c>
      <c r="AB161" s="114" t="b">
        <v>0</v>
      </c>
      <c r="AC161" s="114" t="b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 t="b">
        <v>0</v>
      </c>
      <c r="AI161" s="114" t="b">
        <v>0</v>
      </c>
      <c r="AJ161" s="114" t="b">
        <v>0</v>
      </c>
      <c r="AK161" s="114" t="b">
        <v>0</v>
      </c>
      <c r="AL161" s="115" t="str">
        <f t="shared" si="1"/>
        <v>11 dari 31 (35%)</v>
      </c>
    </row>
    <row r="162" ht="22.5" customHeight="1">
      <c r="A162" s="10">
        <v>161.0</v>
      </c>
      <c r="B162" s="11"/>
      <c r="C162" s="20">
        <v>59467.0</v>
      </c>
      <c r="D162" s="12" t="s">
        <v>63</v>
      </c>
      <c r="E162" s="12" t="s">
        <v>58</v>
      </c>
      <c r="F162" s="13"/>
      <c r="G162" s="114" t="b">
        <v>1</v>
      </c>
      <c r="H162" s="114" t="b">
        <v>1</v>
      </c>
      <c r="I162" s="114" t="b">
        <v>0</v>
      </c>
      <c r="J162" s="114" t="b">
        <v>1</v>
      </c>
      <c r="K162" s="114" t="b">
        <v>0</v>
      </c>
      <c r="L162" s="114" t="b">
        <v>0</v>
      </c>
      <c r="M162" s="114" t="b">
        <v>1</v>
      </c>
      <c r="N162" s="114" t="b">
        <v>1</v>
      </c>
      <c r="O162" s="114" t="b">
        <v>1</v>
      </c>
      <c r="P162" s="114" t="b">
        <v>1</v>
      </c>
      <c r="Q162" s="114" t="b">
        <v>1</v>
      </c>
      <c r="R162" s="114" t="b">
        <v>1</v>
      </c>
      <c r="S162" s="114" t="b">
        <v>1</v>
      </c>
      <c r="T162" s="114" t="b">
        <v>1</v>
      </c>
      <c r="U162" s="114" t="b">
        <v>0</v>
      </c>
      <c r="V162" s="114" t="b">
        <v>0</v>
      </c>
      <c r="W162" s="114" t="b">
        <v>0</v>
      </c>
      <c r="X162" s="114" t="b">
        <v>0</v>
      </c>
      <c r="Y162" s="114" t="b">
        <v>0</v>
      </c>
      <c r="Z162" s="114" t="b">
        <v>0</v>
      </c>
      <c r="AA162" s="114" t="b">
        <v>0</v>
      </c>
      <c r="AB162" s="114" t="b">
        <v>0</v>
      </c>
      <c r="AC162" s="114" t="b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 t="b">
        <v>0</v>
      </c>
      <c r="AI162" s="114" t="b">
        <v>0</v>
      </c>
      <c r="AJ162" s="114" t="b">
        <v>0</v>
      </c>
      <c r="AK162" s="114" t="b">
        <v>0</v>
      </c>
      <c r="AL162" s="115" t="str">
        <f t="shared" si="1"/>
        <v>11 dari 31 (35%)</v>
      </c>
    </row>
    <row r="163" ht="22.5" customHeight="1">
      <c r="A163" s="2">
        <v>162.0</v>
      </c>
      <c r="B163" s="11"/>
      <c r="C163" s="20">
        <v>46906.0</v>
      </c>
      <c r="D163" s="12" t="s">
        <v>63</v>
      </c>
      <c r="E163" s="12" t="s">
        <v>58</v>
      </c>
      <c r="F163" s="13"/>
      <c r="G163" s="114" t="b">
        <v>1</v>
      </c>
      <c r="H163" s="114" t="b">
        <v>1</v>
      </c>
      <c r="I163" s="114" t="b">
        <v>0</v>
      </c>
      <c r="J163" s="114" t="b">
        <v>1</v>
      </c>
      <c r="K163" s="114" t="b">
        <v>0</v>
      </c>
      <c r="L163" s="114" t="b">
        <v>0</v>
      </c>
      <c r="M163" s="114" t="b">
        <v>1</v>
      </c>
      <c r="N163" s="114" t="b">
        <v>1</v>
      </c>
      <c r="O163" s="114" t="b">
        <v>1</v>
      </c>
      <c r="P163" s="114" t="b">
        <v>1</v>
      </c>
      <c r="Q163" s="114" t="b">
        <v>1</v>
      </c>
      <c r="R163" s="114" t="b">
        <v>1</v>
      </c>
      <c r="S163" s="114" t="b">
        <v>1</v>
      </c>
      <c r="T163" s="114" t="b">
        <v>1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0</v>
      </c>
      <c r="AJ163" s="114" t="b">
        <v>0</v>
      </c>
      <c r="AK163" s="114" t="b">
        <v>0</v>
      </c>
      <c r="AL163" s="115" t="str">
        <f t="shared" si="1"/>
        <v>11 dari 31 (35%)</v>
      </c>
    </row>
    <row r="164" ht="22.5" customHeight="1">
      <c r="A164" s="10">
        <v>163.0</v>
      </c>
      <c r="B164" s="11"/>
      <c r="C164" s="20">
        <v>61200.0</v>
      </c>
      <c r="D164" s="12" t="s">
        <v>56</v>
      </c>
      <c r="E164" s="12" t="s">
        <v>58</v>
      </c>
      <c r="F164" s="135"/>
      <c r="G164" s="114" t="b">
        <v>1</v>
      </c>
      <c r="H164" s="114" t="b">
        <v>1</v>
      </c>
      <c r="I164" s="114" t="b">
        <v>1</v>
      </c>
      <c r="J164" s="114" t="b">
        <v>1</v>
      </c>
      <c r="K164" s="114" t="b">
        <v>1</v>
      </c>
      <c r="L164" s="114" t="b">
        <v>1</v>
      </c>
      <c r="M164" s="114" t="b">
        <v>1</v>
      </c>
      <c r="N164" s="114" t="b">
        <v>1</v>
      </c>
      <c r="O164" s="114" t="b">
        <v>1</v>
      </c>
      <c r="P164" s="114" t="b">
        <v>1</v>
      </c>
      <c r="Q164" s="114" t="b">
        <v>1</v>
      </c>
      <c r="R164" s="114" t="b">
        <v>1</v>
      </c>
      <c r="S164" s="114" t="b">
        <v>1</v>
      </c>
      <c r="T164" s="114" t="b">
        <v>1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1</v>
      </c>
      <c r="AJ164" s="114" t="b">
        <v>0</v>
      </c>
      <c r="AK164" s="114" t="b">
        <v>0</v>
      </c>
      <c r="AL164" s="115" t="str">
        <f t="shared" si="1"/>
        <v>15 dari 31 (48%)</v>
      </c>
    </row>
    <row r="165" ht="22.5" customHeight="1">
      <c r="A165" s="10">
        <v>164.0</v>
      </c>
      <c r="B165" s="11"/>
      <c r="C165" s="20">
        <v>61175.0</v>
      </c>
      <c r="D165" s="12" t="s">
        <v>63</v>
      </c>
      <c r="E165" s="12" t="s">
        <v>58</v>
      </c>
      <c r="F165" s="13"/>
      <c r="G165" s="114" t="b">
        <v>1</v>
      </c>
      <c r="H165" s="114" t="b">
        <v>1</v>
      </c>
      <c r="I165" s="114" t="b">
        <v>1</v>
      </c>
      <c r="J165" s="114" t="b">
        <v>0</v>
      </c>
      <c r="K165" s="114" t="b">
        <v>1</v>
      </c>
      <c r="L165" s="114" t="b">
        <v>1</v>
      </c>
      <c r="M165" s="114" t="b">
        <v>1</v>
      </c>
      <c r="N165" s="114" t="b">
        <v>1</v>
      </c>
      <c r="O165" s="114" t="b">
        <v>1</v>
      </c>
      <c r="P165" s="114" t="b">
        <v>0</v>
      </c>
      <c r="Q165" s="114" t="b">
        <v>0</v>
      </c>
      <c r="R165" s="114" t="b">
        <v>1</v>
      </c>
      <c r="S165" s="114" t="b">
        <v>1</v>
      </c>
      <c r="T165" s="114" t="b">
        <v>0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1</v>
      </c>
      <c r="AA165" s="114" t="b">
        <v>1</v>
      </c>
      <c r="AB165" s="114" t="b">
        <v>1</v>
      </c>
      <c r="AC165" s="114" t="b">
        <v>1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1</v>
      </c>
      <c r="AJ165" s="114" t="b">
        <v>0</v>
      </c>
      <c r="AK165" s="114" t="b">
        <v>0</v>
      </c>
      <c r="AL165" s="115" t="str">
        <f t="shared" si="1"/>
        <v>15 dari 31 (48%)</v>
      </c>
    </row>
    <row r="166" ht="22.5" customHeight="1">
      <c r="A166" s="2">
        <v>165.0</v>
      </c>
      <c r="B166" s="11"/>
      <c r="C166" s="20">
        <v>59280.0</v>
      </c>
      <c r="D166" s="12" t="s">
        <v>93</v>
      </c>
      <c r="E166" s="12" t="s">
        <v>103</v>
      </c>
      <c r="F166" s="13"/>
      <c r="G166" s="114" t="b">
        <v>1</v>
      </c>
      <c r="H166" s="114" t="b">
        <v>1</v>
      </c>
      <c r="I166" s="114" t="b">
        <v>1</v>
      </c>
      <c r="J166" s="114" t="b">
        <v>1</v>
      </c>
      <c r="K166" s="114" t="b">
        <v>1</v>
      </c>
      <c r="L166" s="114" t="b">
        <v>1</v>
      </c>
      <c r="M166" s="114" t="b">
        <v>1</v>
      </c>
      <c r="N166" s="114" t="b">
        <v>1</v>
      </c>
      <c r="O166" s="114" t="b">
        <v>1</v>
      </c>
      <c r="P166" s="114" t="b">
        <v>1</v>
      </c>
      <c r="Q166" s="114" t="b">
        <v>1</v>
      </c>
      <c r="R166" s="114" t="b">
        <v>1</v>
      </c>
      <c r="S166" s="114" t="b">
        <v>1</v>
      </c>
      <c r="T166" s="114" t="b">
        <v>1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0</v>
      </c>
      <c r="AJ166" s="114" t="b">
        <v>0</v>
      </c>
      <c r="AK166" s="114" t="b">
        <v>0</v>
      </c>
      <c r="AL166" s="115" t="str">
        <f t="shared" si="1"/>
        <v>14 dari 31 (45%)</v>
      </c>
    </row>
    <row r="167" ht="22.5" customHeight="1">
      <c r="A167" s="10">
        <v>166.0</v>
      </c>
      <c r="B167" s="11"/>
      <c r="C167" s="22">
        <v>61175.0</v>
      </c>
      <c r="D167" s="12" t="s">
        <v>141</v>
      </c>
      <c r="E167" s="12" t="s">
        <v>58</v>
      </c>
      <c r="F167" s="14" t="s">
        <v>50</v>
      </c>
      <c r="G167" s="114" t="b">
        <v>1</v>
      </c>
      <c r="H167" s="114" t="b">
        <v>0</v>
      </c>
      <c r="I167" s="114" t="b">
        <v>0</v>
      </c>
      <c r="J167" s="114" t="b">
        <v>0</v>
      </c>
      <c r="K167" s="114" t="b">
        <v>0</v>
      </c>
      <c r="L167" s="114" t="b">
        <v>0</v>
      </c>
      <c r="M167" s="114" t="b">
        <v>0</v>
      </c>
      <c r="N167" s="114" t="b">
        <v>0</v>
      </c>
      <c r="O167" s="114" t="b">
        <v>0</v>
      </c>
      <c r="P167" s="114" t="b">
        <v>0</v>
      </c>
      <c r="Q167" s="114" t="b">
        <v>0</v>
      </c>
      <c r="R167" s="114" t="b">
        <v>0</v>
      </c>
      <c r="S167" s="114" t="b">
        <v>0</v>
      </c>
      <c r="T167" s="114" t="b">
        <v>0</v>
      </c>
      <c r="U167" s="114" t="b">
        <v>0</v>
      </c>
      <c r="V167" s="114" t="b">
        <v>0</v>
      </c>
      <c r="W167" s="114" t="b">
        <v>0</v>
      </c>
      <c r="X167" s="114" t="b">
        <v>0</v>
      </c>
      <c r="Y167" s="114" t="b">
        <v>0</v>
      </c>
      <c r="Z167" s="114" t="b">
        <v>0</v>
      </c>
      <c r="AA167" s="114" t="b">
        <v>0</v>
      </c>
      <c r="AB167" s="114" t="b">
        <v>0</v>
      </c>
      <c r="AC167" s="114" t="b">
        <v>0</v>
      </c>
      <c r="AD167" s="114" t="b">
        <v>0</v>
      </c>
      <c r="AE167" s="114" t="b">
        <v>0</v>
      </c>
      <c r="AF167" s="114" t="b">
        <v>0</v>
      </c>
      <c r="AG167" s="114" t="b">
        <v>0</v>
      </c>
      <c r="AH167" s="114" t="b">
        <v>0</v>
      </c>
      <c r="AI167" s="114" t="b">
        <v>0</v>
      </c>
      <c r="AJ167" s="114" t="b">
        <v>0</v>
      </c>
      <c r="AK167" s="114" t="b">
        <v>0</v>
      </c>
      <c r="AL167" s="115" t="str">
        <f t="shared" si="1"/>
        <v>1 dari 31 (3%)</v>
      </c>
    </row>
    <row r="168" ht="22.5" customHeight="1">
      <c r="A168" s="10">
        <v>167.0</v>
      </c>
      <c r="B168" s="11"/>
      <c r="C168" s="22">
        <v>61179.0</v>
      </c>
      <c r="D168" s="12" t="s">
        <v>89</v>
      </c>
      <c r="E168" s="12" t="s">
        <v>95</v>
      </c>
      <c r="F168" s="14" t="s">
        <v>50</v>
      </c>
      <c r="G168" s="114" t="b">
        <v>1</v>
      </c>
      <c r="H168" s="114" t="b">
        <v>0</v>
      </c>
      <c r="I168" s="114" t="b">
        <v>0</v>
      </c>
      <c r="J168" s="114" t="b">
        <v>0</v>
      </c>
      <c r="K168" s="114" t="b">
        <v>0</v>
      </c>
      <c r="L168" s="114" t="b">
        <v>0</v>
      </c>
      <c r="M168" s="114" t="b">
        <v>0</v>
      </c>
      <c r="N168" s="114" t="b">
        <v>0</v>
      </c>
      <c r="O168" s="114" t="b">
        <v>0</v>
      </c>
      <c r="P168" s="114" t="b">
        <v>0</v>
      </c>
      <c r="Q168" s="114" t="b">
        <v>0</v>
      </c>
      <c r="R168" s="114" t="b">
        <v>0</v>
      </c>
      <c r="S168" s="114" t="b">
        <v>0</v>
      </c>
      <c r="T168" s="114" t="b">
        <v>0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0</v>
      </c>
      <c r="AJ168" s="114" t="b">
        <v>0</v>
      </c>
      <c r="AK168" s="114" t="b">
        <v>0</v>
      </c>
      <c r="AL168" s="115" t="str">
        <f t="shared" si="1"/>
        <v>1 dari 31 (3%)</v>
      </c>
    </row>
    <row r="169" ht="22.5" customHeight="1">
      <c r="A169" s="2">
        <v>168.0</v>
      </c>
      <c r="B169" s="11"/>
      <c r="C169" s="22">
        <v>61180.0</v>
      </c>
      <c r="D169" s="12" t="s">
        <v>89</v>
      </c>
      <c r="E169" s="12" t="s">
        <v>95</v>
      </c>
      <c r="F169" s="14" t="s">
        <v>50</v>
      </c>
      <c r="G169" s="114" t="b">
        <v>1</v>
      </c>
      <c r="H169" s="114" t="b">
        <v>0</v>
      </c>
      <c r="I169" s="114" t="b">
        <v>0</v>
      </c>
      <c r="J169" s="114" t="b">
        <v>0</v>
      </c>
      <c r="K169" s="114" t="b">
        <v>0</v>
      </c>
      <c r="L169" s="114" t="b">
        <v>0</v>
      </c>
      <c r="M169" s="114" t="b">
        <v>0</v>
      </c>
      <c r="N169" s="114" t="b">
        <v>0</v>
      </c>
      <c r="O169" s="114" t="b">
        <v>0</v>
      </c>
      <c r="P169" s="114" t="b">
        <v>0</v>
      </c>
      <c r="Q169" s="114" t="b">
        <v>0</v>
      </c>
      <c r="R169" s="114" t="b">
        <v>0</v>
      </c>
      <c r="S169" s="114" t="b">
        <v>0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0</v>
      </c>
      <c r="AJ169" s="114" t="b">
        <v>0</v>
      </c>
      <c r="AK169" s="114" t="b">
        <v>0</v>
      </c>
      <c r="AL169" s="115" t="str">
        <f t="shared" si="1"/>
        <v>1 dari 31 (3%)</v>
      </c>
    </row>
    <row r="170" ht="22.5" customHeight="1">
      <c r="A170" s="10">
        <v>169.0</v>
      </c>
      <c r="B170" s="11"/>
      <c r="C170" s="22">
        <v>61181.0</v>
      </c>
      <c r="D170" s="12" t="s">
        <v>89</v>
      </c>
      <c r="E170" s="12" t="s">
        <v>95</v>
      </c>
      <c r="F170" s="14" t="s">
        <v>50</v>
      </c>
      <c r="G170" s="114" t="b">
        <v>1</v>
      </c>
      <c r="H170" s="114" t="b">
        <v>0</v>
      </c>
      <c r="I170" s="114" t="b">
        <v>0</v>
      </c>
      <c r="J170" s="114" t="b">
        <v>0</v>
      </c>
      <c r="K170" s="114" t="b">
        <v>0</v>
      </c>
      <c r="L170" s="114" t="b">
        <v>0</v>
      </c>
      <c r="M170" s="114" t="b">
        <v>0</v>
      </c>
      <c r="N170" s="114" t="b">
        <v>0</v>
      </c>
      <c r="O170" s="114" t="b">
        <v>0</v>
      </c>
      <c r="P170" s="114" t="b">
        <v>0</v>
      </c>
      <c r="Q170" s="114" t="b">
        <v>0</v>
      </c>
      <c r="R170" s="114" t="b">
        <v>0</v>
      </c>
      <c r="S170" s="114" t="b">
        <v>0</v>
      </c>
      <c r="T170" s="114" t="b">
        <v>0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0</v>
      </c>
      <c r="AA170" s="114" t="b">
        <v>0</v>
      </c>
      <c r="AB170" s="114" t="b">
        <v>0</v>
      </c>
      <c r="AC170" s="114" t="b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0</v>
      </c>
      <c r="AJ170" s="114" t="b">
        <v>0</v>
      </c>
      <c r="AK170" s="114" t="b">
        <v>0</v>
      </c>
      <c r="AL170" s="115" t="str">
        <f t="shared" si="1"/>
        <v>1 dari 31 (3%)</v>
      </c>
    </row>
    <row r="171" ht="22.5" customHeight="1">
      <c r="A171" s="10">
        <v>170.0</v>
      </c>
      <c r="B171" s="11"/>
      <c r="C171" s="22">
        <v>61189.0</v>
      </c>
      <c r="D171" s="12" t="s">
        <v>89</v>
      </c>
      <c r="E171" s="12" t="s">
        <v>95</v>
      </c>
      <c r="F171" s="14" t="s">
        <v>50</v>
      </c>
      <c r="G171" s="114" t="b">
        <v>1</v>
      </c>
      <c r="H171" s="114" t="b">
        <v>0</v>
      </c>
      <c r="I171" s="114" t="b">
        <v>0</v>
      </c>
      <c r="J171" s="114" t="b">
        <v>0</v>
      </c>
      <c r="K171" s="114" t="b">
        <v>0</v>
      </c>
      <c r="L171" s="114" t="b">
        <v>0</v>
      </c>
      <c r="M171" s="114" t="b">
        <v>0</v>
      </c>
      <c r="N171" s="114" t="b">
        <v>0</v>
      </c>
      <c r="O171" s="114" t="b">
        <v>0</v>
      </c>
      <c r="P171" s="114" t="b">
        <v>0</v>
      </c>
      <c r="Q171" s="114" t="b">
        <v>0</v>
      </c>
      <c r="R171" s="114" t="b">
        <v>0</v>
      </c>
      <c r="S171" s="114" t="b">
        <v>0</v>
      </c>
      <c r="T171" s="114" t="b">
        <v>0</v>
      </c>
      <c r="U171" s="114" t="b">
        <v>0</v>
      </c>
      <c r="V171" s="114" t="b">
        <v>0</v>
      </c>
      <c r="W171" s="114" t="b">
        <v>0</v>
      </c>
      <c r="X171" s="114" t="b">
        <v>0</v>
      </c>
      <c r="Y171" s="114" t="b">
        <v>0</v>
      </c>
      <c r="Z171" s="114" t="b">
        <v>0</v>
      </c>
      <c r="AA171" s="114" t="b">
        <v>0</v>
      </c>
      <c r="AB171" s="114" t="b">
        <v>0</v>
      </c>
      <c r="AC171" s="114" t="b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 t="b">
        <v>0</v>
      </c>
      <c r="AI171" s="114" t="b">
        <v>0</v>
      </c>
      <c r="AJ171" s="114" t="b">
        <v>0</v>
      </c>
      <c r="AK171" s="114" t="b">
        <v>0</v>
      </c>
      <c r="AL171" s="115" t="str">
        <f t="shared" si="1"/>
        <v>1 dari 31 (3%)</v>
      </c>
    </row>
    <row r="172" ht="22.5" customHeight="1">
      <c r="A172" s="2">
        <v>171.0</v>
      </c>
      <c r="B172" s="11"/>
      <c r="C172" s="21">
        <v>61192.0</v>
      </c>
      <c r="D172" s="12" t="s">
        <v>89</v>
      </c>
      <c r="E172" s="12" t="s">
        <v>95</v>
      </c>
      <c r="F172" s="27" t="s">
        <v>67</v>
      </c>
      <c r="G172" s="114" t="b">
        <v>0</v>
      </c>
      <c r="H172" s="114" t="b">
        <v>0</v>
      </c>
      <c r="I172" s="114" t="b">
        <v>0</v>
      </c>
      <c r="J172" s="114" t="b">
        <v>0</v>
      </c>
      <c r="K172" s="114" t="b">
        <v>0</v>
      </c>
      <c r="L172" s="114" t="b">
        <v>0</v>
      </c>
      <c r="M172" s="114" t="b">
        <v>0</v>
      </c>
      <c r="N172" s="114" t="b">
        <v>0</v>
      </c>
      <c r="O172" s="114" t="b">
        <v>0</v>
      </c>
      <c r="P172" s="114" t="b">
        <v>0</v>
      </c>
      <c r="Q172" s="114" t="b">
        <v>0</v>
      </c>
      <c r="R172" s="114" t="b">
        <v>0</v>
      </c>
      <c r="S172" s="114" t="b">
        <v>0</v>
      </c>
      <c r="T172" s="114" t="b">
        <v>0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0</v>
      </c>
      <c r="AJ172" s="114" t="b">
        <v>0</v>
      </c>
      <c r="AK172" s="114" t="b">
        <v>0</v>
      </c>
      <c r="AL172" s="115" t="str">
        <f t="shared" si="1"/>
        <v>0 dari 31 (0%)</v>
      </c>
    </row>
    <row r="173" ht="22.5" customHeight="1">
      <c r="A173" s="10">
        <v>172.0</v>
      </c>
      <c r="B173" s="11"/>
      <c r="C173" s="21">
        <v>61193.0</v>
      </c>
      <c r="D173" s="12" t="s">
        <v>89</v>
      </c>
      <c r="E173" s="12" t="s">
        <v>95</v>
      </c>
      <c r="F173" s="14" t="s">
        <v>50</v>
      </c>
      <c r="G173" s="114" t="b">
        <v>1</v>
      </c>
      <c r="H173" s="114" t="b">
        <v>0</v>
      </c>
      <c r="I173" s="114" t="b">
        <v>0</v>
      </c>
      <c r="J173" s="114" t="b">
        <v>0</v>
      </c>
      <c r="K173" s="114" t="b">
        <v>0</v>
      </c>
      <c r="L173" s="114" t="b">
        <v>0</v>
      </c>
      <c r="M173" s="114" t="b">
        <v>0</v>
      </c>
      <c r="N173" s="114" t="b">
        <v>0</v>
      </c>
      <c r="O173" s="114" t="b">
        <v>0</v>
      </c>
      <c r="P173" s="114" t="b">
        <v>0</v>
      </c>
      <c r="Q173" s="114" t="b">
        <v>0</v>
      </c>
      <c r="R173" s="114" t="b">
        <v>0</v>
      </c>
      <c r="S173" s="114" t="b">
        <v>0</v>
      </c>
      <c r="T173" s="114" t="b">
        <v>0</v>
      </c>
      <c r="U173" s="114" t="b">
        <v>0</v>
      </c>
      <c r="V173" s="114" t="b">
        <v>0</v>
      </c>
      <c r="W173" s="114" t="b">
        <v>0</v>
      </c>
      <c r="X173" s="114" t="b">
        <v>0</v>
      </c>
      <c r="Y173" s="114" t="b">
        <v>0</v>
      </c>
      <c r="Z173" s="114" t="b">
        <v>0</v>
      </c>
      <c r="AA173" s="114" t="b">
        <v>0</v>
      </c>
      <c r="AB173" s="114" t="b">
        <v>0</v>
      </c>
      <c r="AC173" s="114" t="b">
        <v>0</v>
      </c>
      <c r="AD173" s="114" t="b">
        <v>0</v>
      </c>
      <c r="AE173" s="114" t="b">
        <v>0</v>
      </c>
      <c r="AF173" s="114" t="b">
        <v>0</v>
      </c>
      <c r="AG173" s="114" t="b">
        <v>0</v>
      </c>
      <c r="AH173" s="114" t="b">
        <v>0</v>
      </c>
      <c r="AI173" s="114" t="b">
        <v>0</v>
      </c>
      <c r="AJ173" s="114" t="b">
        <v>0</v>
      </c>
      <c r="AK173" s="114" t="b">
        <v>0</v>
      </c>
      <c r="AL173" s="115" t="str">
        <f t="shared" si="1"/>
        <v>1 dari 31 (3%)</v>
      </c>
    </row>
    <row r="174" ht="22.5" customHeight="1">
      <c r="A174" s="10">
        <v>173.0</v>
      </c>
      <c r="B174" s="11"/>
      <c r="C174" s="21">
        <v>44839.0</v>
      </c>
      <c r="D174" s="12" t="s">
        <v>89</v>
      </c>
      <c r="E174" s="12" t="s">
        <v>95</v>
      </c>
      <c r="F174" s="14" t="s">
        <v>50</v>
      </c>
      <c r="G174" s="114" t="b">
        <v>1</v>
      </c>
      <c r="H174" s="114" t="b">
        <v>0</v>
      </c>
      <c r="I174" s="114" t="b">
        <v>0</v>
      </c>
      <c r="J174" s="114" t="b">
        <v>0</v>
      </c>
      <c r="K174" s="114" t="b">
        <v>0</v>
      </c>
      <c r="L174" s="114" t="b">
        <v>0</v>
      </c>
      <c r="M174" s="114" t="b">
        <v>0</v>
      </c>
      <c r="N174" s="114" t="b">
        <v>0</v>
      </c>
      <c r="O174" s="114" t="b">
        <v>0</v>
      </c>
      <c r="P174" s="114" t="b">
        <v>0</v>
      </c>
      <c r="Q174" s="114" t="b">
        <v>0</v>
      </c>
      <c r="R174" s="114" t="b">
        <v>0</v>
      </c>
      <c r="S174" s="114" t="b">
        <v>0</v>
      </c>
      <c r="T174" s="114" t="b">
        <v>0</v>
      </c>
      <c r="U174" s="114" t="b">
        <v>0</v>
      </c>
      <c r="V174" s="114" t="b">
        <v>0</v>
      </c>
      <c r="W174" s="114" t="b">
        <v>0</v>
      </c>
      <c r="X174" s="114" t="b">
        <v>0</v>
      </c>
      <c r="Y174" s="114" t="b">
        <v>0</v>
      </c>
      <c r="Z174" s="114" t="b">
        <v>0</v>
      </c>
      <c r="AA174" s="114" t="b">
        <v>0</v>
      </c>
      <c r="AB174" s="114" t="b">
        <v>0</v>
      </c>
      <c r="AC174" s="114" t="b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 t="b">
        <v>0</v>
      </c>
      <c r="AI174" s="114" t="b">
        <v>0</v>
      </c>
      <c r="AJ174" s="114" t="b">
        <v>0</v>
      </c>
      <c r="AK174" s="114" t="b">
        <v>0</v>
      </c>
      <c r="AL174" s="115" t="str">
        <f t="shared" si="1"/>
        <v>1 dari 31 (3%)</v>
      </c>
    </row>
    <row r="175" ht="22.5" customHeight="1">
      <c r="A175" s="2">
        <v>174.0</v>
      </c>
      <c r="B175" s="11"/>
      <c r="C175" s="21">
        <v>61201.0</v>
      </c>
      <c r="D175" s="12" t="s">
        <v>89</v>
      </c>
      <c r="E175" s="12" t="s">
        <v>95</v>
      </c>
      <c r="F175" s="14" t="s">
        <v>50</v>
      </c>
      <c r="G175" s="114" t="b">
        <v>1</v>
      </c>
      <c r="H175" s="114" t="b">
        <v>0</v>
      </c>
      <c r="I175" s="114" t="b">
        <v>0</v>
      </c>
      <c r="J175" s="114" t="b">
        <v>0</v>
      </c>
      <c r="K175" s="114" t="b">
        <v>0</v>
      </c>
      <c r="L175" s="114" t="b">
        <v>0</v>
      </c>
      <c r="M175" s="114" t="b">
        <v>0</v>
      </c>
      <c r="N175" s="114" t="b">
        <v>0</v>
      </c>
      <c r="O175" s="114" t="b">
        <v>0</v>
      </c>
      <c r="P175" s="114" t="b">
        <v>0</v>
      </c>
      <c r="Q175" s="114" t="b">
        <v>0</v>
      </c>
      <c r="R175" s="114" t="b">
        <v>0</v>
      </c>
      <c r="S175" s="114" t="b">
        <v>0</v>
      </c>
      <c r="T175" s="114" t="b">
        <v>0</v>
      </c>
      <c r="U175" s="114" t="b">
        <v>0</v>
      </c>
      <c r="V175" s="114" t="b">
        <v>0</v>
      </c>
      <c r="W175" s="114" t="b">
        <v>0</v>
      </c>
      <c r="X175" s="114" t="b">
        <v>0</v>
      </c>
      <c r="Y175" s="114" t="b">
        <v>0</v>
      </c>
      <c r="Z175" s="114" t="b">
        <v>0</v>
      </c>
      <c r="AA175" s="114" t="b">
        <v>0</v>
      </c>
      <c r="AB175" s="114" t="b">
        <v>0</v>
      </c>
      <c r="AC175" s="114" t="b">
        <v>0</v>
      </c>
      <c r="AD175" s="114" t="b">
        <v>0</v>
      </c>
      <c r="AE175" s="114" t="b">
        <v>0</v>
      </c>
      <c r="AF175" s="114" t="b">
        <v>0</v>
      </c>
      <c r="AG175" s="114" t="b">
        <v>0</v>
      </c>
      <c r="AH175" s="114" t="b">
        <v>0</v>
      </c>
      <c r="AI175" s="114" t="b">
        <v>0</v>
      </c>
      <c r="AJ175" s="114" t="b">
        <v>0</v>
      </c>
      <c r="AK175" s="114" t="b">
        <v>0</v>
      </c>
      <c r="AL175" s="115" t="str">
        <f t="shared" si="1"/>
        <v>1 dari 31 (3%)</v>
      </c>
    </row>
    <row r="177">
      <c r="B177" s="71" t="s">
        <v>38</v>
      </c>
      <c r="C177" s="72"/>
      <c r="D177" s="72"/>
      <c r="E177" s="72"/>
      <c r="F177" s="73"/>
      <c r="G177" s="74">
        <f>COUNTIF(JULI_9[ID Encounter], TRUE)</f>
        <v>166</v>
      </c>
      <c r="H177" s="74">
        <f>COUNTIF(JULI_9[ID Condition], TRUE)</f>
        <v>144</v>
      </c>
      <c r="I177" s="74">
        <f>COUNTIF(JULI_9[ID Clinical Impression], TRUE)</f>
        <v>79</v>
      </c>
      <c r="J177" s="74">
        <f>COUNTIF(JULI_9[ID Observation Tensi], TRUE)</f>
        <v>143</v>
      </c>
      <c r="K177" s="74">
        <f>COUNTIF(JULI_9[ID Observation Nadi], TRUE)</f>
        <v>130</v>
      </c>
      <c r="L177" s="74">
        <f>COUNTIF(JULI_9[ID Observation RR], TRUE)</f>
        <v>129</v>
      </c>
      <c r="M177" s="74">
        <f>COUNTIF(JULI_9[ID Observation Suhu], TRUE)</f>
        <v>143</v>
      </c>
      <c r="N177" s="74">
        <f>COUNTIF(JULI_9[ID Observation SPO2], TRUE)</f>
        <v>144</v>
      </c>
      <c r="O177" s="74">
        <f>COUNTIF(JULI_9[ID Observation GCS], TRUE)</f>
        <v>143</v>
      </c>
      <c r="P177" s="74">
        <f>COUNTIF(JULI_9[ID Observation Tinggi], TRUE)</f>
        <v>141</v>
      </c>
      <c r="Q177" s="74">
        <f>COUNTIF(JULI_9[ID Observation Berat], TRUE)</f>
        <v>141</v>
      </c>
      <c r="R177" s="74">
        <f>COUNTIF(JULI_9[ID Observation Perut], TRUE)</f>
        <v>138</v>
      </c>
      <c r="S177" s="74">
        <f>COUNTIF(JULI_9[ID Observation Kesadaran], TRUE)</f>
        <v>144</v>
      </c>
      <c r="T177" s="74">
        <f>COUNTIF(JULI_9[ID Procedure], TRUE)</f>
        <v>119</v>
      </c>
      <c r="U177" s="74">
        <f>COUNTIF(JULI_9[ID Composition], TRUE)</f>
        <v>0</v>
      </c>
      <c r="V177" s="74">
        <f>COUNTIF(JULI_9[ID Vaksin/Imunisasi], TRUE)</f>
        <v>0</v>
      </c>
      <c r="W177" s="74">
        <f>COUNTIF(JULI_9[ID Medication Request], TRUE)</f>
        <v>9</v>
      </c>
      <c r="X177" s="74">
        <f>COUNTIF(JULI_9[ID Medication Dispense], TRUE)</f>
        <v>9</v>
      </c>
      <c r="Y177" s="74">
        <f>COUNTIF(JULI_9[ID Medication Statement], TRUE)</f>
        <v>9</v>
      </c>
      <c r="Z177" s="74">
        <f>COUNTIF(JULI_9[ID Service Request Radiologi], TRUE)</f>
        <v>10</v>
      </c>
      <c r="AA177" s="74">
        <f>COUNTIF(JULI_9[ID Specimen Radiologi], TRUE)</f>
        <v>10</v>
      </c>
      <c r="AB177" s="74">
        <f>COUNTIF(JULI_9[ID Observation Radiologi], TRUE)</f>
        <v>10</v>
      </c>
      <c r="AC177" s="74">
        <f>COUNTIF(JULI_9[ID Diagnostic Report Radiologi], TRUE)</f>
        <v>9</v>
      </c>
      <c r="AD177" s="74">
        <f>COUNTIF(JULI_9[Image Study], TRUE)</f>
        <v>8</v>
      </c>
      <c r="AE177" s="74">
        <f>COUNTIF(JULI_9[ID Service Request Lab PK], TRUE)</f>
        <v>0</v>
      </c>
      <c r="AF177" s="74">
        <f>COUNTIF(JULI_9[ID Specimen Lab PK], TRUE)</f>
        <v>0</v>
      </c>
      <c r="AG177" s="74">
        <f>COUNTIF(JULI_9[ID Observation Lab PK], TRUE)</f>
        <v>0</v>
      </c>
      <c r="AH177" s="74">
        <f>COUNTIF(JULI_9[ID Diagnostic Report Lab PK], TRUE)</f>
        <v>0</v>
      </c>
      <c r="AI177" s="74">
        <f>COUNTIF(JULI_9[ID Care Plan], TRUE)</f>
        <v>83</v>
      </c>
      <c r="AJ177" s="74">
        <f>COUNTIF(JULI_9[ID Allergy], TRUE)</f>
        <v>0</v>
      </c>
      <c r="AK177" s="74">
        <f>COUNTIF(JULI_9[ID Questionnaire], TRUE)</f>
        <v>0</v>
      </c>
      <c r="AL177" s="75" t="str">
        <f>COUNTIF(JULI_9[[ID Encounter]:[ID Questionnaire]], TRUE()) &amp; " dari " &amp; (ROWS(JULI_9[[ID Encounter]:[ID Questionnaire]])*COLUMNS(JULI_9[[ID Encounter]:[ID Questionnaire]])) &amp; " (" &amp; TEXT(COUNTIF(JULI_9[[ID Encounter]:[ID Questionnaire]], TRUE())/(ROWS(JULI_9[[ID Encounter]:[ID Questionnaire]])*COLUMNS(JULI_9[[ID Encounter]:[ID Questionnaire]])),"0%") &amp; ")"</f>
        <v>2061 dari 5394 (38%)</v>
      </c>
    </row>
    <row r="178">
      <c r="B178" s="76"/>
      <c r="C178" s="77"/>
      <c r="D178" s="77"/>
      <c r="E178" s="77"/>
      <c r="F178" s="78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</row>
  </sheetData>
  <mergeCells count="33">
    <mergeCell ref="B177:F178"/>
    <mergeCell ref="G177:G178"/>
    <mergeCell ref="H177:H178"/>
    <mergeCell ref="I177:I178"/>
    <mergeCell ref="J177:J178"/>
    <mergeCell ref="K177:K178"/>
    <mergeCell ref="L177:L178"/>
    <mergeCell ref="M177:M178"/>
    <mergeCell ref="N177:N178"/>
    <mergeCell ref="O177:O178"/>
    <mergeCell ref="P177:P178"/>
    <mergeCell ref="Q177:Q178"/>
    <mergeCell ref="R177:R178"/>
    <mergeCell ref="S177:S178"/>
    <mergeCell ref="T177:T178"/>
    <mergeCell ref="U177:U178"/>
    <mergeCell ref="V177:V178"/>
    <mergeCell ref="W177:W178"/>
    <mergeCell ref="X177:X178"/>
    <mergeCell ref="Y177:Y178"/>
    <mergeCell ref="Z177:Z178"/>
    <mergeCell ref="AH177:AH178"/>
    <mergeCell ref="AI177:AI178"/>
    <mergeCell ref="AJ177:AJ178"/>
    <mergeCell ref="AK177:AK178"/>
    <mergeCell ref="AL177:AL178"/>
    <mergeCell ref="AA177:AA178"/>
    <mergeCell ref="AB177:AB178"/>
    <mergeCell ref="AC177:AC178"/>
    <mergeCell ref="AD177:AD178"/>
    <mergeCell ref="AE177:AE178"/>
    <mergeCell ref="AF177:AF178"/>
    <mergeCell ref="AG177:AG178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28" max="28" width="24.0"/>
    <col customWidth="1" min="29" max="29" width="28.38"/>
    <col customWidth="1" min="30" max="30" width="14.88"/>
    <col customWidth="1" min="31" max="31" width="25.38"/>
    <col customWidth="1" min="32" max="32" width="20.63"/>
    <col customWidth="1" min="33" max="33" width="22.25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46213.0</v>
      </c>
      <c r="C2" s="22">
        <v>39956.0</v>
      </c>
      <c r="D2" s="12" t="s">
        <v>39</v>
      </c>
      <c r="E2" s="12" t="s">
        <v>57</v>
      </c>
      <c r="F2" s="13"/>
      <c r="G2" s="6" t="b">
        <v>1</v>
      </c>
      <c r="H2" s="6" t="b">
        <v>1</v>
      </c>
      <c r="I2" s="6" t="b">
        <v>0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1</v>
      </c>
      <c r="X2" s="6" t="b">
        <v>1</v>
      </c>
      <c r="Y2" s="6" t="b">
        <v>1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88" si="1">COUNTIF(G2:AK2, TRUE()) &amp; " dari " &amp; COLUMNS(G2:AK2) &amp; " (" &amp; TEXT(COUNTIF(G2:AK2, TRUE())/COLUMNS(G2:AK2),"0%") &amp; ")"</f>
        <v>16 dari 31 (52%)</v>
      </c>
    </row>
    <row r="3" ht="22.5" customHeight="1">
      <c r="A3" s="10">
        <v>2.0</v>
      </c>
      <c r="B3" s="11"/>
      <c r="C3" s="22">
        <v>38671.0</v>
      </c>
      <c r="D3" s="12" t="s">
        <v>39</v>
      </c>
      <c r="E3" s="12" t="s">
        <v>57</v>
      </c>
      <c r="F3" s="13"/>
      <c r="G3" s="16" t="b">
        <v>1</v>
      </c>
      <c r="H3" s="16" t="b">
        <v>1</v>
      </c>
      <c r="I3" s="16" t="b">
        <v>1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15 dari 31 (48%)</v>
      </c>
    </row>
    <row r="4" ht="22.5" customHeight="1">
      <c r="A4" s="2">
        <v>3.0</v>
      </c>
      <c r="B4" s="18"/>
      <c r="C4" s="22">
        <v>60846.0</v>
      </c>
      <c r="D4" s="12" t="s">
        <v>39</v>
      </c>
      <c r="E4" s="12" t="s">
        <v>57</v>
      </c>
      <c r="F4" s="13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1</v>
      </c>
      <c r="AJ4" s="6" t="b">
        <v>0</v>
      </c>
      <c r="AK4" s="6" t="b">
        <v>0</v>
      </c>
      <c r="AL4" s="9" t="str">
        <f t="shared" si="1"/>
        <v>15 dari 31 (48%)</v>
      </c>
    </row>
    <row r="5" ht="22.5" customHeight="1">
      <c r="A5" s="10">
        <v>4.0</v>
      </c>
      <c r="B5" s="11"/>
      <c r="C5" s="22">
        <v>54903.0</v>
      </c>
      <c r="D5" s="12" t="s">
        <v>39</v>
      </c>
      <c r="E5" s="12" t="s">
        <v>42</v>
      </c>
      <c r="F5" s="13"/>
      <c r="G5" s="16" t="b">
        <v>1</v>
      </c>
      <c r="H5" s="16" t="b">
        <v>1</v>
      </c>
      <c r="I5" s="16" t="b">
        <v>0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1</v>
      </c>
      <c r="X5" s="16" t="b">
        <v>1</v>
      </c>
      <c r="Y5" s="16" t="b">
        <v>1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17 dari 31 (55%)</v>
      </c>
    </row>
    <row r="6" ht="22.5" customHeight="1">
      <c r="A6" s="2">
        <v>5.0</v>
      </c>
      <c r="B6" s="18"/>
      <c r="C6" s="20">
        <v>61034.0</v>
      </c>
      <c r="D6" s="12" t="s">
        <v>39</v>
      </c>
      <c r="E6" s="12" t="s">
        <v>57</v>
      </c>
      <c r="F6" s="13"/>
      <c r="G6" s="6" t="b">
        <v>1</v>
      </c>
      <c r="H6" s="6" t="b">
        <v>1</v>
      </c>
      <c r="I6" s="6" t="b">
        <v>0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1</v>
      </c>
      <c r="AF6" s="6" t="b">
        <v>1</v>
      </c>
      <c r="AG6" s="6" t="b">
        <v>1</v>
      </c>
      <c r="AH6" s="6" t="b">
        <v>1</v>
      </c>
      <c r="AI6" s="6" t="b">
        <v>1</v>
      </c>
      <c r="AJ6" s="6" t="b">
        <v>0</v>
      </c>
      <c r="AK6" s="6" t="b">
        <v>0</v>
      </c>
      <c r="AL6" s="9" t="str">
        <f t="shared" si="1"/>
        <v>18 dari 31 (58%)</v>
      </c>
    </row>
    <row r="7" ht="22.5" customHeight="1">
      <c r="A7" s="10">
        <v>6.0</v>
      </c>
      <c r="B7" s="11"/>
      <c r="C7" s="20">
        <v>60847.0</v>
      </c>
      <c r="D7" s="12" t="s">
        <v>39</v>
      </c>
      <c r="E7" s="12" t="s">
        <v>57</v>
      </c>
      <c r="F7" s="13"/>
      <c r="G7" s="16" t="b">
        <v>1</v>
      </c>
      <c r="H7" s="16" t="b">
        <v>1</v>
      </c>
      <c r="I7" s="16" t="b">
        <v>1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15 dari 31 (48%)</v>
      </c>
    </row>
    <row r="8" ht="22.5" customHeight="1">
      <c r="A8" s="2">
        <v>7.0</v>
      </c>
      <c r="B8" s="18"/>
      <c r="C8" s="20">
        <v>44349.0</v>
      </c>
      <c r="D8" s="12" t="s">
        <v>41</v>
      </c>
      <c r="E8" s="12" t="s">
        <v>48</v>
      </c>
      <c r="F8" s="13"/>
      <c r="G8" s="6" t="b">
        <v>1</v>
      </c>
      <c r="H8" s="6" t="b">
        <v>1</v>
      </c>
      <c r="I8" s="6" t="b">
        <v>0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9" t="str">
        <f t="shared" si="1"/>
        <v>13 dari 31 (42%)</v>
      </c>
    </row>
    <row r="9" ht="22.5" customHeight="1">
      <c r="A9" s="10">
        <v>8.0</v>
      </c>
      <c r="B9" s="11"/>
      <c r="C9" s="22">
        <v>39173.0</v>
      </c>
      <c r="D9" s="12" t="s">
        <v>41</v>
      </c>
      <c r="E9" s="12" t="s">
        <v>48</v>
      </c>
      <c r="F9" s="13"/>
      <c r="G9" s="16" t="b">
        <v>1</v>
      </c>
      <c r="H9" s="16" t="b">
        <v>1</v>
      </c>
      <c r="I9" s="16" t="b">
        <v>0</v>
      </c>
      <c r="J9" s="16" t="b">
        <v>1</v>
      </c>
      <c r="K9" s="16" t="b">
        <v>0</v>
      </c>
      <c r="L9" s="16" t="b">
        <v>0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0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10 dari 31 (32%)</v>
      </c>
    </row>
    <row r="10" ht="22.5" customHeight="1">
      <c r="A10" s="2">
        <v>9.0</v>
      </c>
      <c r="B10" s="18"/>
      <c r="C10" s="22">
        <v>46790.0</v>
      </c>
      <c r="D10" s="12" t="s">
        <v>41</v>
      </c>
      <c r="E10" s="12" t="s">
        <v>48</v>
      </c>
      <c r="F10" s="13"/>
      <c r="G10" s="6" t="b">
        <v>1</v>
      </c>
      <c r="H10" s="6" t="b">
        <v>1</v>
      </c>
      <c r="I10" s="6" t="b">
        <v>0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12 dari 31 (39%)</v>
      </c>
    </row>
    <row r="11" ht="22.5" customHeight="1">
      <c r="A11" s="10">
        <v>10.0</v>
      </c>
      <c r="B11" s="11"/>
      <c r="C11" s="22">
        <v>60915.0</v>
      </c>
      <c r="D11" s="12" t="s">
        <v>54</v>
      </c>
      <c r="E11" s="12" t="s">
        <v>55</v>
      </c>
      <c r="F11" s="13"/>
      <c r="G11" s="16" t="b">
        <v>1</v>
      </c>
      <c r="H11" s="16" t="b">
        <v>1</v>
      </c>
      <c r="I11" s="16" t="b">
        <v>0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14 dari 31 (45%)</v>
      </c>
    </row>
    <row r="12" ht="22.5" customHeight="1">
      <c r="A12" s="2">
        <v>11.0</v>
      </c>
      <c r="B12" s="18"/>
      <c r="C12" s="20">
        <v>60728.0</v>
      </c>
      <c r="D12" s="12" t="s">
        <v>54</v>
      </c>
      <c r="E12" s="12" t="s">
        <v>55</v>
      </c>
      <c r="F12" s="13"/>
      <c r="G12" s="6" t="b">
        <v>1</v>
      </c>
      <c r="H12" s="6" t="b">
        <v>1</v>
      </c>
      <c r="I12" s="6" t="b">
        <v>0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13 dari 31 (42%)</v>
      </c>
    </row>
    <row r="13" ht="22.5" customHeight="1">
      <c r="A13" s="10">
        <v>12.0</v>
      </c>
      <c r="B13" s="11"/>
      <c r="C13" s="20">
        <v>61056.0</v>
      </c>
      <c r="D13" s="12" t="s">
        <v>54</v>
      </c>
      <c r="E13" s="12" t="s">
        <v>55</v>
      </c>
      <c r="F13" s="13"/>
      <c r="G13" s="16" t="b">
        <v>1</v>
      </c>
      <c r="H13" s="16" t="b">
        <v>1</v>
      </c>
      <c r="I13" s="16" t="b">
        <v>0</v>
      </c>
      <c r="J13" s="16" t="b">
        <v>0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7" t="str">
        <f t="shared" si="1"/>
        <v>12 dari 31 (39%)</v>
      </c>
    </row>
    <row r="14" ht="22.5" customHeight="1">
      <c r="A14" s="2">
        <v>13.0</v>
      </c>
      <c r="B14" s="18"/>
      <c r="C14" s="20">
        <v>58738.0</v>
      </c>
      <c r="D14" s="12" t="s">
        <v>54</v>
      </c>
      <c r="E14" s="7" t="s">
        <v>155</v>
      </c>
      <c r="F14" s="13"/>
      <c r="G14" s="6" t="b">
        <v>1</v>
      </c>
      <c r="H14" s="6" t="b">
        <v>1</v>
      </c>
      <c r="I14" s="6" t="b">
        <v>0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13 dari 31 (42%)</v>
      </c>
    </row>
    <row r="15" ht="22.5" customHeight="1">
      <c r="A15" s="61">
        <v>14.0</v>
      </c>
      <c r="B15" s="62"/>
      <c r="C15" s="60">
        <v>58504.0</v>
      </c>
      <c r="D15" s="51" t="s">
        <v>54</v>
      </c>
      <c r="E15" s="52" t="s">
        <v>155</v>
      </c>
      <c r="F15" s="53"/>
      <c r="G15" s="63" t="b">
        <v>0</v>
      </c>
      <c r="H15" s="63" t="b">
        <v>0</v>
      </c>
      <c r="I15" s="63" t="b">
        <v>0</v>
      </c>
      <c r="J15" s="63" t="b">
        <v>0</v>
      </c>
      <c r="K15" s="63" t="b">
        <v>0</v>
      </c>
      <c r="L15" s="63" t="b">
        <v>0</v>
      </c>
      <c r="M15" s="63" t="b">
        <v>0</v>
      </c>
      <c r="N15" s="63" t="b">
        <v>0</v>
      </c>
      <c r="O15" s="63" t="b">
        <v>0</v>
      </c>
      <c r="P15" s="63" t="b">
        <v>0</v>
      </c>
      <c r="Q15" s="63" t="b">
        <v>0</v>
      </c>
      <c r="R15" s="63" t="b">
        <v>0</v>
      </c>
      <c r="S15" s="63" t="b">
        <v>0</v>
      </c>
      <c r="T15" s="63" t="b">
        <v>0</v>
      </c>
      <c r="U15" s="63" t="b">
        <v>0</v>
      </c>
      <c r="V15" s="63" t="b">
        <v>0</v>
      </c>
      <c r="W15" s="63" t="b">
        <v>0</v>
      </c>
      <c r="X15" s="63" t="b">
        <v>0</v>
      </c>
      <c r="Y15" s="63" t="b">
        <v>0</v>
      </c>
      <c r="Z15" s="63" t="b">
        <v>0</v>
      </c>
      <c r="AA15" s="63" t="b">
        <v>0</v>
      </c>
      <c r="AB15" s="63" t="b">
        <v>0</v>
      </c>
      <c r="AC15" s="63" t="b">
        <v>0</v>
      </c>
      <c r="AD15" s="63" t="b">
        <v>0</v>
      </c>
      <c r="AE15" s="63" t="b">
        <v>0</v>
      </c>
      <c r="AF15" s="63" t="b">
        <v>0</v>
      </c>
      <c r="AG15" s="63" t="b">
        <v>0</v>
      </c>
      <c r="AH15" s="63" t="b">
        <v>0</v>
      </c>
      <c r="AI15" s="63" t="b">
        <v>0</v>
      </c>
      <c r="AJ15" s="63" t="b">
        <v>0</v>
      </c>
      <c r="AK15" s="63" t="b">
        <v>0</v>
      </c>
      <c r="AL15" s="64" t="str">
        <f t="shared" si="1"/>
        <v>0 dari 31 (0%)</v>
      </c>
    </row>
    <row r="16" ht="22.5" customHeight="1">
      <c r="A16" s="2">
        <v>15.0</v>
      </c>
      <c r="B16" s="18"/>
      <c r="C16" s="20">
        <v>45933.0</v>
      </c>
      <c r="D16" s="12" t="s">
        <v>54</v>
      </c>
      <c r="E16" s="7" t="s">
        <v>155</v>
      </c>
      <c r="F16" s="13"/>
      <c r="G16" s="6" t="b">
        <v>1</v>
      </c>
      <c r="H16" s="6" t="b">
        <v>1</v>
      </c>
      <c r="I16" s="6" t="b">
        <v>0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13 dari 31 (42%)</v>
      </c>
    </row>
    <row r="17" ht="22.5" customHeight="1">
      <c r="A17" s="10">
        <v>16.0</v>
      </c>
      <c r="B17" s="11"/>
      <c r="C17" s="22">
        <v>60219.0</v>
      </c>
      <c r="D17" s="12" t="s">
        <v>54</v>
      </c>
      <c r="E17" s="7" t="s">
        <v>155</v>
      </c>
      <c r="F17" s="13"/>
      <c r="G17" s="16" t="b">
        <v>1</v>
      </c>
      <c r="H17" s="16" t="b">
        <v>1</v>
      </c>
      <c r="I17" s="16" t="b">
        <v>0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13 dari 31 (42%)</v>
      </c>
    </row>
    <row r="18" ht="22.5" customHeight="1">
      <c r="A18" s="2">
        <v>17.0</v>
      </c>
      <c r="B18" s="18"/>
      <c r="C18" s="20">
        <v>60426.0</v>
      </c>
      <c r="D18" s="12" t="s">
        <v>54</v>
      </c>
      <c r="E18" s="7" t="s">
        <v>155</v>
      </c>
      <c r="F18" s="13"/>
      <c r="G18" s="6" t="b">
        <v>1</v>
      </c>
      <c r="H18" s="6" t="b">
        <v>1</v>
      </c>
      <c r="I18" s="6" t="b">
        <v>0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13 dari 31 (42%)</v>
      </c>
    </row>
    <row r="19" ht="22.5" customHeight="1">
      <c r="A19" s="10">
        <v>18.0</v>
      </c>
      <c r="B19" s="11"/>
      <c r="C19" s="20">
        <v>34430.0</v>
      </c>
      <c r="D19" s="12" t="s">
        <v>54</v>
      </c>
      <c r="E19" s="7" t="s">
        <v>155</v>
      </c>
      <c r="F19" s="13"/>
      <c r="G19" s="16" t="b">
        <v>1</v>
      </c>
      <c r="H19" s="16" t="b">
        <v>1</v>
      </c>
      <c r="I19" s="16" t="b">
        <v>0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13 dari 31 (42%)</v>
      </c>
    </row>
    <row r="20" ht="22.5" customHeight="1">
      <c r="A20" s="2">
        <v>19.0</v>
      </c>
      <c r="B20" s="18"/>
      <c r="C20" s="20">
        <v>60222.0</v>
      </c>
      <c r="D20" s="12" t="s">
        <v>54</v>
      </c>
      <c r="E20" s="7" t="s">
        <v>155</v>
      </c>
      <c r="F20" s="13"/>
      <c r="G20" s="6" t="b">
        <v>1</v>
      </c>
      <c r="H20" s="6" t="b">
        <v>1</v>
      </c>
      <c r="I20" s="6" t="b">
        <v>0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9" t="str">
        <f t="shared" si="1"/>
        <v>13 dari 31 (42%)</v>
      </c>
    </row>
    <row r="21" ht="22.5" customHeight="1">
      <c r="A21" s="10">
        <v>20.0</v>
      </c>
      <c r="B21" s="11"/>
      <c r="C21" s="20">
        <v>36928.0</v>
      </c>
      <c r="D21" s="12" t="s">
        <v>54</v>
      </c>
      <c r="E21" s="7" t="s">
        <v>155</v>
      </c>
      <c r="F21" s="13"/>
      <c r="G21" s="16" t="b">
        <v>1</v>
      </c>
      <c r="H21" s="16" t="b">
        <v>1</v>
      </c>
      <c r="I21" s="16" t="b">
        <v>1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1</v>
      </c>
      <c r="AA21" s="16" t="b">
        <v>1</v>
      </c>
      <c r="AB21" s="16" t="b">
        <v>1</v>
      </c>
      <c r="AC21" s="16" t="b">
        <v>1</v>
      </c>
      <c r="AD21" s="16" t="b">
        <v>1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19 dari 31 (61%)</v>
      </c>
    </row>
    <row r="22" ht="22.5" customHeight="1">
      <c r="A22" s="2">
        <v>21.0</v>
      </c>
      <c r="B22" s="18"/>
      <c r="C22" s="20">
        <v>61202.0</v>
      </c>
      <c r="D22" s="12" t="s">
        <v>54</v>
      </c>
      <c r="E22" s="12" t="s">
        <v>155</v>
      </c>
      <c r="F22" s="13"/>
      <c r="G22" s="6" t="b">
        <v>1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1</v>
      </c>
      <c r="AJ22" s="6" t="b">
        <v>0</v>
      </c>
      <c r="AK22" s="6" t="b">
        <v>0</v>
      </c>
      <c r="AL22" s="9" t="str">
        <f t="shared" si="1"/>
        <v>15 dari 31 (48%)</v>
      </c>
    </row>
    <row r="23" ht="22.5" customHeight="1">
      <c r="A23" s="10">
        <v>22.0</v>
      </c>
      <c r="B23" s="11"/>
      <c r="C23" s="20">
        <v>61203.0</v>
      </c>
      <c r="D23" s="12" t="s">
        <v>40</v>
      </c>
      <c r="E23" s="12" t="s">
        <v>43</v>
      </c>
      <c r="F23" s="13"/>
      <c r="G23" s="16" t="b">
        <v>1</v>
      </c>
      <c r="H23" s="16" t="b">
        <v>1</v>
      </c>
      <c r="I23" s="16" t="b">
        <v>1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1</v>
      </c>
      <c r="AJ23" s="16" t="b">
        <v>0</v>
      </c>
      <c r="AK23" s="16" t="b">
        <v>0</v>
      </c>
      <c r="AL23" s="17" t="str">
        <f t="shared" si="1"/>
        <v>15 dari 31 (48%)</v>
      </c>
    </row>
    <row r="24" ht="22.5" customHeight="1">
      <c r="A24" s="2">
        <v>23.0</v>
      </c>
      <c r="B24" s="18"/>
      <c r="C24" s="20">
        <v>61204.0</v>
      </c>
      <c r="D24" s="12" t="s">
        <v>56</v>
      </c>
      <c r="E24" s="12" t="s">
        <v>64</v>
      </c>
      <c r="F24" s="13"/>
      <c r="G24" s="6" t="b">
        <v>1</v>
      </c>
      <c r="H24" s="6" t="b">
        <v>1</v>
      </c>
      <c r="I24" s="6" t="b">
        <v>1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1</v>
      </c>
      <c r="AJ24" s="6" t="b">
        <v>0</v>
      </c>
      <c r="AK24" s="6" t="b">
        <v>0</v>
      </c>
      <c r="AL24" s="9" t="str">
        <f t="shared" si="1"/>
        <v>15 dari 31 (48%)</v>
      </c>
    </row>
    <row r="25" ht="22.5" customHeight="1">
      <c r="A25" s="10">
        <v>24.0</v>
      </c>
      <c r="B25" s="11"/>
      <c r="C25" s="20">
        <v>61205.0</v>
      </c>
      <c r="D25" s="12" t="s">
        <v>39</v>
      </c>
      <c r="E25" s="12" t="s">
        <v>57</v>
      </c>
      <c r="F25" s="13"/>
      <c r="G25" s="16" t="b">
        <v>1</v>
      </c>
      <c r="H25" s="16" t="b">
        <v>1</v>
      </c>
      <c r="I25" s="16" t="b">
        <v>1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1</v>
      </c>
      <c r="AA25" s="16" t="b">
        <v>1</v>
      </c>
      <c r="AB25" s="16" t="b">
        <v>1</v>
      </c>
      <c r="AC25" s="16" t="b">
        <v>1</v>
      </c>
      <c r="AD25" s="16" t="b">
        <v>1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1</v>
      </c>
      <c r="AJ25" s="16" t="b">
        <v>0</v>
      </c>
      <c r="AK25" s="16" t="b">
        <v>0</v>
      </c>
      <c r="AL25" s="17" t="str">
        <f t="shared" si="1"/>
        <v>20 dari 31 (65%)</v>
      </c>
    </row>
    <row r="26" ht="22.5" customHeight="1">
      <c r="A26" s="2">
        <v>25.0</v>
      </c>
      <c r="B26" s="18"/>
      <c r="C26" s="20">
        <v>60341.0</v>
      </c>
      <c r="D26" s="12" t="s">
        <v>51</v>
      </c>
      <c r="E26" s="12" t="s">
        <v>65</v>
      </c>
      <c r="F26" s="13"/>
      <c r="G26" s="6" t="b">
        <v>1</v>
      </c>
      <c r="H26" s="6" t="b">
        <v>1</v>
      </c>
      <c r="I26" s="6" t="b">
        <v>0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13 dari 31 (42%)</v>
      </c>
    </row>
    <row r="27" ht="22.5" customHeight="1">
      <c r="A27" s="10">
        <v>26.0</v>
      </c>
      <c r="B27" s="11"/>
      <c r="C27" s="22">
        <v>61207.0</v>
      </c>
      <c r="D27" s="12" t="s">
        <v>54</v>
      </c>
      <c r="E27" s="12" t="s">
        <v>55</v>
      </c>
      <c r="F27" s="13"/>
      <c r="G27" s="16" t="b">
        <v>1</v>
      </c>
      <c r="H27" s="16" t="b">
        <v>1</v>
      </c>
      <c r="I27" s="16" t="b">
        <v>1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1</v>
      </c>
      <c r="AJ27" s="16" t="b">
        <v>0</v>
      </c>
      <c r="AK27" s="16" t="b">
        <v>0</v>
      </c>
      <c r="AL27" s="17" t="str">
        <f t="shared" si="1"/>
        <v>15 dari 31 (48%)</v>
      </c>
    </row>
    <row r="28" ht="22.5" customHeight="1">
      <c r="A28" s="2">
        <v>27.0</v>
      </c>
      <c r="B28" s="18"/>
      <c r="C28" s="22">
        <v>39821.0</v>
      </c>
      <c r="D28" s="12" t="s">
        <v>68</v>
      </c>
      <c r="E28" s="12" t="s">
        <v>69</v>
      </c>
      <c r="F28" s="13"/>
      <c r="G28" s="6" t="b">
        <v>1</v>
      </c>
      <c r="H28" s="6" t="b">
        <v>1</v>
      </c>
      <c r="I28" s="6" t="b">
        <v>1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1</v>
      </c>
      <c r="AJ28" s="6" t="b">
        <v>0</v>
      </c>
      <c r="AK28" s="6" t="b">
        <v>0</v>
      </c>
      <c r="AL28" s="9" t="str">
        <f t="shared" si="1"/>
        <v>14 dari 31 (45%)</v>
      </c>
    </row>
    <row r="29" ht="22.5" customHeight="1">
      <c r="A29" s="10">
        <v>28.0</v>
      </c>
      <c r="B29" s="11"/>
      <c r="C29" s="22">
        <v>57854.0</v>
      </c>
      <c r="D29" s="12" t="s">
        <v>68</v>
      </c>
      <c r="E29" s="12" t="s">
        <v>69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1</v>
      </c>
      <c r="AJ29" s="16" t="b">
        <v>0</v>
      </c>
      <c r="AK29" s="16" t="b">
        <v>0</v>
      </c>
      <c r="AL29" s="17" t="str">
        <f t="shared" si="1"/>
        <v>14 dari 31 (45%)</v>
      </c>
    </row>
    <row r="30" ht="22.5" customHeight="1">
      <c r="A30" s="2">
        <v>29.0</v>
      </c>
      <c r="B30" s="18"/>
      <c r="C30" s="22">
        <v>60759.0</v>
      </c>
      <c r="D30" s="12" t="s">
        <v>68</v>
      </c>
      <c r="E30" s="12" t="s">
        <v>69</v>
      </c>
      <c r="F30" s="13"/>
      <c r="G30" s="6" t="b">
        <v>1</v>
      </c>
      <c r="H30" s="6" t="b">
        <v>1</v>
      </c>
      <c r="I30" s="6" t="b">
        <v>1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1</v>
      </c>
      <c r="AJ30" s="6" t="b">
        <v>0</v>
      </c>
      <c r="AK30" s="6" t="b">
        <v>0</v>
      </c>
      <c r="AL30" s="9" t="str">
        <f t="shared" si="1"/>
        <v>14 dari 31 (45%)</v>
      </c>
    </row>
    <row r="31" ht="22.5" customHeight="1">
      <c r="A31" s="10">
        <v>30.0</v>
      </c>
      <c r="B31" s="11"/>
      <c r="C31" s="22">
        <v>60029.0</v>
      </c>
      <c r="D31" s="12" t="s">
        <v>56</v>
      </c>
      <c r="E31" s="12" t="s">
        <v>64</v>
      </c>
      <c r="F31" s="13"/>
      <c r="G31" s="16" t="b">
        <v>1</v>
      </c>
      <c r="H31" s="16" t="b">
        <v>1</v>
      </c>
      <c r="I31" s="16" t="b">
        <v>1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15 dari 31 (48%)</v>
      </c>
    </row>
    <row r="32" ht="22.5" customHeight="1">
      <c r="A32" s="2">
        <v>31.0</v>
      </c>
      <c r="B32" s="18"/>
      <c r="C32" s="20">
        <v>60625.0</v>
      </c>
      <c r="D32" s="12" t="s">
        <v>68</v>
      </c>
      <c r="E32" s="12" t="s">
        <v>69</v>
      </c>
      <c r="F32" s="13"/>
      <c r="G32" s="6" t="b">
        <v>1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0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1</v>
      </c>
      <c r="AJ32" s="6" t="b">
        <v>0</v>
      </c>
      <c r="AK32" s="6" t="b">
        <v>0</v>
      </c>
      <c r="AL32" s="9" t="str">
        <f t="shared" si="1"/>
        <v>14 dari 31 (45%)</v>
      </c>
    </row>
    <row r="33" ht="22.5" customHeight="1">
      <c r="A33" s="10">
        <v>32.0</v>
      </c>
      <c r="B33" s="11"/>
      <c r="C33" s="20">
        <v>58419.0</v>
      </c>
      <c r="D33" s="12" t="s">
        <v>56</v>
      </c>
      <c r="E33" s="12" t="s">
        <v>64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15 dari 31 (48%)</v>
      </c>
    </row>
    <row r="34" ht="22.5" customHeight="1">
      <c r="A34" s="2">
        <v>33.0</v>
      </c>
      <c r="B34" s="18"/>
      <c r="C34" s="20">
        <v>60904.0</v>
      </c>
      <c r="D34" s="12" t="s">
        <v>68</v>
      </c>
      <c r="E34" s="12" t="s">
        <v>69</v>
      </c>
      <c r="F34" s="13"/>
      <c r="G34" s="6" t="b">
        <v>1</v>
      </c>
      <c r="H34" s="6" t="b">
        <v>1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0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1"/>
        <v>14 dari 31 (45%)</v>
      </c>
    </row>
    <row r="35" ht="22.5" customHeight="1">
      <c r="A35" s="10">
        <v>34.0</v>
      </c>
      <c r="B35" s="11"/>
      <c r="C35" s="20">
        <v>57244.0</v>
      </c>
      <c r="D35" s="12" t="s">
        <v>68</v>
      </c>
      <c r="E35" s="12" t="s">
        <v>69</v>
      </c>
      <c r="F35" s="13"/>
      <c r="G35" s="16" t="b">
        <v>1</v>
      </c>
      <c r="H35" s="16" t="b">
        <v>1</v>
      </c>
      <c r="I35" s="16" t="b">
        <v>1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1"/>
        <v>14 dari 31 (45%)</v>
      </c>
    </row>
    <row r="36" ht="22.5" customHeight="1">
      <c r="A36" s="2">
        <v>35.0</v>
      </c>
      <c r="B36" s="18"/>
      <c r="C36" s="20">
        <v>60909.0</v>
      </c>
      <c r="D36" s="12" t="s">
        <v>56</v>
      </c>
      <c r="E36" s="12" t="s">
        <v>64</v>
      </c>
      <c r="F36" s="13"/>
      <c r="G36" s="6" t="b">
        <v>1</v>
      </c>
      <c r="H36" s="6" t="b">
        <v>1</v>
      </c>
      <c r="I36" s="6" t="b">
        <v>1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15 dari 31 (48%)</v>
      </c>
    </row>
    <row r="37" ht="22.5" customHeight="1">
      <c r="A37" s="10">
        <v>36.0</v>
      </c>
      <c r="B37" s="11"/>
      <c r="C37" s="22">
        <v>58364.0</v>
      </c>
      <c r="D37" s="12" t="s">
        <v>56</v>
      </c>
      <c r="E37" s="12" t="s">
        <v>64</v>
      </c>
      <c r="F37" s="13"/>
      <c r="G37" s="16" t="b">
        <v>1</v>
      </c>
      <c r="H37" s="16" t="b">
        <v>1</v>
      </c>
      <c r="I37" s="16" t="b">
        <v>1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15 dari 31 (48%)</v>
      </c>
    </row>
    <row r="38" ht="22.5" customHeight="1">
      <c r="A38" s="2">
        <v>37.0</v>
      </c>
      <c r="B38" s="18"/>
      <c r="C38" s="22">
        <v>49954.0</v>
      </c>
      <c r="D38" s="12" t="s">
        <v>98</v>
      </c>
      <c r="E38" s="12" t="s">
        <v>137</v>
      </c>
      <c r="F38" s="13"/>
      <c r="G38" s="6" t="b">
        <v>1</v>
      </c>
      <c r="H38" s="6" t="b">
        <v>1</v>
      </c>
      <c r="I38" s="6" t="b">
        <v>0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1"/>
        <v>12 dari 31 (39%)</v>
      </c>
    </row>
    <row r="39" ht="22.5" customHeight="1">
      <c r="A39" s="10">
        <v>38.0</v>
      </c>
      <c r="B39" s="11"/>
      <c r="C39" s="22">
        <v>60907.0</v>
      </c>
      <c r="D39" s="12" t="s">
        <v>68</v>
      </c>
      <c r="E39" s="12" t="s">
        <v>69</v>
      </c>
      <c r="F39" s="13"/>
      <c r="G39" s="16" t="b">
        <v>1</v>
      </c>
      <c r="H39" s="16" t="b">
        <v>1</v>
      </c>
      <c r="I39" s="16" t="b">
        <v>1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1</v>
      </c>
      <c r="AJ39" s="16" t="b">
        <v>0</v>
      </c>
      <c r="AK39" s="16" t="b">
        <v>0</v>
      </c>
      <c r="AL39" s="17" t="str">
        <f t="shared" si="1"/>
        <v>14 dari 31 (45%)</v>
      </c>
    </row>
    <row r="40" ht="22.5" customHeight="1">
      <c r="A40" s="2">
        <v>39.0</v>
      </c>
      <c r="B40" s="18"/>
      <c r="C40" s="22">
        <v>58246.0</v>
      </c>
      <c r="D40" s="12" t="s">
        <v>98</v>
      </c>
      <c r="E40" s="12" t="s">
        <v>133</v>
      </c>
      <c r="F40" s="13"/>
      <c r="G40" s="6" t="b">
        <v>1</v>
      </c>
      <c r="H40" s="6" t="b">
        <v>1</v>
      </c>
      <c r="I40" s="6" t="b">
        <v>0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0</v>
      </c>
      <c r="AJ40" s="6" t="b">
        <v>0</v>
      </c>
      <c r="AK40" s="6" t="b">
        <v>0</v>
      </c>
      <c r="AL40" s="9" t="str">
        <f t="shared" si="1"/>
        <v>12 dari 31 (39%)</v>
      </c>
    </row>
    <row r="41" ht="22.5" customHeight="1">
      <c r="A41" s="109">
        <v>40.0</v>
      </c>
      <c r="B41" s="110"/>
      <c r="C41" s="111">
        <v>57958.0</v>
      </c>
      <c r="D41" s="103" t="s">
        <v>68</v>
      </c>
      <c r="E41" s="103" t="s">
        <v>69</v>
      </c>
      <c r="F41" s="104"/>
      <c r="G41" s="126" t="b">
        <v>1</v>
      </c>
      <c r="H41" s="126" t="b">
        <v>1</v>
      </c>
      <c r="I41" s="126" t="b">
        <v>0</v>
      </c>
      <c r="J41" s="126" t="b">
        <v>1</v>
      </c>
      <c r="K41" s="126" t="b">
        <v>1</v>
      </c>
      <c r="L41" s="126" t="b">
        <v>1</v>
      </c>
      <c r="M41" s="126" t="b">
        <v>1</v>
      </c>
      <c r="N41" s="126" t="b">
        <v>1</v>
      </c>
      <c r="O41" s="126" t="b">
        <v>1</v>
      </c>
      <c r="P41" s="126" t="b">
        <v>1</v>
      </c>
      <c r="Q41" s="126" t="b">
        <v>1</v>
      </c>
      <c r="R41" s="126" t="b">
        <v>1</v>
      </c>
      <c r="S41" s="126" t="b">
        <v>1</v>
      </c>
      <c r="T41" s="126" t="b">
        <v>0</v>
      </c>
      <c r="U41" s="126" t="b">
        <v>0</v>
      </c>
      <c r="V41" s="126" t="b">
        <v>0</v>
      </c>
      <c r="W41" s="126" t="b">
        <v>0</v>
      </c>
      <c r="X41" s="126" t="b">
        <v>0</v>
      </c>
      <c r="Y41" s="126" t="b">
        <v>0</v>
      </c>
      <c r="Z41" s="126" t="b">
        <v>0</v>
      </c>
      <c r="AA41" s="126" t="b">
        <v>0</v>
      </c>
      <c r="AB41" s="126" t="b">
        <v>0</v>
      </c>
      <c r="AC41" s="126" t="b">
        <v>0</v>
      </c>
      <c r="AD41" s="126" t="b">
        <v>0</v>
      </c>
      <c r="AE41" s="126" t="b">
        <v>0</v>
      </c>
      <c r="AF41" s="126" t="b">
        <v>0</v>
      </c>
      <c r="AG41" s="126" t="b">
        <v>0</v>
      </c>
      <c r="AH41" s="126" t="b">
        <v>0</v>
      </c>
      <c r="AI41" s="126" t="b">
        <v>1</v>
      </c>
      <c r="AJ41" s="126" t="b">
        <v>0</v>
      </c>
      <c r="AK41" s="126" t="b">
        <v>0</v>
      </c>
      <c r="AL41" s="127" t="str">
        <f t="shared" si="1"/>
        <v>13 dari 31 (42%)</v>
      </c>
    </row>
    <row r="42" ht="22.5" customHeight="1">
      <c r="A42" s="2">
        <v>41.0</v>
      </c>
      <c r="B42" s="18"/>
      <c r="C42" s="20">
        <v>58183.0</v>
      </c>
      <c r="D42" s="12" t="s">
        <v>98</v>
      </c>
      <c r="E42" s="12" t="s">
        <v>137</v>
      </c>
      <c r="F42" s="15" t="s">
        <v>50</v>
      </c>
      <c r="G42" s="6" t="b">
        <v>1</v>
      </c>
      <c r="H42" s="6" t="b">
        <v>0</v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6" t="b">
        <v>0</v>
      </c>
      <c r="R42" s="6" t="b">
        <v>0</v>
      </c>
      <c r="S42" s="6" t="b">
        <v>0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1 dari 31 (3%)</v>
      </c>
    </row>
    <row r="43" ht="22.5" customHeight="1">
      <c r="A43" s="10">
        <v>42.0</v>
      </c>
      <c r="B43" s="11"/>
      <c r="C43" s="20">
        <v>61206.0</v>
      </c>
      <c r="D43" s="12" t="s">
        <v>98</v>
      </c>
      <c r="E43" s="12" t="s">
        <v>137</v>
      </c>
      <c r="F43" s="13"/>
      <c r="G43" s="16" t="b">
        <v>1</v>
      </c>
      <c r="H43" s="16" t="b">
        <v>1</v>
      </c>
      <c r="I43" s="16" t="b">
        <v>0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1"/>
        <v>12 dari 31 (39%)</v>
      </c>
    </row>
    <row r="44" ht="22.5" customHeight="1">
      <c r="A44" s="2">
        <v>43.0</v>
      </c>
      <c r="B44" s="18"/>
      <c r="C44" s="20">
        <v>51396.0</v>
      </c>
      <c r="D44" s="12" t="s">
        <v>68</v>
      </c>
      <c r="E44" s="12" t="s">
        <v>69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1</v>
      </c>
      <c r="AJ44" s="6" t="b">
        <v>0</v>
      </c>
      <c r="AK44" s="6" t="b">
        <v>0</v>
      </c>
      <c r="AL44" s="9" t="str">
        <f t="shared" si="1"/>
        <v>14 dari 31 (45%)</v>
      </c>
    </row>
    <row r="45" ht="22.5" customHeight="1">
      <c r="A45" s="61">
        <v>44.0</v>
      </c>
      <c r="B45" s="62"/>
      <c r="C45" s="60">
        <v>18348.0</v>
      </c>
      <c r="D45" s="51" t="s">
        <v>98</v>
      </c>
      <c r="E45" s="51" t="s">
        <v>137</v>
      </c>
      <c r="F45" s="53"/>
      <c r="G45" s="63" t="b">
        <v>0</v>
      </c>
      <c r="H45" s="63" t="b">
        <v>0</v>
      </c>
      <c r="I45" s="63" t="b">
        <v>0</v>
      </c>
      <c r="J45" s="63" t="b">
        <v>0</v>
      </c>
      <c r="K45" s="63" t="b">
        <v>0</v>
      </c>
      <c r="L45" s="63" t="b">
        <v>0</v>
      </c>
      <c r="M45" s="63" t="b">
        <v>0</v>
      </c>
      <c r="N45" s="63" t="b">
        <v>0</v>
      </c>
      <c r="O45" s="63" t="b">
        <v>0</v>
      </c>
      <c r="P45" s="63" t="b">
        <v>0</v>
      </c>
      <c r="Q45" s="63" t="b">
        <v>0</v>
      </c>
      <c r="R45" s="63" t="b">
        <v>0</v>
      </c>
      <c r="S45" s="63" t="b">
        <v>0</v>
      </c>
      <c r="T45" s="63" t="b">
        <v>0</v>
      </c>
      <c r="U45" s="63" t="b">
        <v>0</v>
      </c>
      <c r="V45" s="63" t="b">
        <v>0</v>
      </c>
      <c r="W45" s="63" t="b">
        <v>0</v>
      </c>
      <c r="X45" s="63" t="b">
        <v>0</v>
      </c>
      <c r="Y45" s="63" t="b">
        <v>0</v>
      </c>
      <c r="Z45" s="63" t="b">
        <v>0</v>
      </c>
      <c r="AA45" s="63" t="b">
        <v>0</v>
      </c>
      <c r="AB45" s="63" t="b">
        <v>0</v>
      </c>
      <c r="AC45" s="63" t="b">
        <v>0</v>
      </c>
      <c r="AD45" s="63" t="b">
        <v>0</v>
      </c>
      <c r="AE45" s="63" t="b">
        <v>0</v>
      </c>
      <c r="AF45" s="63" t="b">
        <v>0</v>
      </c>
      <c r="AG45" s="63" t="b">
        <v>0</v>
      </c>
      <c r="AH45" s="63" t="b">
        <v>0</v>
      </c>
      <c r="AI45" s="63" t="b">
        <v>0</v>
      </c>
      <c r="AJ45" s="63" t="b">
        <v>0</v>
      </c>
      <c r="AK45" s="63" t="b">
        <v>0</v>
      </c>
      <c r="AL45" s="64" t="str">
        <f t="shared" si="1"/>
        <v>0 dari 31 (0%)</v>
      </c>
    </row>
    <row r="46" ht="22.5" customHeight="1">
      <c r="A46" s="2">
        <v>45.0</v>
      </c>
      <c r="B46" s="18"/>
      <c r="C46" s="22">
        <v>52682.0</v>
      </c>
      <c r="D46" s="12" t="s">
        <v>98</v>
      </c>
      <c r="E46" s="12" t="s">
        <v>137</v>
      </c>
      <c r="F46" s="13"/>
      <c r="G46" s="6" t="b">
        <v>1</v>
      </c>
      <c r="H46" s="6" t="b">
        <v>1</v>
      </c>
      <c r="I46" s="6" t="b">
        <v>0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0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1</v>
      </c>
      <c r="AJ46" s="6" t="b">
        <v>0</v>
      </c>
      <c r="AK46" s="6" t="b">
        <v>0</v>
      </c>
      <c r="AL46" s="9" t="str">
        <f t="shared" si="1"/>
        <v>13 dari 31 (42%)</v>
      </c>
    </row>
    <row r="47" ht="22.5" customHeight="1">
      <c r="A47" s="10">
        <v>46.0</v>
      </c>
      <c r="B47" s="11"/>
      <c r="C47" s="22">
        <v>59246.0</v>
      </c>
      <c r="D47" s="12" t="s">
        <v>53</v>
      </c>
      <c r="E47" s="12" t="s">
        <v>136</v>
      </c>
      <c r="F47" s="13"/>
      <c r="G47" s="16" t="b">
        <v>1</v>
      </c>
      <c r="H47" s="16" t="b">
        <v>1</v>
      </c>
      <c r="I47" s="16" t="b">
        <v>1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1</v>
      </c>
      <c r="S47" s="16" t="b">
        <v>1</v>
      </c>
      <c r="T47" s="16" t="b">
        <v>1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15 dari 31 (48%)</v>
      </c>
    </row>
    <row r="48" ht="22.5" customHeight="1">
      <c r="A48" s="10">
        <v>47.0</v>
      </c>
      <c r="B48" s="18"/>
      <c r="C48" s="22">
        <v>56784.0</v>
      </c>
      <c r="D48" s="12" t="s">
        <v>98</v>
      </c>
      <c r="E48" s="12" t="s">
        <v>137</v>
      </c>
      <c r="F48" s="13"/>
      <c r="G48" s="6" t="b">
        <v>1</v>
      </c>
      <c r="H48" s="6" t="b">
        <v>1</v>
      </c>
      <c r="I48" s="6" t="b">
        <v>0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0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12 dari 31 (39%)</v>
      </c>
    </row>
    <row r="49" ht="22.5" customHeight="1">
      <c r="A49" s="2">
        <v>48.0</v>
      </c>
      <c r="B49" s="11"/>
      <c r="C49" s="22">
        <v>55737.0</v>
      </c>
      <c r="D49" s="12" t="s">
        <v>98</v>
      </c>
      <c r="E49" s="12" t="s">
        <v>137</v>
      </c>
      <c r="F49" s="13"/>
      <c r="G49" s="16" t="b">
        <v>1</v>
      </c>
      <c r="H49" s="16" t="b">
        <v>1</v>
      </c>
      <c r="I49" s="16" t="b">
        <v>0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7" t="str">
        <f t="shared" si="1"/>
        <v>12 dari 31 (39%)</v>
      </c>
    </row>
    <row r="50" ht="22.5" customHeight="1">
      <c r="A50" s="10">
        <v>49.0</v>
      </c>
      <c r="B50" s="11"/>
      <c r="C50" s="22">
        <v>59099.0</v>
      </c>
      <c r="D50" s="12" t="s">
        <v>53</v>
      </c>
      <c r="E50" s="12" t="s">
        <v>136</v>
      </c>
      <c r="F50" s="13"/>
      <c r="G50" s="6" t="b">
        <v>1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0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1</v>
      </c>
      <c r="AJ50" s="6" t="b">
        <v>0</v>
      </c>
      <c r="AK50" s="6" t="b">
        <v>0</v>
      </c>
      <c r="AL50" s="9" t="str">
        <f t="shared" si="1"/>
        <v>14 dari 31 (45%)</v>
      </c>
    </row>
    <row r="51" ht="22.5" customHeight="1">
      <c r="A51" s="10">
        <v>50.0</v>
      </c>
      <c r="B51" s="11"/>
      <c r="C51" s="22">
        <v>58297.0</v>
      </c>
      <c r="D51" s="12" t="s">
        <v>53</v>
      </c>
      <c r="E51" s="12" t="s">
        <v>125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1</v>
      </c>
      <c r="AJ51" s="6" t="b">
        <v>0</v>
      </c>
      <c r="AK51" s="6" t="b">
        <v>0</v>
      </c>
      <c r="AL51" s="17" t="str">
        <f t="shared" si="1"/>
        <v>14 dari 31 (45%)</v>
      </c>
    </row>
    <row r="52" ht="22.5" customHeight="1">
      <c r="A52" s="2">
        <v>51.0</v>
      </c>
      <c r="B52" s="11"/>
      <c r="C52" s="22">
        <v>61209.0</v>
      </c>
      <c r="D52" s="12" t="s">
        <v>85</v>
      </c>
      <c r="E52" s="12" t="s">
        <v>88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15 dari 31 (48%)</v>
      </c>
    </row>
    <row r="53" ht="22.5" customHeight="1">
      <c r="A53" s="10">
        <v>52.0</v>
      </c>
      <c r="B53" s="11"/>
      <c r="C53" s="22">
        <v>42595.0</v>
      </c>
      <c r="D53" s="12" t="s">
        <v>53</v>
      </c>
      <c r="E53" s="12" t="s">
        <v>125</v>
      </c>
      <c r="F53" s="15" t="s">
        <v>50</v>
      </c>
      <c r="G53" s="6" t="b">
        <v>1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  <c r="P53" s="6" t="b">
        <v>0</v>
      </c>
      <c r="Q53" s="6" t="b">
        <v>0</v>
      </c>
      <c r="R53" s="6" t="b">
        <v>0</v>
      </c>
      <c r="S53" s="6" t="b">
        <v>0</v>
      </c>
      <c r="T53" s="6" t="b">
        <v>0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1</v>
      </c>
      <c r="AA53" s="6" t="b">
        <v>1</v>
      </c>
      <c r="AB53" s="6" t="b">
        <v>1</v>
      </c>
      <c r="AC53" s="6" t="b">
        <v>1</v>
      </c>
      <c r="AD53" s="6" t="b">
        <v>1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1</v>
      </c>
      <c r="AJ53" s="6" t="b">
        <v>0</v>
      </c>
      <c r="AK53" s="6" t="b">
        <v>0</v>
      </c>
      <c r="AL53" s="9" t="str">
        <f t="shared" si="1"/>
        <v>7 dari 31 (23%)</v>
      </c>
    </row>
    <row r="54" ht="22.5" customHeight="1">
      <c r="A54" s="10">
        <v>53.0</v>
      </c>
      <c r="B54" s="11"/>
      <c r="C54" s="22">
        <v>60241.0</v>
      </c>
      <c r="D54" s="12" t="s">
        <v>53</v>
      </c>
      <c r="E54" s="12" t="s">
        <v>157</v>
      </c>
      <c r="F54" s="13"/>
      <c r="G54" s="6" t="b">
        <v>1</v>
      </c>
      <c r="H54" s="6" t="b">
        <v>1</v>
      </c>
      <c r="I54" s="6" t="b">
        <v>1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1</v>
      </c>
      <c r="AA54" s="6" t="b">
        <v>1</v>
      </c>
      <c r="AB54" s="6" t="b">
        <v>1</v>
      </c>
      <c r="AC54" s="6" t="b">
        <v>1</v>
      </c>
      <c r="AD54" s="6" t="b">
        <v>1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20 dari 31 (65%)</v>
      </c>
    </row>
    <row r="55" ht="22.5" customHeight="1">
      <c r="A55" s="2">
        <v>54.0</v>
      </c>
      <c r="B55" s="11"/>
      <c r="C55" s="20">
        <v>60528.0</v>
      </c>
      <c r="D55" s="12" t="s">
        <v>56</v>
      </c>
      <c r="E55" s="12" t="s">
        <v>64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1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1</v>
      </c>
      <c r="AJ55" s="6" t="b">
        <v>0</v>
      </c>
      <c r="AK55" s="6" t="b">
        <v>0</v>
      </c>
      <c r="AL55" s="9" t="str">
        <f t="shared" si="1"/>
        <v>15 dari 31 (48%)</v>
      </c>
    </row>
    <row r="56" ht="22.5" customHeight="1">
      <c r="A56" s="10">
        <v>55.0</v>
      </c>
      <c r="B56" s="11"/>
      <c r="C56" s="22">
        <v>50944.0</v>
      </c>
      <c r="D56" s="12" t="s">
        <v>56</v>
      </c>
      <c r="E56" s="12" t="s">
        <v>64</v>
      </c>
      <c r="F56" s="13"/>
      <c r="G56" s="6" t="b">
        <v>1</v>
      </c>
      <c r="H56" s="6" t="b">
        <v>1</v>
      </c>
      <c r="I56" s="6" t="b">
        <v>1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1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1"/>
        <v>15 dari 31 (48%)</v>
      </c>
    </row>
    <row r="57" ht="22.5" customHeight="1">
      <c r="A57" s="10">
        <v>56.0</v>
      </c>
      <c r="B57" s="11"/>
      <c r="C57" s="22">
        <v>61212.0</v>
      </c>
      <c r="D57" s="12" t="s">
        <v>39</v>
      </c>
      <c r="E57" s="12" t="s">
        <v>57</v>
      </c>
      <c r="F57" s="13"/>
      <c r="G57" s="6" t="b">
        <v>1</v>
      </c>
      <c r="H57" s="6" t="b">
        <v>1</v>
      </c>
      <c r="I57" s="6" t="b">
        <v>1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1</v>
      </c>
      <c r="AJ57" s="6" t="b">
        <v>0</v>
      </c>
      <c r="AK57" s="6" t="b">
        <v>0</v>
      </c>
      <c r="AL57" s="17" t="str">
        <f t="shared" si="1"/>
        <v>15 dari 31 (48%)</v>
      </c>
    </row>
    <row r="58" ht="22.5" customHeight="1">
      <c r="A58" s="2">
        <v>57.0</v>
      </c>
      <c r="B58" s="11"/>
      <c r="C58" s="22">
        <v>61210.0</v>
      </c>
      <c r="D58" s="12" t="s">
        <v>54</v>
      </c>
      <c r="E58" s="12" t="s">
        <v>155</v>
      </c>
      <c r="F58" s="13"/>
      <c r="G58" s="6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1"/>
        <v>15 dari 31 (48%)</v>
      </c>
    </row>
    <row r="59" ht="22.5" customHeight="1">
      <c r="A59" s="10">
        <v>58.0</v>
      </c>
      <c r="B59" s="11"/>
      <c r="C59" s="22">
        <v>61213.0</v>
      </c>
      <c r="D59" s="12" t="s">
        <v>39</v>
      </c>
      <c r="E59" s="12" t="s">
        <v>57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1</v>
      </c>
      <c r="AA59" s="6" t="b">
        <v>1</v>
      </c>
      <c r="AB59" s="6" t="b">
        <v>1</v>
      </c>
      <c r="AC59" s="6" t="b">
        <v>1</v>
      </c>
      <c r="AD59" s="6" t="b">
        <v>1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1</v>
      </c>
      <c r="AJ59" s="6" t="b">
        <v>0</v>
      </c>
      <c r="AK59" s="6" t="b">
        <v>0</v>
      </c>
      <c r="AL59" s="9" t="str">
        <f t="shared" si="1"/>
        <v>19 dari 31 (61%)</v>
      </c>
    </row>
    <row r="60" ht="22.5" customHeight="1">
      <c r="A60" s="10">
        <v>59.0</v>
      </c>
      <c r="B60" s="11"/>
      <c r="C60" s="22">
        <v>60853.0</v>
      </c>
      <c r="D60" s="12" t="s">
        <v>39</v>
      </c>
      <c r="E60" s="12" t="s">
        <v>57</v>
      </c>
      <c r="F60" s="13"/>
      <c r="G60" s="6" t="b">
        <v>1</v>
      </c>
      <c r="H60" s="6" t="b">
        <v>1</v>
      </c>
      <c r="I60" s="6" t="b">
        <v>1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1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1</v>
      </c>
      <c r="AJ60" s="6" t="b">
        <v>0</v>
      </c>
      <c r="AK60" s="6" t="b">
        <v>0</v>
      </c>
      <c r="AL60" s="17" t="str">
        <f t="shared" si="1"/>
        <v>15 dari 31 (48%)</v>
      </c>
    </row>
    <row r="61" ht="22.5" customHeight="1">
      <c r="A61" s="128">
        <v>60.0</v>
      </c>
      <c r="B61" s="94"/>
      <c r="C61" s="132">
        <v>61211.0</v>
      </c>
      <c r="D61" s="96" t="s">
        <v>98</v>
      </c>
      <c r="E61" s="96" t="s">
        <v>133</v>
      </c>
      <c r="F61" s="97"/>
      <c r="G61" s="130" t="b">
        <v>0</v>
      </c>
      <c r="H61" s="130" t="b">
        <v>0</v>
      </c>
      <c r="I61" s="130" t="b">
        <v>0</v>
      </c>
      <c r="J61" s="130" t="b">
        <v>0</v>
      </c>
      <c r="K61" s="130" t="b">
        <v>0</v>
      </c>
      <c r="L61" s="130" t="b">
        <v>0</v>
      </c>
      <c r="M61" s="130" t="b">
        <v>0</v>
      </c>
      <c r="N61" s="130" t="b">
        <v>0</v>
      </c>
      <c r="O61" s="130" t="b">
        <v>0</v>
      </c>
      <c r="P61" s="130" t="b">
        <v>0</v>
      </c>
      <c r="Q61" s="130" t="b">
        <v>0</v>
      </c>
      <c r="R61" s="130" t="b">
        <v>0</v>
      </c>
      <c r="S61" s="130" t="b">
        <v>0</v>
      </c>
      <c r="T61" s="130" t="b">
        <v>0</v>
      </c>
      <c r="U61" s="130" t="b">
        <v>0</v>
      </c>
      <c r="V61" s="130" t="b">
        <v>0</v>
      </c>
      <c r="W61" s="130" t="b">
        <v>0</v>
      </c>
      <c r="X61" s="130" t="b">
        <v>0</v>
      </c>
      <c r="Y61" s="130" t="b">
        <v>0</v>
      </c>
      <c r="Z61" s="130" t="b">
        <v>0</v>
      </c>
      <c r="AA61" s="130" t="b">
        <v>0</v>
      </c>
      <c r="AB61" s="130" t="b">
        <v>0</v>
      </c>
      <c r="AC61" s="130" t="b">
        <v>0</v>
      </c>
      <c r="AD61" s="130" t="b">
        <v>0</v>
      </c>
      <c r="AE61" s="130" t="b">
        <v>0</v>
      </c>
      <c r="AF61" s="130" t="b">
        <v>0</v>
      </c>
      <c r="AG61" s="130" t="b">
        <v>0</v>
      </c>
      <c r="AH61" s="130" t="b">
        <v>0</v>
      </c>
      <c r="AI61" s="130" t="b">
        <v>0</v>
      </c>
      <c r="AJ61" s="130" t="b">
        <v>0</v>
      </c>
      <c r="AK61" s="130" t="b">
        <v>0</v>
      </c>
      <c r="AL61" s="131" t="str">
        <f t="shared" si="1"/>
        <v>0 dari 31 (0%)</v>
      </c>
    </row>
    <row r="62" ht="22.5" customHeight="1">
      <c r="A62" s="10">
        <v>61.0</v>
      </c>
      <c r="B62" s="11"/>
      <c r="C62" s="20">
        <v>60722.0</v>
      </c>
      <c r="D62" s="12" t="s">
        <v>39</v>
      </c>
      <c r="E62" s="12" t="s">
        <v>57</v>
      </c>
      <c r="F62" s="13"/>
      <c r="G62" s="6" t="b">
        <v>1</v>
      </c>
      <c r="H62" s="6" t="b">
        <v>1</v>
      </c>
      <c r="I62" s="6" t="b">
        <v>1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1</v>
      </c>
      <c r="AJ62" s="6" t="b">
        <v>0</v>
      </c>
      <c r="AK62" s="6" t="b">
        <v>0</v>
      </c>
      <c r="AL62" s="9" t="str">
        <f t="shared" si="1"/>
        <v>15 dari 31 (48%)</v>
      </c>
    </row>
    <row r="63" ht="22.5" customHeight="1">
      <c r="A63" s="10">
        <v>62.0</v>
      </c>
      <c r="B63" s="11"/>
      <c r="C63" s="20">
        <v>61215.0</v>
      </c>
      <c r="D63" s="12" t="s">
        <v>54</v>
      </c>
      <c r="E63" s="12" t="s">
        <v>155</v>
      </c>
      <c r="F63" s="13"/>
      <c r="G63" s="6" t="b">
        <v>1</v>
      </c>
      <c r="H63" s="6" t="b">
        <v>1</v>
      </c>
      <c r="I63" s="6" t="b">
        <v>1</v>
      </c>
      <c r="J63" s="6" t="b">
        <v>0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1</v>
      </c>
      <c r="AJ63" s="6" t="b">
        <v>0</v>
      </c>
      <c r="AK63" s="6" t="b">
        <v>0</v>
      </c>
      <c r="AL63" s="17" t="str">
        <f t="shared" si="1"/>
        <v>14 dari 31 (45%)</v>
      </c>
    </row>
    <row r="64" ht="22.5" customHeight="1">
      <c r="A64" s="2">
        <v>63.0</v>
      </c>
      <c r="B64" s="11"/>
      <c r="C64" s="20">
        <v>61214.0</v>
      </c>
      <c r="D64" s="12" t="s">
        <v>101</v>
      </c>
      <c r="E64" s="12" t="s">
        <v>122</v>
      </c>
      <c r="F64" s="13"/>
      <c r="G64" s="6" t="b">
        <v>1</v>
      </c>
      <c r="H64" s="6" t="b">
        <v>1</v>
      </c>
      <c r="I64" s="6" t="b">
        <v>1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1"/>
        <v>13 dari 31 (42%)</v>
      </c>
    </row>
    <row r="65" ht="22.5" customHeight="1">
      <c r="A65" s="10">
        <v>64.0</v>
      </c>
      <c r="B65" s="11"/>
      <c r="C65" s="20">
        <v>61208.0</v>
      </c>
      <c r="D65" s="12" t="s">
        <v>98</v>
      </c>
      <c r="E65" s="12" t="s">
        <v>133</v>
      </c>
      <c r="F65" s="13"/>
      <c r="G65" s="6" t="b">
        <v>1</v>
      </c>
      <c r="H65" s="6" t="b">
        <v>1</v>
      </c>
      <c r="I65" s="6" t="b">
        <v>0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0</v>
      </c>
      <c r="AJ65" s="6" t="b">
        <v>0</v>
      </c>
      <c r="AK65" s="6" t="b">
        <v>0</v>
      </c>
      <c r="AL65" s="9" t="str">
        <f t="shared" si="1"/>
        <v>12 dari 31 (39%)</v>
      </c>
    </row>
    <row r="66" ht="22.5" customHeight="1">
      <c r="A66" s="10">
        <v>65.0</v>
      </c>
      <c r="B66" s="11"/>
      <c r="C66" s="22">
        <v>10916.0</v>
      </c>
      <c r="D66" s="12" t="s">
        <v>41</v>
      </c>
      <c r="E66" s="12" t="s">
        <v>48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15 dari 31 (48%)</v>
      </c>
    </row>
    <row r="67" ht="22.5" customHeight="1">
      <c r="A67" s="2">
        <v>66.0</v>
      </c>
      <c r="B67" s="11"/>
      <c r="C67" s="22">
        <v>61216.0</v>
      </c>
      <c r="D67" s="12" t="s">
        <v>54</v>
      </c>
      <c r="E67" s="12" t="s">
        <v>55</v>
      </c>
      <c r="F67" s="13"/>
      <c r="G67" s="6" t="b">
        <v>1</v>
      </c>
      <c r="H67" s="6" t="b">
        <v>1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14 dari 31 (45%)</v>
      </c>
    </row>
    <row r="68" ht="22.5" customHeight="1">
      <c r="A68" s="10">
        <v>67.0</v>
      </c>
      <c r="B68" s="11"/>
      <c r="C68" s="22">
        <v>60579.0</v>
      </c>
      <c r="D68" s="12" t="s">
        <v>51</v>
      </c>
      <c r="E68" s="12" t="s">
        <v>52</v>
      </c>
      <c r="F68" s="13"/>
      <c r="G68" s="6" t="b">
        <v>1</v>
      </c>
      <c r="H68" s="6" t="b">
        <v>1</v>
      </c>
      <c r="I68" s="6" t="b">
        <v>0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1</v>
      </c>
      <c r="X68" s="6" t="b">
        <v>1</v>
      </c>
      <c r="Y68" s="6" t="b">
        <v>1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16 dari 31 (52%)</v>
      </c>
    </row>
    <row r="69" ht="22.5" customHeight="1">
      <c r="A69" s="10">
        <v>68.0</v>
      </c>
      <c r="B69" s="11"/>
      <c r="C69" s="22">
        <v>60927.0</v>
      </c>
      <c r="D69" s="12" t="s">
        <v>51</v>
      </c>
      <c r="E69" s="12" t="s">
        <v>65</v>
      </c>
      <c r="F69" s="13"/>
      <c r="G69" s="6" t="b">
        <v>1</v>
      </c>
      <c r="H69" s="6" t="b">
        <v>1</v>
      </c>
      <c r="I69" s="6" t="b">
        <v>0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0</v>
      </c>
      <c r="U69" s="6" t="b">
        <v>0</v>
      </c>
      <c r="V69" s="6" t="b">
        <v>0</v>
      </c>
      <c r="W69" s="6" t="b">
        <v>1</v>
      </c>
      <c r="X69" s="6" t="b">
        <v>1</v>
      </c>
      <c r="Y69" s="6" t="b">
        <v>1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0</v>
      </c>
      <c r="AJ69" s="6" t="b">
        <v>0</v>
      </c>
      <c r="AK69" s="6" t="b">
        <v>0</v>
      </c>
      <c r="AL69" s="17" t="str">
        <f t="shared" si="1"/>
        <v>15 dari 31 (48%)</v>
      </c>
    </row>
    <row r="70" ht="22.5" customHeight="1">
      <c r="A70" s="2">
        <v>69.0</v>
      </c>
      <c r="B70" s="11"/>
      <c r="C70" s="22">
        <v>56910.0</v>
      </c>
      <c r="D70" s="12" t="s">
        <v>68</v>
      </c>
      <c r="E70" s="12" t="s">
        <v>69</v>
      </c>
      <c r="F70" s="13"/>
      <c r="G70" s="6" t="b">
        <v>1</v>
      </c>
      <c r="H70" s="6" t="b">
        <v>1</v>
      </c>
      <c r="I70" s="6" t="b">
        <v>1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0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1</v>
      </c>
      <c r="AJ70" s="6" t="b">
        <v>0</v>
      </c>
      <c r="AK70" s="6" t="b">
        <v>0</v>
      </c>
      <c r="AL70" s="9" t="str">
        <f t="shared" si="1"/>
        <v>14 dari 31 (45%)</v>
      </c>
    </row>
    <row r="71" ht="22.5" customHeight="1">
      <c r="A71" s="10">
        <v>70.0</v>
      </c>
      <c r="B71" s="11"/>
      <c r="C71" s="22">
        <v>57194.0</v>
      </c>
      <c r="D71" s="12" t="s">
        <v>68</v>
      </c>
      <c r="E71" s="12" t="s">
        <v>69</v>
      </c>
      <c r="F71" s="13"/>
      <c r="G71" s="6" t="b">
        <v>1</v>
      </c>
      <c r="H71" s="6" t="b">
        <v>1</v>
      </c>
      <c r="I71" s="6" t="b">
        <v>1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1</v>
      </c>
      <c r="AJ71" s="6" t="b">
        <v>0</v>
      </c>
      <c r="AK71" s="6" t="b">
        <v>0</v>
      </c>
      <c r="AL71" s="9" t="str">
        <f t="shared" si="1"/>
        <v>14 dari 31 (45%)</v>
      </c>
    </row>
    <row r="72" ht="22.5" customHeight="1">
      <c r="A72" s="10">
        <v>71.0</v>
      </c>
      <c r="B72" s="11"/>
      <c r="C72" s="21">
        <v>61217.0</v>
      </c>
      <c r="D72" s="12" t="s">
        <v>85</v>
      </c>
      <c r="E72" s="21" t="s">
        <v>109</v>
      </c>
      <c r="F72" s="13"/>
      <c r="G72" s="6" t="b">
        <v>1</v>
      </c>
      <c r="H72" s="6" t="b">
        <v>1</v>
      </c>
      <c r="I72" s="6" t="b">
        <v>1</v>
      </c>
      <c r="J72" s="6" t="b">
        <v>1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1</v>
      </c>
      <c r="AJ72" s="6" t="b">
        <v>0</v>
      </c>
      <c r="AK72" s="6" t="b">
        <v>0</v>
      </c>
      <c r="AL72" s="17" t="str">
        <f t="shared" si="1"/>
        <v>14 dari 31 (45%)</v>
      </c>
    </row>
    <row r="73" ht="22.5" customHeight="1">
      <c r="A73" s="2">
        <v>72.0</v>
      </c>
      <c r="B73" s="11"/>
      <c r="C73" s="22">
        <v>51885.0</v>
      </c>
      <c r="D73" s="12" t="s">
        <v>98</v>
      </c>
      <c r="E73" s="12" t="s">
        <v>137</v>
      </c>
      <c r="F73" s="13"/>
      <c r="G73" s="6" t="b">
        <v>1</v>
      </c>
      <c r="H73" s="6" t="b">
        <v>1</v>
      </c>
      <c r="I73" s="6" t="b">
        <v>0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0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12 dari 31 (39%)</v>
      </c>
    </row>
    <row r="74" ht="22.5" customHeight="1">
      <c r="A74" s="10">
        <v>73.0</v>
      </c>
      <c r="B74" s="11"/>
      <c r="C74" s="22">
        <v>61218.0</v>
      </c>
      <c r="D74" s="12" t="s">
        <v>85</v>
      </c>
      <c r="E74" s="12" t="s">
        <v>138</v>
      </c>
      <c r="F74" s="13"/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0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1</v>
      </c>
      <c r="AJ74" s="6" t="b">
        <v>0</v>
      </c>
      <c r="AK74" s="6" t="b">
        <v>0</v>
      </c>
      <c r="AL74" s="9" t="str">
        <f t="shared" si="1"/>
        <v>14 dari 31 (45%)</v>
      </c>
    </row>
    <row r="75" ht="22.5" customHeight="1">
      <c r="A75" s="10">
        <v>74.0</v>
      </c>
      <c r="B75" s="11"/>
      <c r="C75" s="22">
        <v>61212.0</v>
      </c>
      <c r="D75" s="12" t="s">
        <v>40</v>
      </c>
      <c r="E75" s="12" t="s">
        <v>43</v>
      </c>
      <c r="F75" s="13"/>
      <c r="G75" s="6" t="b">
        <v>1</v>
      </c>
      <c r="H75" s="6" t="b">
        <v>1</v>
      </c>
      <c r="I75" s="6" t="b">
        <v>1</v>
      </c>
      <c r="J75" s="6" t="b">
        <v>0</v>
      </c>
      <c r="K75" s="6" t="b">
        <v>0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0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1</v>
      </c>
      <c r="AA75" s="6" t="b">
        <v>1</v>
      </c>
      <c r="AB75" s="6" t="b">
        <v>1</v>
      </c>
      <c r="AC75" s="6" t="b">
        <v>1</v>
      </c>
      <c r="AD75" s="6" t="b">
        <v>1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1</v>
      </c>
      <c r="AJ75" s="6" t="b">
        <v>0</v>
      </c>
      <c r="AK75" s="6" t="b">
        <v>0</v>
      </c>
      <c r="AL75" s="17" t="str">
        <f t="shared" si="1"/>
        <v>17 dari 31 (55%)</v>
      </c>
    </row>
    <row r="76" ht="22.5" customHeight="1">
      <c r="A76" s="2">
        <v>75.0</v>
      </c>
      <c r="B76" s="11"/>
      <c r="C76" s="20">
        <v>51017.0</v>
      </c>
      <c r="D76" s="12" t="s">
        <v>40</v>
      </c>
      <c r="E76" s="12" t="s">
        <v>159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1</v>
      </c>
      <c r="AJ76" s="6" t="b">
        <v>0</v>
      </c>
      <c r="AK76" s="6" t="b">
        <v>0</v>
      </c>
      <c r="AL76" s="9" t="str">
        <f t="shared" si="1"/>
        <v>15 dari 31 (48%)</v>
      </c>
    </row>
    <row r="77" ht="22.5" customHeight="1">
      <c r="A77" s="10">
        <v>76.0</v>
      </c>
      <c r="B77" s="11"/>
      <c r="C77" s="20">
        <v>61148.0</v>
      </c>
      <c r="D77" s="12" t="s">
        <v>68</v>
      </c>
      <c r="E77" s="12" t="s">
        <v>69</v>
      </c>
      <c r="F77" s="13"/>
      <c r="G77" s="6" t="b">
        <v>1</v>
      </c>
      <c r="H77" s="6" t="b">
        <v>1</v>
      </c>
      <c r="I77" s="6" t="b">
        <v>1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1</v>
      </c>
      <c r="AJ77" s="6" t="b">
        <v>0</v>
      </c>
      <c r="AK77" s="6" t="b">
        <v>0</v>
      </c>
      <c r="AL77" s="9" t="str">
        <f t="shared" si="1"/>
        <v>14 dari 31 (45%)</v>
      </c>
    </row>
    <row r="78" ht="22.5" customHeight="1">
      <c r="A78" s="10">
        <v>77.0</v>
      </c>
      <c r="B78" s="11"/>
      <c r="C78" s="20">
        <v>61219.0</v>
      </c>
      <c r="D78" s="12" t="s">
        <v>93</v>
      </c>
      <c r="E78" s="12" t="s">
        <v>113</v>
      </c>
      <c r="F78" s="13"/>
      <c r="G78" s="6" t="b">
        <v>1</v>
      </c>
      <c r="H78" s="6" t="b">
        <v>1</v>
      </c>
      <c r="I78" s="6" t="b">
        <v>1</v>
      </c>
      <c r="J78" s="6" t="b">
        <v>1</v>
      </c>
      <c r="K78" s="6" t="b">
        <v>1</v>
      </c>
      <c r="L78" s="6" t="b">
        <v>1</v>
      </c>
      <c r="M78" s="6" t="b">
        <v>1</v>
      </c>
      <c r="N78" s="6" t="b">
        <v>1</v>
      </c>
      <c r="O78" s="6" t="b">
        <v>1</v>
      </c>
      <c r="P78" s="6" t="b">
        <v>1</v>
      </c>
      <c r="Q78" s="6" t="b">
        <v>1</v>
      </c>
      <c r="R78" s="6" t="b">
        <v>1</v>
      </c>
      <c r="S78" s="6" t="b">
        <v>1</v>
      </c>
      <c r="T78" s="6" t="b">
        <v>0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1</v>
      </c>
      <c r="AA78" s="6" t="b">
        <v>1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1</v>
      </c>
      <c r="AJ78" s="6" t="b">
        <v>0</v>
      </c>
      <c r="AK78" s="6" t="b">
        <v>0</v>
      </c>
      <c r="AL78" s="17" t="str">
        <f t="shared" si="1"/>
        <v>16 dari 31 (52%)</v>
      </c>
    </row>
    <row r="79" ht="22.5" customHeight="1">
      <c r="A79" s="2">
        <v>78.0</v>
      </c>
      <c r="B79" s="11"/>
      <c r="C79" s="22">
        <v>59773.0</v>
      </c>
      <c r="D79" s="12" t="s">
        <v>41</v>
      </c>
      <c r="E79" s="12" t="s">
        <v>48</v>
      </c>
      <c r="F79" s="13"/>
      <c r="G79" s="6" t="b">
        <v>1</v>
      </c>
      <c r="H79" s="6" t="b">
        <v>1</v>
      </c>
      <c r="I79" s="6" t="b">
        <v>0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12 dari 31 (39%)</v>
      </c>
    </row>
    <row r="80" ht="22.5" customHeight="1">
      <c r="A80" s="10">
        <v>79.0</v>
      </c>
      <c r="B80" s="11"/>
      <c r="C80" s="22">
        <v>35006.0</v>
      </c>
      <c r="D80" s="12" t="s">
        <v>98</v>
      </c>
      <c r="E80" s="12" t="s">
        <v>133</v>
      </c>
      <c r="F80" s="13"/>
      <c r="G80" s="6" t="b">
        <v>1</v>
      </c>
      <c r="H80" s="6" t="b">
        <v>1</v>
      </c>
      <c r="I80" s="6" t="b">
        <v>0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0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1</v>
      </c>
      <c r="AJ80" s="6" t="b">
        <v>0</v>
      </c>
      <c r="AK80" s="6" t="b">
        <v>0</v>
      </c>
      <c r="AL80" s="9" t="str">
        <f t="shared" si="1"/>
        <v>13 dari 31 (42%)</v>
      </c>
    </row>
    <row r="81" ht="22.5" customHeight="1">
      <c r="A81" s="10">
        <v>80.0</v>
      </c>
      <c r="B81" s="11"/>
      <c r="C81" s="22">
        <v>53909.0</v>
      </c>
      <c r="D81" s="12" t="s">
        <v>85</v>
      </c>
      <c r="E81" s="12" t="s">
        <v>128</v>
      </c>
      <c r="F81" s="13"/>
      <c r="G81" s="6" t="b">
        <v>1</v>
      </c>
      <c r="H81" s="6" t="b">
        <v>1</v>
      </c>
      <c r="I81" s="6" t="b">
        <v>1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0</v>
      </c>
      <c r="U81" s="6" t="b">
        <v>0</v>
      </c>
      <c r="V81" s="6" t="b">
        <v>0</v>
      </c>
      <c r="W81" s="6" t="b">
        <v>1</v>
      </c>
      <c r="X81" s="6" t="b">
        <v>1</v>
      </c>
      <c r="Y81" s="6" t="b">
        <v>1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1</v>
      </c>
      <c r="AJ81" s="6" t="b">
        <v>0</v>
      </c>
      <c r="AK81" s="6" t="b">
        <v>0</v>
      </c>
      <c r="AL81" s="17" t="str">
        <f t="shared" si="1"/>
        <v>17 dari 31 (55%)</v>
      </c>
    </row>
    <row r="82" ht="22.5" customHeight="1">
      <c r="A82" s="2">
        <v>81.0</v>
      </c>
      <c r="B82" s="11"/>
      <c r="C82" s="20">
        <v>38315.0</v>
      </c>
      <c r="D82" s="20" t="s">
        <v>85</v>
      </c>
      <c r="E82" s="12" t="s">
        <v>88</v>
      </c>
      <c r="F82" s="13"/>
      <c r="G82" s="6" t="b">
        <v>1</v>
      </c>
      <c r="H82" s="6" t="b">
        <v>1</v>
      </c>
      <c r="I82" s="6" t="b">
        <v>1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0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1</v>
      </c>
      <c r="AJ82" s="6" t="b">
        <v>0</v>
      </c>
      <c r="AK82" s="6" t="b">
        <v>0</v>
      </c>
      <c r="AL82" s="9" t="str">
        <f t="shared" si="1"/>
        <v>14 dari 31 (45%)</v>
      </c>
    </row>
    <row r="83" ht="22.5" customHeight="1">
      <c r="A83" s="10">
        <v>82.0</v>
      </c>
      <c r="B83" s="11"/>
      <c r="C83" s="20">
        <v>59848.0</v>
      </c>
      <c r="D83" s="12" t="s">
        <v>40</v>
      </c>
      <c r="E83" s="12" t="s">
        <v>43</v>
      </c>
      <c r="F83" s="13"/>
      <c r="G83" s="6" t="b">
        <v>1</v>
      </c>
      <c r="H83" s="6" t="b">
        <v>1</v>
      </c>
      <c r="I83" s="6" t="b">
        <v>0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1</v>
      </c>
      <c r="S83" s="6" t="b">
        <v>1</v>
      </c>
      <c r="T83" s="6" t="b">
        <v>0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1</v>
      </c>
      <c r="AJ83" s="6" t="b">
        <v>0</v>
      </c>
      <c r="AK83" s="6" t="b">
        <v>0</v>
      </c>
      <c r="AL83" s="9" t="str">
        <f t="shared" si="1"/>
        <v>13 dari 31 (42%)</v>
      </c>
    </row>
    <row r="84" ht="22.5" customHeight="1">
      <c r="A84" s="10">
        <v>83.0</v>
      </c>
      <c r="B84" s="11"/>
      <c r="C84" s="20">
        <v>56286.0</v>
      </c>
      <c r="D84" s="12" t="s">
        <v>98</v>
      </c>
      <c r="E84" s="12" t="s">
        <v>133</v>
      </c>
      <c r="F84" s="15" t="s">
        <v>50</v>
      </c>
      <c r="G84" s="6" t="b">
        <v>1</v>
      </c>
      <c r="H84" s="6" t="b">
        <v>0</v>
      </c>
      <c r="I84" s="6" t="b">
        <v>0</v>
      </c>
      <c r="J84" s="6" t="b">
        <v>0</v>
      </c>
      <c r="K84" s="6" t="b">
        <v>0</v>
      </c>
      <c r="L84" s="6" t="b">
        <v>0</v>
      </c>
      <c r="M84" s="6" t="b">
        <v>0</v>
      </c>
      <c r="N84" s="6" t="b">
        <v>0</v>
      </c>
      <c r="O84" s="6" t="b">
        <v>0</v>
      </c>
      <c r="P84" s="6" t="b">
        <v>0</v>
      </c>
      <c r="Q84" s="6" t="b">
        <v>0</v>
      </c>
      <c r="R84" s="6" t="b">
        <v>0</v>
      </c>
      <c r="S84" s="6" t="b">
        <v>0</v>
      </c>
      <c r="T84" s="6" t="b">
        <v>0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1 dari 31 (3%)</v>
      </c>
    </row>
    <row r="85" ht="22.5" customHeight="1">
      <c r="A85" s="2">
        <v>84.0</v>
      </c>
      <c r="B85" s="11"/>
      <c r="C85" s="20">
        <v>54818.0</v>
      </c>
      <c r="D85" s="12" t="s">
        <v>98</v>
      </c>
      <c r="E85" s="12" t="s">
        <v>133</v>
      </c>
      <c r="F85" s="15" t="s">
        <v>50</v>
      </c>
      <c r="G85" s="6" t="b">
        <v>1</v>
      </c>
      <c r="H85" s="6" t="b">
        <v>0</v>
      </c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  <c r="P85" s="6" t="b">
        <v>0</v>
      </c>
      <c r="Q85" s="6" t="b">
        <v>0</v>
      </c>
      <c r="R85" s="6" t="b">
        <v>0</v>
      </c>
      <c r="S85" s="6" t="b">
        <v>0</v>
      </c>
      <c r="T85" s="6" t="b">
        <v>0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0</v>
      </c>
      <c r="AJ85" s="6" t="b">
        <v>0</v>
      </c>
      <c r="AK85" s="6" t="b">
        <v>0</v>
      </c>
      <c r="AL85" s="9" t="str">
        <f t="shared" si="1"/>
        <v>1 dari 31 (3%)</v>
      </c>
    </row>
    <row r="86" ht="22.5" customHeight="1">
      <c r="A86" s="10">
        <v>85.0</v>
      </c>
      <c r="B86" s="11"/>
      <c r="C86" s="20">
        <v>61221.0</v>
      </c>
      <c r="D86" s="12" t="s">
        <v>89</v>
      </c>
      <c r="E86" s="12" t="s">
        <v>156</v>
      </c>
      <c r="F86" s="15" t="s">
        <v>50</v>
      </c>
      <c r="G86" s="6" t="b">
        <v>1</v>
      </c>
      <c r="H86" s="6" t="b">
        <v>0</v>
      </c>
      <c r="I86" s="6" t="b">
        <v>0</v>
      </c>
      <c r="J86" s="6" t="b">
        <v>0</v>
      </c>
      <c r="K86" s="6" t="b">
        <v>0</v>
      </c>
      <c r="L86" s="6" t="b">
        <v>0</v>
      </c>
      <c r="M86" s="6" t="b">
        <v>0</v>
      </c>
      <c r="N86" s="6" t="b">
        <v>0</v>
      </c>
      <c r="O86" s="6" t="b">
        <v>0</v>
      </c>
      <c r="P86" s="6" t="b">
        <v>0</v>
      </c>
      <c r="Q86" s="6" t="b">
        <v>0</v>
      </c>
      <c r="R86" s="6" t="b">
        <v>0</v>
      </c>
      <c r="S86" s="6" t="b">
        <v>0</v>
      </c>
      <c r="T86" s="6" t="b">
        <v>0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1 dari 31 (3%)</v>
      </c>
    </row>
    <row r="87" ht="22.5" customHeight="1">
      <c r="A87" s="10">
        <v>86.0</v>
      </c>
      <c r="B87" s="11"/>
      <c r="C87" s="22">
        <v>61222.0</v>
      </c>
      <c r="D87" s="12" t="s">
        <v>89</v>
      </c>
      <c r="E87" s="12" t="s">
        <v>95</v>
      </c>
      <c r="F87" s="27" t="s">
        <v>67</v>
      </c>
      <c r="G87" s="6" t="b">
        <v>0</v>
      </c>
      <c r="H87" s="6" t="b">
        <v>0</v>
      </c>
      <c r="I87" s="6" t="b">
        <v>0</v>
      </c>
      <c r="J87" s="6" t="b">
        <v>0</v>
      </c>
      <c r="K87" s="6" t="b">
        <v>0</v>
      </c>
      <c r="L87" s="6" t="b">
        <v>0</v>
      </c>
      <c r="M87" s="6" t="b">
        <v>0</v>
      </c>
      <c r="N87" s="6" t="b">
        <v>0</v>
      </c>
      <c r="O87" s="6" t="b">
        <v>0</v>
      </c>
      <c r="P87" s="6" t="b">
        <v>0</v>
      </c>
      <c r="Q87" s="6" t="b">
        <v>0</v>
      </c>
      <c r="R87" s="6" t="b">
        <v>0</v>
      </c>
      <c r="S87" s="6" t="b">
        <v>0</v>
      </c>
      <c r="T87" s="6" t="b">
        <v>0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0 dari 31 (0%)</v>
      </c>
    </row>
    <row r="88" ht="22.5" customHeight="1">
      <c r="A88" s="2">
        <v>87.0</v>
      </c>
      <c r="B88" s="11"/>
      <c r="C88" s="22">
        <v>61220.0</v>
      </c>
      <c r="D88" s="12" t="s">
        <v>89</v>
      </c>
      <c r="E88" s="12" t="s">
        <v>95</v>
      </c>
      <c r="F88" s="15" t="s">
        <v>50</v>
      </c>
      <c r="G88" s="6" t="b">
        <v>1</v>
      </c>
      <c r="H88" s="6" t="b">
        <v>0</v>
      </c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  <c r="P88" s="6" t="b">
        <v>0</v>
      </c>
      <c r="Q88" s="6" t="b">
        <v>0</v>
      </c>
      <c r="R88" s="6" t="b">
        <v>0</v>
      </c>
      <c r="S88" s="6" t="b">
        <v>0</v>
      </c>
      <c r="T88" s="6" t="b">
        <v>0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1 dari 31 (3%)</v>
      </c>
    </row>
    <row r="90">
      <c r="B90" s="71" t="s">
        <v>38</v>
      </c>
      <c r="C90" s="72"/>
      <c r="D90" s="72"/>
      <c r="E90" s="72"/>
      <c r="F90" s="73"/>
      <c r="G90" s="74">
        <f>COUNTIF(JULI_10[ID Encounter], TRUE)</f>
        <v>83</v>
      </c>
      <c r="H90" s="74">
        <f>COUNTIF(JULI_10[ID Condition], TRUE)</f>
        <v>77</v>
      </c>
      <c r="I90" s="74">
        <f>COUNTIF(JULI_10[ID Clinical Impression], TRUE)</f>
        <v>47</v>
      </c>
      <c r="J90" s="74">
        <f>COUNTIF(JULI_10[ID Observation Tensi], TRUE)</f>
        <v>74</v>
      </c>
      <c r="K90" s="74">
        <f>COUNTIF(JULI_10[ID Observation Nadi], TRUE)</f>
        <v>75</v>
      </c>
      <c r="L90" s="74">
        <f>COUNTIF(JULI_10[ID Observation RR], TRUE)</f>
        <v>76</v>
      </c>
      <c r="M90" s="74">
        <f>COUNTIF(JULI_10[ID Observation Suhu], TRUE)</f>
        <v>77</v>
      </c>
      <c r="N90" s="74">
        <f>COUNTIF(JULI_10[ID Observation SPO2], TRUE)</f>
        <v>77</v>
      </c>
      <c r="O90" s="74">
        <f>COUNTIF(JULI_10[ID Observation GCS], TRUE)</f>
        <v>77</v>
      </c>
      <c r="P90" s="74">
        <f>COUNTIF(JULI_10[ID Observation Tinggi], TRUE)</f>
        <v>77</v>
      </c>
      <c r="Q90" s="74">
        <f>COUNTIF(JULI_10[ID Observation Berat], TRUE)</f>
        <v>77</v>
      </c>
      <c r="R90" s="74">
        <f>COUNTIF(JULI_10[ID Observation Perut], TRUE)</f>
        <v>77</v>
      </c>
      <c r="S90" s="74">
        <f>COUNTIF(JULI_10[ID Observation Kesadaran], TRUE)</f>
        <v>77</v>
      </c>
      <c r="T90" s="74">
        <f>COUNTIF(JULI_10[ID Procedure], TRUE)</f>
        <v>40</v>
      </c>
      <c r="U90" s="74">
        <f>COUNTIF(JULI_10[ID Composition], TRUE)</f>
        <v>0</v>
      </c>
      <c r="V90" s="74">
        <f>COUNTIF(JULI_10[ID Vaksin/Imunisasi], TRUE)</f>
        <v>0</v>
      </c>
      <c r="W90" s="74">
        <f>COUNTIF(JULI_10[ID Medication Request], TRUE)</f>
        <v>5</v>
      </c>
      <c r="X90" s="74">
        <f>COUNTIF(JULI_10[ID Medication Dispense], TRUE)</f>
        <v>5</v>
      </c>
      <c r="Y90" s="74">
        <f>COUNTIF(JULI_10[ID Medication Statement], TRUE)</f>
        <v>5</v>
      </c>
      <c r="Z90" s="74">
        <f>COUNTIF(JULI_10[ID Service Request Radiologi], TRUE)</f>
        <v>7</v>
      </c>
      <c r="AA90" s="74">
        <f>COUNTIF(JULI_10[ID Specimen Radiologi], TRUE)</f>
        <v>7</v>
      </c>
      <c r="AB90" s="74">
        <f>COUNTIF(JULI_10[ID Observation Radiologi], TRUE)</f>
        <v>6</v>
      </c>
      <c r="AC90" s="74">
        <f>COUNTIF(JULI_10[ID Diagnostic Report Radiologi], TRUE)</f>
        <v>6</v>
      </c>
      <c r="AD90" s="74">
        <f>COUNTIF(JULI_10[Image Study], TRUE)</f>
        <v>6</v>
      </c>
      <c r="AE90" s="74">
        <f>COUNTIF(JULI_10[ID Service Request Lab PK], TRUE)</f>
        <v>1</v>
      </c>
      <c r="AF90" s="74">
        <f>COUNTIF(JULI_10[ID Specimen Lab PK], TRUE)</f>
        <v>1</v>
      </c>
      <c r="AG90" s="74">
        <f>COUNTIF(JULI_10[ID Observation Lab PK], TRUE)</f>
        <v>1</v>
      </c>
      <c r="AH90" s="74">
        <f>COUNTIF(JULI_10[ID Diagnostic Report Lab PK], TRUE)</f>
        <v>1</v>
      </c>
      <c r="AI90" s="74">
        <f>COUNTIF(JULI_10[ID Care Plan], TRUE)</f>
        <v>53</v>
      </c>
      <c r="AJ90" s="74">
        <f>COUNTIF(JULI_10[ID Allergy], TRUE)</f>
        <v>0</v>
      </c>
      <c r="AK90" s="74">
        <f>COUNTIF(JULI_10[ID Questionnaire], TRUE)</f>
        <v>0</v>
      </c>
      <c r="AL90" s="75" t="str">
        <f>COUNTIF(JULI_10[[ID Encounter]:[ID Questionnaire]], TRUE()) &amp; " dari " &amp; (ROWS(JULI_10[[ID Encounter]:[ID Questionnaire]])*COLUMNS(JULI_10[[ID Encounter]:[ID Questionnaire]])) &amp; " (" &amp; TEXT(COUNTIF(JULI_10[[ID Encounter]:[ID Questionnaire]], TRUE())/(ROWS(JULI_10[[ID Encounter]:[ID Questionnaire]])*COLUMNS(JULI_10[[ID Encounter]:[ID Questionnaire]])),"0%") &amp; ")"</f>
        <v>1115 dari 2697 (41%)</v>
      </c>
    </row>
    <row r="91">
      <c r="B91" s="76"/>
      <c r="C91" s="77"/>
      <c r="D91" s="77"/>
      <c r="E91" s="77"/>
      <c r="F91" s="78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</row>
  </sheetData>
  <mergeCells count="33">
    <mergeCell ref="B90:F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H90:AH91"/>
    <mergeCell ref="AI90:AI91"/>
    <mergeCell ref="AJ90:AJ91"/>
    <mergeCell ref="AK90:AK91"/>
    <mergeCell ref="AL90:AL91"/>
    <mergeCell ref="AA90:AA91"/>
    <mergeCell ref="AB90:AB91"/>
    <mergeCell ref="AC90:AC91"/>
    <mergeCell ref="AD90:AD91"/>
    <mergeCell ref="AE90:AE91"/>
    <mergeCell ref="AF90:AF91"/>
    <mergeCell ref="AG90:AG91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28" max="28" width="24.0"/>
    <col customWidth="1" min="29" max="29" width="28.38"/>
    <col customWidth="1" min="31" max="31" width="25.38"/>
    <col customWidth="1" min="32" max="32" width="20.63"/>
    <col customWidth="1" min="33" max="33" width="22.25"/>
    <col customWidth="1" min="34" max="34" width="26.63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46214.0</v>
      </c>
      <c r="C2" s="22">
        <v>60616.0</v>
      </c>
      <c r="D2" s="12" t="s">
        <v>56</v>
      </c>
      <c r="E2" s="12" t="s">
        <v>58</v>
      </c>
      <c r="F2" s="13"/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82" si="1">COUNTIF(G2:AK2, TRUE()) &amp; " dari " &amp; COLUMNS(G2:AK2) &amp; " (" &amp; TEXT(COUNTIF(G2:AK2, TRUE())/COLUMNS(G2:AK2),"0%") &amp; ")"</f>
        <v>14 dari 31 (45%)</v>
      </c>
    </row>
    <row r="3" ht="22.5" customHeight="1">
      <c r="A3" s="10">
        <v>2.0</v>
      </c>
      <c r="B3" s="11"/>
      <c r="C3" s="22">
        <v>60967.0</v>
      </c>
      <c r="D3" s="12" t="s">
        <v>68</v>
      </c>
      <c r="E3" s="12" t="s">
        <v>155</v>
      </c>
      <c r="F3" s="13"/>
      <c r="G3" s="16" t="b">
        <v>1</v>
      </c>
      <c r="H3" s="16" t="b">
        <v>1</v>
      </c>
      <c r="I3" s="16" t="b">
        <v>1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15 dari 31 (48%)</v>
      </c>
    </row>
    <row r="4" ht="22.5" customHeight="1">
      <c r="A4" s="2">
        <v>3.0</v>
      </c>
      <c r="B4" s="18"/>
      <c r="C4" s="22">
        <v>59492.0</v>
      </c>
      <c r="D4" s="12" t="s">
        <v>68</v>
      </c>
      <c r="E4" s="12" t="s">
        <v>109</v>
      </c>
      <c r="F4" s="13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1</v>
      </c>
      <c r="AJ4" s="6" t="b">
        <v>0</v>
      </c>
      <c r="AK4" s="6" t="b">
        <v>0</v>
      </c>
      <c r="AL4" s="9" t="str">
        <f t="shared" si="1"/>
        <v>15 dari 31 (48%)</v>
      </c>
    </row>
    <row r="5" ht="22.5" customHeight="1">
      <c r="A5" s="10">
        <v>4.0</v>
      </c>
      <c r="B5" s="11"/>
      <c r="C5" s="22">
        <v>56433.0</v>
      </c>
      <c r="D5" s="12" t="s">
        <v>68</v>
      </c>
      <c r="E5" s="12" t="s">
        <v>109</v>
      </c>
      <c r="F5" s="13"/>
      <c r="G5" s="16" t="b">
        <v>1</v>
      </c>
      <c r="H5" s="16" t="b">
        <v>1</v>
      </c>
      <c r="I5" s="16" t="b">
        <v>1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15 dari 31 (48%)</v>
      </c>
    </row>
    <row r="6" ht="22.5" customHeight="1">
      <c r="A6" s="2">
        <v>5.0</v>
      </c>
      <c r="B6" s="18"/>
      <c r="C6" s="20">
        <v>57958.0</v>
      </c>
      <c r="D6" s="12" t="s">
        <v>68</v>
      </c>
      <c r="E6" s="12" t="s">
        <v>109</v>
      </c>
      <c r="F6" s="13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15 dari 31 (48%)</v>
      </c>
    </row>
    <row r="7" ht="22.5" customHeight="1">
      <c r="A7" s="10">
        <v>6.0</v>
      </c>
      <c r="B7" s="11"/>
      <c r="C7" s="20">
        <v>61148.0</v>
      </c>
      <c r="D7" s="12" t="s">
        <v>68</v>
      </c>
      <c r="E7" s="12" t="s">
        <v>109</v>
      </c>
      <c r="F7" s="13"/>
      <c r="G7" s="16" t="b">
        <v>1</v>
      </c>
      <c r="H7" s="16" t="b">
        <v>1</v>
      </c>
      <c r="I7" s="16" t="b">
        <v>1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15 dari 31 (48%)</v>
      </c>
    </row>
    <row r="8" ht="22.5" customHeight="1">
      <c r="A8" s="128">
        <v>7.0</v>
      </c>
      <c r="B8" s="129"/>
      <c r="C8" s="95">
        <v>59397.0</v>
      </c>
      <c r="D8" s="96" t="s">
        <v>68</v>
      </c>
      <c r="E8" s="96" t="s">
        <v>109</v>
      </c>
      <c r="F8" s="97"/>
      <c r="G8" s="130" t="b">
        <v>0</v>
      </c>
      <c r="H8" s="130" t="b">
        <v>0</v>
      </c>
      <c r="I8" s="130" t="b">
        <v>0</v>
      </c>
      <c r="J8" s="130" t="b">
        <v>0</v>
      </c>
      <c r="K8" s="130" t="b">
        <v>0</v>
      </c>
      <c r="L8" s="130" t="b">
        <v>0</v>
      </c>
      <c r="M8" s="130" t="b">
        <v>0</v>
      </c>
      <c r="N8" s="130" t="b">
        <v>0</v>
      </c>
      <c r="O8" s="130" t="b">
        <v>0</v>
      </c>
      <c r="P8" s="130" t="b">
        <v>0</v>
      </c>
      <c r="Q8" s="130" t="b">
        <v>0</v>
      </c>
      <c r="R8" s="130" t="b">
        <v>0</v>
      </c>
      <c r="S8" s="130" t="b">
        <v>0</v>
      </c>
      <c r="T8" s="130" t="b">
        <v>0</v>
      </c>
      <c r="U8" s="130" t="b">
        <v>0</v>
      </c>
      <c r="V8" s="130" t="b">
        <v>0</v>
      </c>
      <c r="W8" s="130" t="b">
        <v>0</v>
      </c>
      <c r="X8" s="130" t="b">
        <v>0</v>
      </c>
      <c r="Y8" s="130" t="b">
        <v>0</v>
      </c>
      <c r="Z8" s="130" t="b">
        <v>0</v>
      </c>
      <c r="AA8" s="130" t="b">
        <v>0</v>
      </c>
      <c r="AB8" s="130" t="b">
        <v>0</v>
      </c>
      <c r="AC8" s="130" t="b">
        <v>0</v>
      </c>
      <c r="AD8" s="130" t="b">
        <v>0</v>
      </c>
      <c r="AE8" s="130" t="b">
        <v>0</v>
      </c>
      <c r="AF8" s="130" t="b">
        <v>0</v>
      </c>
      <c r="AG8" s="130" t="b">
        <v>0</v>
      </c>
      <c r="AH8" s="130" t="b">
        <v>0</v>
      </c>
      <c r="AI8" s="130" t="b">
        <v>0</v>
      </c>
      <c r="AJ8" s="130" t="b">
        <v>0</v>
      </c>
      <c r="AK8" s="130" t="b">
        <v>0</v>
      </c>
      <c r="AL8" s="131" t="str">
        <f t="shared" si="1"/>
        <v>0 dari 31 (0%)</v>
      </c>
    </row>
    <row r="9" ht="22.5" customHeight="1">
      <c r="A9" s="10">
        <v>8.0</v>
      </c>
      <c r="B9" s="11"/>
      <c r="C9" s="22">
        <v>60273.0</v>
      </c>
      <c r="D9" s="12" t="s">
        <v>68</v>
      </c>
      <c r="E9" s="12" t="s">
        <v>155</v>
      </c>
      <c r="F9" s="13"/>
      <c r="G9" s="16" t="b">
        <v>1</v>
      </c>
      <c r="H9" s="16" t="b">
        <v>1</v>
      </c>
      <c r="I9" s="16" t="b">
        <v>1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1</v>
      </c>
      <c r="AJ9" s="16" t="b">
        <v>0</v>
      </c>
      <c r="AK9" s="16" t="b">
        <v>0</v>
      </c>
      <c r="AL9" s="17" t="str">
        <f t="shared" si="1"/>
        <v>15 dari 31 (48%)</v>
      </c>
    </row>
    <row r="10" ht="22.5" customHeight="1">
      <c r="A10" s="2">
        <v>9.0</v>
      </c>
      <c r="B10" s="18"/>
      <c r="C10" s="22">
        <v>57194.0</v>
      </c>
      <c r="D10" s="12" t="s">
        <v>68</v>
      </c>
      <c r="E10" s="12" t="s">
        <v>109</v>
      </c>
      <c r="F10" s="13"/>
      <c r="G10" s="6" t="b">
        <v>1</v>
      </c>
      <c r="H10" s="6" t="b">
        <v>1</v>
      </c>
      <c r="I10" s="6" t="b">
        <v>1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1</v>
      </c>
      <c r="AJ10" s="6" t="b">
        <v>0</v>
      </c>
      <c r="AK10" s="6" t="b">
        <v>0</v>
      </c>
      <c r="AL10" s="9" t="str">
        <f t="shared" si="1"/>
        <v>15 dari 31 (48%)</v>
      </c>
    </row>
    <row r="11" ht="22.5" customHeight="1">
      <c r="A11" s="10">
        <v>10.0</v>
      </c>
      <c r="B11" s="11"/>
      <c r="C11" s="22">
        <v>54268.0</v>
      </c>
      <c r="D11" s="12" t="s">
        <v>68</v>
      </c>
      <c r="E11" s="12" t="s">
        <v>155</v>
      </c>
      <c r="F11" s="13"/>
      <c r="G11" s="16" t="b">
        <v>1</v>
      </c>
      <c r="H11" s="16" t="b">
        <v>1</v>
      </c>
      <c r="I11" s="16" t="b">
        <v>1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15 dari 31 (48%)</v>
      </c>
    </row>
    <row r="12" ht="22.5" customHeight="1">
      <c r="A12" s="2">
        <v>11.0</v>
      </c>
      <c r="B12" s="18"/>
      <c r="C12" s="20">
        <v>56477.0</v>
      </c>
      <c r="D12" s="12" t="s">
        <v>98</v>
      </c>
      <c r="E12" s="12" t="s">
        <v>99</v>
      </c>
      <c r="F12" s="13"/>
      <c r="G12" s="6" t="b">
        <v>1</v>
      </c>
      <c r="H12" s="6" t="b">
        <v>1</v>
      </c>
      <c r="I12" s="6" t="b">
        <v>0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13 dari 31 (42%)</v>
      </c>
    </row>
    <row r="13" ht="22.5" customHeight="1">
      <c r="A13" s="109">
        <v>12.0</v>
      </c>
      <c r="B13" s="110"/>
      <c r="C13" s="102">
        <v>47791.0</v>
      </c>
      <c r="D13" s="103" t="s">
        <v>98</v>
      </c>
      <c r="E13" s="103" t="s">
        <v>99</v>
      </c>
      <c r="F13" s="104"/>
      <c r="G13" s="126" t="b">
        <v>1</v>
      </c>
      <c r="H13" s="126" t="b">
        <v>1</v>
      </c>
      <c r="I13" s="126" t="b">
        <v>0</v>
      </c>
      <c r="J13" s="126" t="b">
        <v>1</v>
      </c>
      <c r="K13" s="126" t="b">
        <v>1</v>
      </c>
      <c r="L13" s="126" t="b">
        <v>1</v>
      </c>
      <c r="M13" s="126" t="b">
        <v>1</v>
      </c>
      <c r="N13" s="126" t="b">
        <v>1</v>
      </c>
      <c r="O13" s="126" t="b">
        <v>1</v>
      </c>
      <c r="P13" s="126" t="b">
        <v>1</v>
      </c>
      <c r="Q13" s="126" t="b">
        <v>1</v>
      </c>
      <c r="R13" s="126" t="b">
        <v>1</v>
      </c>
      <c r="S13" s="126" t="b">
        <v>1</v>
      </c>
      <c r="T13" s="126" t="b">
        <v>1</v>
      </c>
      <c r="U13" s="126" t="b">
        <v>0</v>
      </c>
      <c r="V13" s="126" t="b">
        <v>0</v>
      </c>
      <c r="W13" s="126" t="b">
        <v>0</v>
      </c>
      <c r="X13" s="126" t="b">
        <v>0</v>
      </c>
      <c r="Y13" s="126" t="b">
        <v>0</v>
      </c>
      <c r="Z13" s="126" t="b">
        <v>0</v>
      </c>
      <c r="AA13" s="126" t="b">
        <v>0</v>
      </c>
      <c r="AB13" s="126" t="b">
        <v>0</v>
      </c>
      <c r="AC13" s="126" t="b">
        <v>0</v>
      </c>
      <c r="AD13" s="126" t="b">
        <v>0</v>
      </c>
      <c r="AE13" s="126" t="b">
        <v>0</v>
      </c>
      <c r="AF13" s="126" t="b">
        <v>0</v>
      </c>
      <c r="AG13" s="126" t="b">
        <v>0</v>
      </c>
      <c r="AH13" s="126" t="b">
        <v>0</v>
      </c>
      <c r="AI13" s="126" t="b">
        <v>0</v>
      </c>
      <c r="AJ13" s="126" t="b">
        <v>0</v>
      </c>
      <c r="AK13" s="126" t="b">
        <v>0</v>
      </c>
      <c r="AL13" s="127" t="str">
        <f t="shared" si="1"/>
        <v>13 dari 31 (42%)</v>
      </c>
    </row>
    <row r="14" ht="22.5" customHeight="1">
      <c r="A14" s="2">
        <v>13.0</v>
      </c>
      <c r="B14" s="18"/>
      <c r="C14" s="20">
        <v>60524.0</v>
      </c>
      <c r="D14" s="12" t="s">
        <v>56</v>
      </c>
      <c r="E14" s="12" t="s">
        <v>58</v>
      </c>
      <c r="F14" s="13"/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1</v>
      </c>
      <c r="AJ14" s="6" t="b">
        <v>0</v>
      </c>
      <c r="AK14" s="6" t="b">
        <v>0</v>
      </c>
      <c r="AL14" s="9" t="str">
        <f t="shared" si="1"/>
        <v>15 dari 31 (48%)</v>
      </c>
    </row>
    <row r="15" ht="22.5" customHeight="1">
      <c r="A15" s="10">
        <v>14.0</v>
      </c>
      <c r="B15" s="11"/>
      <c r="C15" s="20">
        <v>59698.0</v>
      </c>
      <c r="D15" s="12" t="s">
        <v>56</v>
      </c>
      <c r="E15" s="12" t="s">
        <v>58</v>
      </c>
      <c r="F15" s="13"/>
      <c r="G15" s="16" t="b">
        <v>1</v>
      </c>
      <c r="H15" s="16" t="b">
        <v>1</v>
      </c>
      <c r="I15" s="16" t="b">
        <v>1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1</v>
      </c>
      <c r="AJ15" s="16" t="b">
        <v>0</v>
      </c>
      <c r="AK15" s="16" t="b">
        <v>0</v>
      </c>
      <c r="AL15" s="17" t="str">
        <f t="shared" si="1"/>
        <v>15 dari 31 (48%)</v>
      </c>
    </row>
    <row r="16" ht="22.5" customHeight="1">
      <c r="A16" s="2">
        <v>15.0</v>
      </c>
      <c r="B16" s="18"/>
      <c r="C16" s="20">
        <v>20218.0</v>
      </c>
      <c r="D16" s="12" t="s">
        <v>39</v>
      </c>
      <c r="E16" s="12" t="s">
        <v>42</v>
      </c>
      <c r="F16" s="13"/>
      <c r="G16" s="6" t="b">
        <v>1</v>
      </c>
      <c r="H16" s="6" t="b">
        <v>1</v>
      </c>
      <c r="I16" s="6" t="b">
        <v>1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1</v>
      </c>
      <c r="AJ16" s="6" t="b">
        <v>0</v>
      </c>
      <c r="AK16" s="6" t="b">
        <v>0</v>
      </c>
      <c r="AL16" s="9" t="str">
        <f t="shared" si="1"/>
        <v>15 dari 31 (48%)</v>
      </c>
    </row>
    <row r="17" ht="22.5" customHeight="1">
      <c r="A17" s="10">
        <v>16.0</v>
      </c>
      <c r="B17" s="11"/>
      <c r="C17" s="22">
        <v>58489.0</v>
      </c>
      <c r="D17" s="12" t="s">
        <v>39</v>
      </c>
      <c r="E17" s="12" t="s">
        <v>42</v>
      </c>
      <c r="F17" s="13"/>
      <c r="G17" s="16" t="b">
        <v>1</v>
      </c>
      <c r="H17" s="16" t="b">
        <v>1</v>
      </c>
      <c r="I17" s="16" t="b">
        <v>1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1</v>
      </c>
      <c r="AJ17" s="16" t="b">
        <v>0</v>
      </c>
      <c r="AK17" s="16" t="b">
        <v>0</v>
      </c>
      <c r="AL17" s="17" t="str">
        <f t="shared" si="1"/>
        <v>15 dari 31 (48%)</v>
      </c>
    </row>
    <row r="18" ht="22.5" customHeight="1">
      <c r="A18" s="2">
        <v>17.0</v>
      </c>
      <c r="B18" s="18"/>
      <c r="C18" s="20">
        <v>59607.0</v>
      </c>
      <c r="D18" s="12" t="s">
        <v>39</v>
      </c>
      <c r="E18" s="12" t="s">
        <v>42</v>
      </c>
      <c r="F18" s="13"/>
      <c r="G18" s="6" t="b">
        <v>1</v>
      </c>
      <c r="H18" s="6" t="b">
        <v>1</v>
      </c>
      <c r="I18" s="6" t="b">
        <v>0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1</v>
      </c>
      <c r="AA18" s="6" t="b">
        <v>1</v>
      </c>
      <c r="AB18" s="6" t="b">
        <v>1</v>
      </c>
      <c r="AC18" s="6" t="b">
        <v>1</v>
      </c>
      <c r="AD18" s="6" t="b">
        <v>1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18 dari 31 (58%)</v>
      </c>
    </row>
    <row r="19" ht="22.5" customHeight="1">
      <c r="A19" s="10">
        <v>18.0</v>
      </c>
      <c r="B19" s="11"/>
      <c r="C19" s="20">
        <v>53574.0</v>
      </c>
      <c r="D19" s="12" t="s">
        <v>39</v>
      </c>
      <c r="E19" s="12" t="s">
        <v>42</v>
      </c>
      <c r="F19" s="13"/>
      <c r="G19" s="16" t="b">
        <v>1</v>
      </c>
      <c r="H19" s="16" t="b">
        <v>1</v>
      </c>
      <c r="I19" s="16" t="b">
        <v>1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1</v>
      </c>
      <c r="AA19" s="16" t="b">
        <v>1</v>
      </c>
      <c r="AB19" s="16" t="b">
        <v>1</v>
      </c>
      <c r="AC19" s="16" t="b">
        <v>1</v>
      </c>
      <c r="AD19" s="16" t="b">
        <v>1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19 dari 31 (61%)</v>
      </c>
    </row>
    <row r="20" ht="22.5" customHeight="1">
      <c r="A20" s="2">
        <v>19.0</v>
      </c>
      <c r="B20" s="18"/>
      <c r="C20" s="20">
        <v>53045.0</v>
      </c>
      <c r="D20" s="12" t="s">
        <v>39</v>
      </c>
      <c r="E20" s="12" t="s">
        <v>42</v>
      </c>
      <c r="F20" s="13"/>
      <c r="G20" s="6" t="b">
        <v>1</v>
      </c>
      <c r="H20" s="6" t="b">
        <v>1</v>
      </c>
      <c r="I20" s="6" t="b">
        <v>1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1</v>
      </c>
      <c r="AA20" s="6" t="b">
        <v>1</v>
      </c>
      <c r="AB20" s="6" t="b">
        <v>1</v>
      </c>
      <c r="AC20" s="6" t="b">
        <v>1</v>
      </c>
      <c r="AD20" s="6" t="b">
        <v>1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9" t="str">
        <f t="shared" si="1"/>
        <v>19 dari 31 (61%)</v>
      </c>
    </row>
    <row r="21" ht="22.5" customHeight="1">
      <c r="A21" s="10">
        <v>20.0</v>
      </c>
      <c r="B21" s="11"/>
      <c r="C21" s="20">
        <v>60568.0</v>
      </c>
      <c r="D21" s="12" t="s">
        <v>41</v>
      </c>
      <c r="E21" s="12" t="s">
        <v>48</v>
      </c>
      <c r="F21" s="13"/>
      <c r="G21" s="16" t="b">
        <v>1</v>
      </c>
      <c r="H21" s="16" t="b">
        <v>1</v>
      </c>
      <c r="I21" s="16" t="b">
        <v>0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13 dari 31 (42%)</v>
      </c>
    </row>
    <row r="22" ht="22.5" customHeight="1">
      <c r="A22" s="2">
        <v>21.0</v>
      </c>
      <c r="B22" s="18"/>
      <c r="C22" s="20">
        <v>45576.0</v>
      </c>
      <c r="D22" s="12" t="s">
        <v>41</v>
      </c>
      <c r="E22" s="12" t="s">
        <v>48</v>
      </c>
      <c r="F22" s="13"/>
      <c r="G22" s="6" t="b">
        <v>1</v>
      </c>
      <c r="H22" s="6" t="b">
        <v>1</v>
      </c>
      <c r="I22" s="6" t="b">
        <v>0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13 dari 31 (42%)</v>
      </c>
    </row>
    <row r="23" ht="22.5" customHeight="1">
      <c r="A23" s="10">
        <v>22.0</v>
      </c>
      <c r="B23" s="11"/>
      <c r="C23" s="20">
        <v>59936.0</v>
      </c>
      <c r="D23" s="12" t="s">
        <v>41</v>
      </c>
      <c r="E23" s="12" t="s">
        <v>48</v>
      </c>
      <c r="F23" s="13"/>
      <c r="G23" s="16" t="b">
        <v>1</v>
      </c>
      <c r="H23" s="16" t="b">
        <v>1</v>
      </c>
      <c r="I23" s="16" t="b">
        <v>0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13 dari 31 (42%)</v>
      </c>
    </row>
    <row r="24" ht="22.5" customHeight="1">
      <c r="A24" s="2">
        <v>23.0</v>
      </c>
      <c r="B24" s="18"/>
      <c r="C24" s="20">
        <v>20512.0</v>
      </c>
      <c r="D24" s="12" t="s">
        <v>41</v>
      </c>
      <c r="E24" s="12" t="s">
        <v>48</v>
      </c>
      <c r="F24" s="13"/>
      <c r="G24" s="6" t="b">
        <v>1</v>
      </c>
      <c r="H24" s="6" t="b">
        <v>1</v>
      </c>
      <c r="I24" s="6" t="b">
        <v>0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13 dari 31 (42%)</v>
      </c>
    </row>
    <row r="25" ht="22.5" customHeight="1">
      <c r="A25" s="10">
        <v>24.0</v>
      </c>
      <c r="B25" s="11"/>
      <c r="C25" s="20">
        <v>61198.0</v>
      </c>
      <c r="D25" s="12" t="s">
        <v>39</v>
      </c>
      <c r="E25" s="12" t="s">
        <v>42</v>
      </c>
      <c r="F25" s="13"/>
      <c r="G25" s="16" t="b">
        <v>1</v>
      </c>
      <c r="H25" s="16" t="b">
        <v>1</v>
      </c>
      <c r="I25" s="16" t="b">
        <v>1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1</v>
      </c>
      <c r="AA25" s="16" t="b">
        <v>1</v>
      </c>
      <c r="AB25" s="16" t="b">
        <v>1</v>
      </c>
      <c r="AC25" s="16" t="b">
        <v>1</v>
      </c>
      <c r="AD25" s="16" t="b">
        <v>1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1</v>
      </c>
      <c r="AJ25" s="16" t="b">
        <v>0</v>
      </c>
      <c r="AK25" s="16" t="b">
        <v>0</v>
      </c>
      <c r="AL25" s="17" t="str">
        <f t="shared" si="1"/>
        <v>20 dari 31 (65%)</v>
      </c>
    </row>
    <row r="26" ht="22.5" customHeight="1">
      <c r="A26" s="30">
        <v>25.0</v>
      </c>
      <c r="B26" s="31"/>
      <c r="C26" s="60">
        <v>58372.0</v>
      </c>
      <c r="D26" s="51" t="s">
        <v>41</v>
      </c>
      <c r="E26" s="51" t="s">
        <v>48</v>
      </c>
      <c r="F26" s="53"/>
      <c r="G26" s="35" t="b">
        <v>0</v>
      </c>
      <c r="H26" s="35" t="b">
        <v>0</v>
      </c>
      <c r="I26" s="35" t="b">
        <v>0</v>
      </c>
      <c r="J26" s="35" t="b">
        <v>0</v>
      </c>
      <c r="K26" s="35" t="b">
        <v>0</v>
      </c>
      <c r="L26" s="35" t="b">
        <v>0</v>
      </c>
      <c r="M26" s="35" t="b">
        <v>0</v>
      </c>
      <c r="N26" s="35" t="b">
        <v>0</v>
      </c>
      <c r="O26" s="35" t="b">
        <v>0</v>
      </c>
      <c r="P26" s="35" t="b">
        <v>0</v>
      </c>
      <c r="Q26" s="35" t="b">
        <v>0</v>
      </c>
      <c r="R26" s="35" t="b">
        <v>0</v>
      </c>
      <c r="S26" s="35" t="b">
        <v>0</v>
      </c>
      <c r="T26" s="35" t="b">
        <v>0</v>
      </c>
      <c r="U26" s="35" t="b">
        <v>0</v>
      </c>
      <c r="V26" s="35" t="b">
        <v>0</v>
      </c>
      <c r="W26" s="35" t="b">
        <v>0</v>
      </c>
      <c r="X26" s="35" t="b">
        <v>0</v>
      </c>
      <c r="Y26" s="35" t="b">
        <v>0</v>
      </c>
      <c r="Z26" s="35" t="b">
        <v>0</v>
      </c>
      <c r="AA26" s="35" t="b">
        <v>0</v>
      </c>
      <c r="AB26" s="35" t="b">
        <v>0</v>
      </c>
      <c r="AC26" s="35" t="b">
        <v>0</v>
      </c>
      <c r="AD26" s="35" t="b">
        <v>0</v>
      </c>
      <c r="AE26" s="35" t="b">
        <v>0</v>
      </c>
      <c r="AF26" s="35" t="b">
        <v>0</v>
      </c>
      <c r="AG26" s="35" t="b">
        <v>0</v>
      </c>
      <c r="AH26" s="35" t="b">
        <v>0</v>
      </c>
      <c r="AI26" s="35" t="b">
        <v>0</v>
      </c>
      <c r="AJ26" s="35" t="b">
        <v>0</v>
      </c>
      <c r="AK26" s="35" t="b">
        <v>0</v>
      </c>
      <c r="AL26" s="38" t="str">
        <f t="shared" si="1"/>
        <v>0 dari 31 (0%)</v>
      </c>
    </row>
    <row r="27" ht="22.5" customHeight="1">
      <c r="A27" s="10">
        <v>26.0</v>
      </c>
      <c r="B27" s="11"/>
      <c r="C27" s="22">
        <v>60751.0</v>
      </c>
      <c r="D27" s="12" t="s">
        <v>39</v>
      </c>
      <c r="E27" s="12" t="s">
        <v>42</v>
      </c>
      <c r="F27" s="13"/>
      <c r="G27" s="16" t="b">
        <v>1</v>
      </c>
      <c r="H27" s="16" t="b">
        <v>1</v>
      </c>
      <c r="I27" s="16" t="b">
        <v>0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13 dari 31 (42%)</v>
      </c>
    </row>
    <row r="28" ht="22.5" customHeight="1">
      <c r="A28" s="2">
        <v>27.0</v>
      </c>
      <c r="B28" s="18"/>
      <c r="C28" s="22">
        <v>61223.0</v>
      </c>
      <c r="D28" s="12" t="s">
        <v>98</v>
      </c>
      <c r="E28" s="12" t="s">
        <v>99</v>
      </c>
      <c r="F28" s="13"/>
      <c r="G28" s="6" t="b">
        <v>1</v>
      </c>
      <c r="H28" s="6" t="b">
        <v>1</v>
      </c>
      <c r="I28" s="6" t="b">
        <v>0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9" t="str">
        <f t="shared" si="1"/>
        <v>13 dari 31 (42%)</v>
      </c>
    </row>
    <row r="29" ht="22.5" customHeight="1">
      <c r="A29" s="10">
        <v>28.0</v>
      </c>
      <c r="B29" s="11"/>
      <c r="C29" s="22">
        <v>37613.0</v>
      </c>
      <c r="D29" s="12" t="s">
        <v>39</v>
      </c>
      <c r="E29" s="12" t="s">
        <v>42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14 dari 31 (45%)</v>
      </c>
    </row>
    <row r="30" ht="22.5" customHeight="1">
      <c r="A30" s="2">
        <v>29.0</v>
      </c>
      <c r="B30" s="18"/>
      <c r="C30" s="22">
        <v>61224.0</v>
      </c>
      <c r="D30" s="12" t="s">
        <v>39</v>
      </c>
      <c r="E30" s="12" t="s">
        <v>42</v>
      </c>
      <c r="F30" s="13"/>
      <c r="G30" s="6" t="b">
        <v>1</v>
      </c>
      <c r="H30" s="6" t="b">
        <v>1</v>
      </c>
      <c r="I30" s="6" t="b">
        <v>1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1</v>
      </c>
      <c r="AJ30" s="6" t="b">
        <v>0</v>
      </c>
      <c r="AK30" s="6" t="b">
        <v>0</v>
      </c>
      <c r="AL30" s="9" t="str">
        <f t="shared" si="1"/>
        <v>15 dari 31 (48%)</v>
      </c>
    </row>
    <row r="31" ht="22.5" customHeight="1">
      <c r="A31" s="10">
        <v>30.0</v>
      </c>
      <c r="B31" s="11"/>
      <c r="C31" s="22">
        <v>61225.0</v>
      </c>
      <c r="D31" s="12" t="s">
        <v>98</v>
      </c>
      <c r="E31" s="12" t="s">
        <v>99</v>
      </c>
      <c r="F31" s="13"/>
      <c r="G31" s="16" t="b">
        <v>1</v>
      </c>
      <c r="H31" s="16" t="b">
        <v>1</v>
      </c>
      <c r="I31" s="16" t="b">
        <v>0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7" t="str">
        <f t="shared" si="1"/>
        <v>12 dari 31 (39%)</v>
      </c>
    </row>
    <row r="32" ht="22.5" customHeight="1">
      <c r="A32" s="2">
        <v>31.0</v>
      </c>
      <c r="B32" s="18"/>
      <c r="C32" s="22">
        <v>61226.0</v>
      </c>
      <c r="D32" s="12" t="s">
        <v>39</v>
      </c>
      <c r="E32" s="12" t="s">
        <v>42</v>
      </c>
      <c r="F32" s="13"/>
      <c r="G32" s="6" t="b">
        <v>1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1</v>
      </c>
      <c r="AA32" s="6" t="b">
        <v>1</v>
      </c>
      <c r="AB32" s="6" t="b">
        <v>1</v>
      </c>
      <c r="AC32" s="6" t="b">
        <v>1</v>
      </c>
      <c r="AD32" s="6" t="b">
        <v>1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1</v>
      </c>
      <c r="AJ32" s="6" t="b">
        <v>0</v>
      </c>
      <c r="AK32" s="6" t="b">
        <v>0</v>
      </c>
      <c r="AL32" s="9" t="str">
        <f t="shared" si="1"/>
        <v>20 dari 31 (65%)</v>
      </c>
    </row>
    <row r="33" ht="22.5" customHeight="1">
      <c r="A33" s="10">
        <v>32.0</v>
      </c>
      <c r="B33" s="11"/>
      <c r="C33" s="22">
        <v>57244.0</v>
      </c>
      <c r="D33" s="12" t="s">
        <v>68</v>
      </c>
      <c r="E33" s="12" t="s">
        <v>109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15 dari 31 (48%)</v>
      </c>
    </row>
    <row r="34" ht="22.5" customHeight="1">
      <c r="A34" s="2">
        <v>33.0</v>
      </c>
      <c r="B34" s="18"/>
      <c r="C34" s="22">
        <v>56261.0</v>
      </c>
      <c r="D34" s="12" t="s">
        <v>68</v>
      </c>
      <c r="E34" s="12" t="s">
        <v>109</v>
      </c>
      <c r="F34" s="13"/>
      <c r="G34" s="6" t="b">
        <v>1</v>
      </c>
      <c r="H34" s="6" t="b">
        <v>1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1"/>
        <v>15 dari 31 (48%)</v>
      </c>
    </row>
    <row r="35" ht="22.5" customHeight="1">
      <c r="A35" s="10">
        <v>34.0</v>
      </c>
      <c r="B35" s="11"/>
      <c r="C35" s="22">
        <v>60759.0</v>
      </c>
      <c r="D35" s="12" t="s">
        <v>68</v>
      </c>
      <c r="E35" s="12" t="s">
        <v>109</v>
      </c>
      <c r="F35" s="13"/>
      <c r="G35" s="16" t="b">
        <v>1</v>
      </c>
      <c r="H35" s="16" t="b">
        <v>1</v>
      </c>
      <c r="I35" s="16" t="b">
        <v>0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1"/>
        <v>14 dari 31 (45%)</v>
      </c>
    </row>
    <row r="36" ht="22.5" customHeight="1">
      <c r="A36" s="2">
        <v>35.0</v>
      </c>
      <c r="B36" s="18"/>
      <c r="C36" s="22">
        <v>56910.0</v>
      </c>
      <c r="D36" s="12" t="s">
        <v>68</v>
      </c>
      <c r="E36" s="12" t="s">
        <v>109</v>
      </c>
      <c r="F36" s="13"/>
      <c r="G36" s="6" t="b">
        <v>1</v>
      </c>
      <c r="H36" s="6" t="b">
        <v>1</v>
      </c>
      <c r="I36" s="6" t="b">
        <v>1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15 dari 31 (48%)</v>
      </c>
    </row>
    <row r="37" ht="22.5" customHeight="1">
      <c r="A37" s="10">
        <v>36.0</v>
      </c>
      <c r="B37" s="11"/>
      <c r="C37" s="22">
        <v>60539.0</v>
      </c>
      <c r="D37" s="12" t="s">
        <v>68</v>
      </c>
      <c r="E37" s="12" t="s">
        <v>109</v>
      </c>
      <c r="F37" s="13"/>
      <c r="G37" s="16" t="b">
        <v>1</v>
      </c>
      <c r="H37" s="16" t="b">
        <v>1</v>
      </c>
      <c r="I37" s="16" t="b">
        <v>1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15 dari 31 (48%)</v>
      </c>
    </row>
    <row r="38" ht="22.5" customHeight="1">
      <c r="A38" s="2">
        <v>37.0</v>
      </c>
      <c r="B38" s="18"/>
      <c r="C38" s="22">
        <v>61227.0</v>
      </c>
      <c r="D38" s="12" t="s">
        <v>98</v>
      </c>
      <c r="E38" s="12" t="s">
        <v>99</v>
      </c>
      <c r="F38" s="13"/>
      <c r="G38" s="6" t="b">
        <v>1</v>
      </c>
      <c r="H38" s="6" t="b">
        <v>1</v>
      </c>
      <c r="I38" s="6" t="b">
        <v>0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1"/>
        <v>12 dari 31 (39%)</v>
      </c>
    </row>
    <row r="39" ht="22.5" customHeight="1">
      <c r="A39" s="10">
        <v>38.0</v>
      </c>
      <c r="B39" s="11"/>
      <c r="C39" s="22">
        <v>56579.0</v>
      </c>
      <c r="D39" s="12" t="s">
        <v>101</v>
      </c>
      <c r="E39" s="12" t="s">
        <v>122</v>
      </c>
      <c r="F39" s="13"/>
      <c r="G39" s="16" t="b">
        <v>1</v>
      </c>
      <c r="H39" s="16" t="b">
        <v>1</v>
      </c>
      <c r="I39" s="16" t="b">
        <v>1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14 dari 31 (45%)</v>
      </c>
    </row>
    <row r="40" ht="22.5" customHeight="1">
      <c r="A40" s="2">
        <v>39.0</v>
      </c>
      <c r="B40" s="18"/>
      <c r="C40" s="22">
        <v>59731.0</v>
      </c>
      <c r="D40" s="12" t="s">
        <v>68</v>
      </c>
      <c r="E40" s="12" t="s">
        <v>155</v>
      </c>
      <c r="F40" s="13"/>
      <c r="G40" s="6" t="b">
        <v>1</v>
      </c>
      <c r="H40" s="6" t="b">
        <v>1</v>
      </c>
      <c r="I40" s="6" t="b">
        <v>1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1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15 dari 31 (48%)</v>
      </c>
    </row>
    <row r="41" ht="22.5" customHeight="1">
      <c r="A41" s="10">
        <v>40.0</v>
      </c>
      <c r="B41" s="11"/>
      <c r="C41" s="22">
        <v>58498.0</v>
      </c>
      <c r="D41" s="12" t="s">
        <v>68</v>
      </c>
      <c r="E41" s="12" t="s">
        <v>155</v>
      </c>
      <c r="F41" s="13"/>
      <c r="G41" s="16" t="b">
        <v>1</v>
      </c>
      <c r="H41" s="16" t="b">
        <v>1</v>
      </c>
      <c r="I41" s="16" t="b">
        <v>1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15 dari 31 (48%)</v>
      </c>
    </row>
    <row r="42" ht="22.5" customHeight="1">
      <c r="A42" s="2">
        <v>41.0</v>
      </c>
      <c r="B42" s="18"/>
      <c r="C42" s="20">
        <v>60595.0</v>
      </c>
      <c r="D42" s="12" t="s">
        <v>101</v>
      </c>
      <c r="E42" s="12" t="s">
        <v>122</v>
      </c>
      <c r="F42" s="15" t="s">
        <v>50</v>
      </c>
      <c r="G42" s="6" t="b">
        <v>1</v>
      </c>
      <c r="H42" s="6" t="b">
        <v>0</v>
      </c>
      <c r="I42" s="6" t="b">
        <v>0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0</v>
      </c>
      <c r="U42" s="6" t="b">
        <v>0</v>
      </c>
      <c r="V42" s="6" t="b">
        <v>0</v>
      </c>
      <c r="W42" s="6" t="b">
        <v>1</v>
      </c>
      <c r="X42" s="6" t="b">
        <v>1</v>
      </c>
      <c r="Y42" s="6" t="b">
        <v>1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1</v>
      </c>
      <c r="AJ42" s="6" t="b">
        <v>0</v>
      </c>
      <c r="AK42" s="6" t="b">
        <v>0</v>
      </c>
      <c r="AL42" s="9" t="str">
        <f t="shared" si="1"/>
        <v>15 dari 31 (48%)</v>
      </c>
    </row>
    <row r="43" ht="22.5" customHeight="1">
      <c r="A43" s="10">
        <v>42.0</v>
      </c>
      <c r="B43" s="11"/>
      <c r="C43" s="20">
        <v>60787.0</v>
      </c>
      <c r="D43" s="12" t="s">
        <v>101</v>
      </c>
      <c r="E43" s="12" t="s">
        <v>122</v>
      </c>
      <c r="F43" s="13"/>
      <c r="G43" s="16" t="b">
        <v>1</v>
      </c>
      <c r="H43" s="16" t="b">
        <v>1</v>
      </c>
      <c r="I43" s="16" t="b">
        <v>1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1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1"/>
        <v>14 dari 31 (45%)</v>
      </c>
    </row>
    <row r="44" ht="22.5" customHeight="1">
      <c r="A44" s="2">
        <v>43.0</v>
      </c>
      <c r="B44" s="18"/>
      <c r="C44" s="20">
        <v>57213.0</v>
      </c>
      <c r="D44" s="12" t="s">
        <v>101</v>
      </c>
      <c r="E44" s="12" t="s">
        <v>122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14 dari 31 (45%)</v>
      </c>
    </row>
    <row r="45" ht="22.5" customHeight="1">
      <c r="A45" s="10">
        <v>44.0</v>
      </c>
      <c r="B45" s="11"/>
      <c r="C45" s="20">
        <v>61063.0</v>
      </c>
      <c r="D45" s="12" t="s">
        <v>56</v>
      </c>
      <c r="E45" s="12" t="s">
        <v>58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15 dari 31 (48%)</v>
      </c>
    </row>
    <row r="46" ht="22.5" customHeight="1">
      <c r="A46" s="2">
        <v>45.0</v>
      </c>
      <c r="B46" s="18"/>
      <c r="C46" s="20">
        <v>60201.0</v>
      </c>
      <c r="D46" s="12" t="s">
        <v>56</v>
      </c>
      <c r="E46" s="12" t="s">
        <v>58</v>
      </c>
      <c r="F46" s="13"/>
      <c r="G46" s="6" t="b">
        <v>1</v>
      </c>
      <c r="H46" s="6" t="b">
        <v>1</v>
      </c>
      <c r="I46" s="6" t="b">
        <v>1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1</v>
      </c>
      <c r="AJ46" s="6" t="b">
        <v>0</v>
      </c>
      <c r="AK46" s="6" t="b">
        <v>0</v>
      </c>
      <c r="AL46" s="9" t="str">
        <f t="shared" si="1"/>
        <v>15 dari 31 (48%)</v>
      </c>
    </row>
    <row r="47" ht="22.5" customHeight="1">
      <c r="A47" s="10">
        <v>46.0</v>
      </c>
      <c r="B47" s="11"/>
      <c r="C47" s="22">
        <v>35594.0</v>
      </c>
      <c r="D47" s="12" t="s">
        <v>56</v>
      </c>
      <c r="E47" s="12" t="s">
        <v>58</v>
      </c>
      <c r="F47" s="13"/>
      <c r="G47" s="16" t="b">
        <v>1</v>
      </c>
      <c r="H47" s="16" t="b">
        <v>1</v>
      </c>
      <c r="I47" s="16" t="b">
        <v>1</v>
      </c>
      <c r="J47" s="16" t="b">
        <v>1</v>
      </c>
      <c r="K47" s="16" t="b">
        <v>1</v>
      </c>
      <c r="L47" s="16" t="b">
        <v>1</v>
      </c>
      <c r="M47" s="16" t="b">
        <v>1</v>
      </c>
      <c r="N47" s="16" t="b">
        <v>1</v>
      </c>
      <c r="O47" s="16" t="b">
        <v>1</v>
      </c>
      <c r="P47" s="16" t="b">
        <v>1</v>
      </c>
      <c r="Q47" s="16" t="b">
        <v>1</v>
      </c>
      <c r="R47" s="16" t="b">
        <v>1</v>
      </c>
      <c r="S47" s="16" t="b">
        <v>1</v>
      </c>
      <c r="T47" s="16" t="b">
        <v>1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15 dari 31 (48%)</v>
      </c>
    </row>
    <row r="48" ht="22.5" customHeight="1">
      <c r="A48" s="10">
        <v>47.0</v>
      </c>
      <c r="B48" s="18"/>
      <c r="C48" s="22">
        <v>42102.0</v>
      </c>
      <c r="D48" s="12" t="s">
        <v>98</v>
      </c>
      <c r="E48" s="12" t="s">
        <v>99</v>
      </c>
      <c r="F48" s="13"/>
      <c r="G48" s="6" t="b">
        <v>1</v>
      </c>
      <c r="H48" s="6" t="b">
        <v>1</v>
      </c>
      <c r="I48" s="6" t="b">
        <v>0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0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12 dari 31 (39%)</v>
      </c>
    </row>
    <row r="49" ht="22.5" customHeight="1">
      <c r="A49" s="2">
        <v>48.0</v>
      </c>
      <c r="B49" s="11"/>
      <c r="C49" s="22">
        <v>48964.0</v>
      </c>
      <c r="D49" s="12" t="s">
        <v>98</v>
      </c>
      <c r="E49" s="12" t="s">
        <v>99</v>
      </c>
      <c r="F49" s="13"/>
      <c r="G49" s="16" t="b">
        <v>1</v>
      </c>
      <c r="H49" s="16" t="b">
        <v>1</v>
      </c>
      <c r="I49" s="16" t="b">
        <v>0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7" t="str">
        <f t="shared" si="1"/>
        <v>13 dari 31 (42%)</v>
      </c>
    </row>
    <row r="50" ht="22.5" customHeight="1">
      <c r="A50" s="10">
        <v>49.0</v>
      </c>
      <c r="B50" s="11"/>
      <c r="C50" s="22">
        <v>60121.0</v>
      </c>
      <c r="D50" s="12" t="s">
        <v>68</v>
      </c>
      <c r="E50" s="12" t="s">
        <v>155</v>
      </c>
      <c r="F50" s="13"/>
      <c r="G50" s="6" t="b">
        <v>1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1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1</v>
      </c>
      <c r="AJ50" s="6" t="b">
        <v>0</v>
      </c>
      <c r="AK50" s="6" t="b">
        <v>0</v>
      </c>
      <c r="AL50" s="9" t="str">
        <f t="shared" si="1"/>
        <v>15 dari 31 (48%)</v>
      </c>
    </row>
    <row r="51" ht="22.5" customHeight="1">
      <c r="A51" s="10">
        <v>50.0</v>
      </c>
      <c r="B51" s="11"/>
      <c r="C51" s="22">
        <v>61217.0</v>
      </c>
      <c r="D51" s="12" t="s">
        <v>98</v>
      </c>
      <c r="E51" s="12" t="s">
        <v>99</v>
      </c>
      <c r="F51" s="13"/>
      <c r="G51" s="6" t="b">
        <v>1</v>
      </c>
      <c r="H51" s="6" t="b">
        <v>1</v>
      </c>
      <c r="I51" s="6" t="b">
        <v>0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13 dari 31 (42%)</v>
      </c>
    </row>
    <row r="52" ht="22.5" customHeight="1">
      <c r="A52" s="2">
        <v>51.0</v>
      </c>
      <c r="B52" s="11"/>
      <c r="C52" s="20">
        <v>49266.0</v>
      </c>
      <c r="D52" s="12" t="s">
        <v>98</v>
      </c>
      <c r="E52" s="12" t="s">
        <v>99</v>
      </c>
      <c r="F52" s="13"/>
      <c r="G52" s="6" t="b">
        <v>1</v>
      </c>
      <c r="H52" s="6" t="b">
        <v>1</v>
      </c>
      <c r="I52" s="6" t="b">
        <v>0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0</v>
      </c>
      <c r="AJ52" s="6" t="b">
        <v>0</v>
      </c>
      <c r="AK52" s="6" t="b">
        <v>0</v>
      </c>
      <c r="AL52" s="9" t="str">
        <f t="shared" si="1"/>
        <v>13 dari 31 (42%)</v>
      </c>
    </row>
    <row r="53" ht="22.5" customHeight="1">
      <c r="A53" s="10">
        <v>52.0</v>
      </c>
      <c r="B53" s="11"/>
      <c r="C53" s="20">
        <v>60241.0</v>
      </c>
      <c r="D53" s="12" t="s">
        <v>98</v>
      </c>
      <c r="E53" s="12" t="s">
        <v>99</v>
      </c>
      <c r="F53" s="13"/>
      <c r="G53" s="6" t="b">
        <v>1</v>
      </c>
      <c r="H53" s="6" t="b">
        <v>1</v>
      </c>
      <c r="I53" s="6" t="b">
        <v>0</v>
      </c>
      <c r="J53" s="6" t="b">
        <v>1</v>
      </c>
      <c r="K53" s="6" t="b">
        <v>1</v>
      </c>
      <c r="L53" s="6" t="b">
        <v>1</v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b">
        <v>1</v>
      </c>
      <c r="T53" s="6" t="b">
        <v>1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13 dari 31 (42%)</v>
      </c>
    </row>
    <row r="54" ht="22.5" customHeight="1">
      <c r="A54" s="10">
        <v>53.0</v>
      </c>
      <c r="B54" s="11"/>
      <c r="C54" s="20">
        <v>40174.0</v>
      </c>
      <c r="D54" s="12" t="s">
        <v>98</v>
      </c>
      <c r="E54" s="12" t="s">
        <v>99</v>
      </c>
      <c r="F54" s="13"/>
      <c r="G54" s="6" t="b">
        <v>1</v>
      </c>
      <c r="H54" s="6" t="b">
        <v>1</v>
      </c>
      <c r="I54" s="6" t="b">
        <v>0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0</v>
      </c>
      <c r="AJ54" s="6" t="b">
        <v>0</v>
      </c>
      <c r="AK54" s="6" t="b">
        <v>0</v>
      </c>
      <c r="AL54" s="17" t="str">
        <f t="shared" si="1"/>
        <v>13 dari 31 (42%)</v>
      </c>
    </row>
    <row r="55" ht="22.5" customHeight="1">
      <c r="A55" s="30">
        <v>54.0</v>
      </c>
      <c r="B55" s="62"/>
      <c r="C55" s="60">
        <v>56518.0</v>
      </c>
      <c r="D55" s="51" t="s">
        <v>68</v>
      </c>
      <c r="E55" s="51" t="s">
        <v>155</v>
      </c>
      <c r="F55" s="53"/>
      <c r="G55" s="35" t="b">
        <v>0</v>
      </c>
      <c r="H55" s="35" t="b">
        <v>0</v>
      </c>
      <c r="I55" s="35" t="b">
        <v>0</v>
      </c>
      <c r="J55" s="35" t="b">
        <v>0</v>
      </c>
      <c r="K55" s="35" t="b">
        <v>0</v>
      </c>
      <c r="L55" s="35" t="b">
        <v>0</v>
      </c>
      <c r="M55" s="35" t="b">
        <v>0</v>
      </c>
      <c r="N55" s="35" t="b">
        <v>0</v>
      </c>
      <c r="O55" s="35" t="b">
        <v>0</v>
      </c>
      <c r="P55" s="35" t="b">
        <v>0</v>
      </c>
      <c r="Q55" s="35" t="b">
        <v>0</v>
      </c>
      <c r="R55" s="35" t="b">
        <v>0</v>
      </c>
      <c r="S55" s="35" t="b">
        <v>0</v>
      </c>
      <c r="T55" s="35" t="b">
        <v>0</v>
      </c>
      <c r="U55" s="35" t="b">
        <v>0</v>
      </c>
      <c r="V55" s="35" t="b">
        <v>0</v>
      </c>
      <c r="W55" s="35" t="b">
        <v>0</v>
      </c>
      <c r="X55" s="35" t="b">
        <v>0</v>
      </c>
      <c r="Y55" s="35" t="b">
        <v>0</v>
      </c>
      <c r="Z55" s="35" t="b">
        <v>0</v>
      </c>
      <c r="AA55" s="35" t="b">
        <v>0</v>
      </c>
      <c r="AB55" s="35" t="b">
        <v>0</v>
      </c>
      <c r="AC55" s="35" t="b">
        <v>0</v>
      </c>
      <c r="AD55" s="35" t="b">
        <v>0</v>
      </c>
      <c r="AE55" s="35" t="b">
        <v>0</v>
      </c>
      <c r="AF55" s="35" t="b">
        <v>0</v>
      </c>
      <c r="AG55" s="35" t="b">
        <v>0</v>
      </c>
      <c r="AH55" s="35" t="b">
        <v>0</v>
      </c>
      <c r="AI55" s="35" t="b">
        <v>0</v>
      </c>
      <c r="AJ55" s="35" t="b">
        <v>0</v>
      </c>
      <c r="AK55" s="35" t="b">
        <v>0</v>
      </c>
      <c r="AL55" s="38" t="str">
        <f t="shared" si="1"/>
        <v>0 dari 31 (0%)</v>
      </c>
    </row>
    <row r="56" ht="22.5" customHeight="1">
      <c r="A56" s="10">
        <v>55.0</v>
      </c>
      <c r="B56" s="11"/>
      <c r="C56" s="22">
        <v>60172.0</v>
      </c>
      <c r="D56" s="12" t="s">
        <v>68</v>
      </c>
      <c r="E56" s="12" t="s">
        <v>155</v>
      </c>
      <c r="F56" s="13"/>
      <c r="G56" s="6" t="b">
        <v>1</v>
      </c>
      <c r="H56" s="6" t="b">
        <v>1</v>
      </c>
      <c r="I56" s="6" t="b">
        <v>1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1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1"/>
        <v>15 dari 31 (48%)</v>
      </c>
    </row>
    <row r="57" ht="22.5" customHeight="1">
      <c r="A57" s="10">
        <v>56.0</v>
      </c>
      <c r="B57" s="11"/>
      <c r="C57" s="22">
        <v>55649.0</v>
      </c>
      <c r="D57" s="12" t="s">
        <v>98</v>
      </c>
      <c r="E57" s="12" t="s">
        <v>99</v>
      </c>
      <c r="F57" s="13"/>
      <c r="G57" s="6" t="b">
        <v>1</v>
      </c>
      <c r="H57" s="6" t="b">
        <v>1</v>
      </c>
      <c r="I57" s="6" t="b">
        <v>0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13 dari 31 (42%)</v>
      </c>
    </row>
    <row r="58" ht="22.5" customHeight="1">
      <c r="A58" s="2">
        <v>57.0</v>
      </c>
      <c r="B58" s="11"/>
      <c r="C58" s="22">
        <v>59795.0</v>
      </c>
      <c r="D58" s="12" t="s">
        <v>41</v>
      </c>
      <c r="E58" s="12" t="s">
        <v>48</v>
      </c>
      <c r="F58" s="13"/>
      <c r="G58" s="6" t="b">
        <v>1</v>
      </c>
      <c r="H58" s="6" t="b">
        <v>1</v>
      </c>
      <c r="I58" s="6" t="b">
        <v>0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0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12 dari 31 (39%)</v>
      </c>
    </row>
    <row r="59" ht="22.5" customHeight="1">
      <c r="A59" s="61">
        <v>58.0</v>
      </c>
      <c r="B59" s="62"/>
      <c r="C59" s="32">
        <v>12989.0</v>
      </c>
      <c r="D59" s="51" t="s">
        <v>85</v>
      </c>
      <c r="E59" s="51" t="s">
        <v>128</v>
      </c>
      <c r="F59" s="53"/>
      <c r="G59" s="35" t="b">
        <v>0</v>
      </c>
      <c r="H59" s="35" t="b">
        <v>0</v>
      </c>
      <c r="I59" s="35" t="b">
        <v>0</v>
      </c>
      <c r="J59" s="35" t="b">
        <v>0</v>
      </c>
      <c r="K59" s="35" t="b">
        <v>0</v>
      </c>
      <c r="L59" s="35" t="b">
        <v>0</v>
      </c>
      <c r="M59" s="35" t="b">
        <v>0</v>
      </c>
      <c r="N59" s="35" t="b">
        <v>0</v>
      </c>
      <c r="O59" s="35" t="b">
        <v>0</v>
      </c>
      <c r="P59" s="35" t="b">
        <v>0</v>
      </c>
      <c r="Q59" s="35" t="b">
        <v>0</v>
      </c>
      <c r="R59" s="35" t="b">
        <v>0</v>
      </c>
      <c r="S59" s="35" t="b">
        <v>0</v>
      </c>
      <c r="T59" s="35" t="b">
        <v>0</v>
      </c>
      <c r="U59" s="35" t="b">
        <v>0</v>
      </c>
      <c r="V59" s="35" t="b">
        <v>0</v>
      </c>
      <c r="W59" s="35" t="b">
        <v>0</v>
      </c>
      <c r="X59" s="35" t="b">
        <v>0</v>
      </c>
      <c r="Y59" s="35" t="b">
        <v>0</v>
      </c>
      <c r="Z59" s="35" t="b">
        <v>0</v>
      </c>
      <c r="AA59" s="35" t="b">
        <v>0</v>
      </c>
      <c r="AB59" s="35" t="b">
        <v>0</v>
      </c>
      <c r="AC59" s="35" t="b">
        <v>0</v>
      </c>
      <c r="AD59" s="35" t="b">
        <v>0</v>
      </c>
      <c r="AE59" s="35" t="b">
        <v>0</v>
      </c>
      <c r="AF59" s="35" t="b">
        <v>0</v>
      </c>
      <c r="AG59" s="35" t="b">
        <v>0</v>
      </c>
      <c r="AH59" s="35" t="b">
        <v>0</v>
      </c>
      <c r="AI59" s="35" t="b">
        <v>0</v>
      </c>
      <c r="AJ59" s="35" t="b">
        <v>0</v>
      </c>
      <c r="AK59" s="35" t="b">
        <v>0</v>
      </c>
      <c r="AL59" s="38" t="str">
        <f t="shared" si="1"/>
        <v>0 dari 31 (0%)</v>
      </c>
    </row>
    <row r="60" ht="22.5" customHeight="1">
      <c r="A60" s="10">
        <v>59.0</v>
      </c>
      <c r="B60" s="11"/>
      <c r="C60" s="22">
        <v>37819.0</v>
      </c>
      <c r="D60" s="12" t="s">
        <v>39</v>
      </c>
      <c r="E60" s="12" t="s">
        <v>42</v>
      </c>
      <c r="F60" s="13"/>
      <c r="G60" s="6" t="b">
        <v>1</v>
      </c>
      <c r="H60" s="6" t="b">
        <v>1</v>
      </c>
      <c r="I60" s="6" t="b">
        <v>1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1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1</v>
      </c>
      <c r="AJ60" s="6" t="b">
        <v>0</v>
      </c>
      <c r="AK60" s="6" t="b">
        <v>0</v>
      </c>
      <c r="AL60" s="17" t="str">
        <f t="shared" si="1"/>
        <v>15 dari 31 (48%)</v>
      </c>
    </row>
    <row r="61" ht="22.5" customHeight="1">
      <c r="A61" s="30">
        <v>60.0</v>
      </c>
      <c r="B61" s="62"/>
      <c r="C61" s="32">
        <v>61228.0</v>
      </c>
      <c r="D61" s="51" t="s">
        <v>98</v>
      </c>
      <c r="E61" s="51" t="s">
        <v>99</v>
      </c>
      <c r="F61" s="53"/>
      <c r="G61" s="35" t="b">
        <v>0</v>
      </c>
      <c r="H61" s="35" t="b">
        <v>0</v>
      </c>
      <c r="I61" s="35" t="b">
        <v>0</v>
      </c>
      <c r="J61" s="35" t="b">
        <v>0</v>
      </c>
      <c r="K61" s="35" t="b">
        <v>0</v>
      </c>
      <c r="L61" s="35" t="b">
        <v>0</v>
      </c>
      <c r="M61" s="35" t="b">
        <v>0</v>
      </c>
      <c r="N61" s="35" t="b">
        <v>0</v>
      </c>
      <c r="O61" s="35" t="b">
        <v>0</v>
      </c>
      <c r="P61" s="35" t="b">
        <v>0</v>
      </c>
      <c r="Q61" s="35" t="b">
        <v>0</v>
      </c>
      <c r="R61" s="35" t="b">
        <v>0</v>
      </c>
      <c r="S61" s="35" t="b">
        <v>0</v>
      </c>
      <c r="T61" s="35" t="b">
        <v>0</v>
      </c>
      <c r="U61" s="35" t="b">
        <v>0</v>
      </c>
      <c r="V61" s="35" t="b">
        <v>0</v>
      </c>
      <c r="W61" s="35" t="b">
        <v>0</v>
      </c>
      <c r="X61" s="35" t="b">
        <v>0</v>
      </c>
      <c r="Y61" s="35" t="b">
        <v>0</v>
      </c>
      <c r="Z61" s="35" t="b">
        <v>0</v>
      </c>
      <c r="AA61" s="35" t="b">
        <v>0</v>
      </c>
      <c r="AB61" s="35" t="b">
        <v>0</v>
      </c>
      <c r="AC61" s="35" t="b">
        <v>0</v>
      </c>
      <c r="AD61" s="35" t="b">
        <v>0</v>
      </c>
      <c r="AE61" s="35" t="b">
        <v>0</v>
      </c>
      <c r="AF61" s="35" t="b">
        <v>0</v>
      </c>
      <c r="AG61" s="35" t="b">
        <v>0</v>
      </c>
      <c r="AH61" s="35" t="b">
        <v>0</v>
      </c>
      <c r="AI61" s="35" t="b">
        <v>0</v>
      </c>
      <c r="AJ61" s="35" t="b">
        <v>0</v>
      </c>
      <c r="AK61" s="35" t="b">
        <v>0</v>
      </c>
      <c r="AL61" s="38" t="str">
        <f t="shared" si="1"/>
        <v>0 dari 31 (0%)</v>
      </c>
    </row>
    <row r="62" ht="22.5" customHeight="1">
      <c r="A62" s="10">
        <v>61.0</v>
      </c>
      <c r="B62" s="11"/>
      <c r="C62" s="22">
        <v>60996.0</v>
      </c>
      <c r="D62" s="12" t="s">
        <v>51</v>
      </c>
      <c r="E62" s="12" t="s">
        <v>65</v>
      </c>
      <c r="F62" s="13"/>
      <c r="G62" s="6" t="b">
        <v>1</v>
      </c>
      <c r="H62" s="6" t="b">
        <v>1</v>
      </c>
      <c r="I62" s="6" t="b">
        <v>0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1</v>
      </c>
      <c r="X62" s="6" t="b">
        <v>1</v>
      </c>
      <c r="Y62" s="6" t="b">
        <v>1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16 dari 31 (52%)</v>
      </c>
    </row>
    <row r="63" ht="22.5" customHeight="1">
      <c r="A63" s="10">
        <v>62.0</v>
      </c>
      <c r="B63" s="11"/>
      <c r="C63" s="22">
        <v>55108.0</v>
      </c>
      <c r="D63" s="12" t="s">
        <v>51</v>
      </c>
      <c r="E63" s="12" t="s">
        <v>65</v>
      </c>
      <c r="F63" s="13"/>
      <c r="G63" s="6" t="b">
        <v>1</v>
      </c>
      <c r="H63" s="6" t="b">
        <v>1</v>
      </c>
      <c r="I63" s="6" t="b">
        <v>0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0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1</v>
      </c>
      <c r="X63" s="6" t="b">
        <v>1</v>
      </c>
      <c r="Y63" s="6" t="b">
        <v>1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15 dari 31 (48%)</v>
      </c>
    </row>
    <row r="64" ht="22.5" customHeight="1">
      <c r="A64" s="2">
        <v>63.0</v>
      </c>
      <c r="B64" s="11"/>
      <c r="C64" s="22">
        <v>58947.0</v>
      </c>
      <c r="D64" s="12" t="s">
        <v>85</v>
      </c>
      <c r="E64" s="12" t="s">
        <v>128</v>
      </c>
      <c r="F64" s="13"/>
      <c r="G64" s="6" t="b">
        <v>1</v>
      </c>
      <c r="H64" s="6" t="b">
        <v>1</v>
      </c>
      <c r="I64" s="6" t="b">
        <v>1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1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1</v>
      </c>
      <c r="AJ64" s="6" t="b">
        <v>0</v>
      </c>
      <c r="AK64" s="6" t="b">
        <v>0</v>
      </c>
      <c r="AL64" s="9" t="str">
        <f t="shared" si="1"/>
        <v>15 dari 31 (48%)</v>
      </c>
    </row>
    <row r="65" ht="22.5" customHeight="1">
      <c r="A65" s="10">
        <v>64.0</v>
      </c>
      <c r="B65" s="11"/>
      <c r="C65" s="22">
        <v>55473.0</v>
      </c>
      <c r="D65" s="12" t="s">
        <v>41</v>
      </c>
      <c r="E65" s="12" t="s">
        <v>48</v>
      </c>
      <c r="F65" s="13"/>
      <c r="G65" s="6" t="b">
        <v>1</v>
      </c>
      <c r="H65" s="6" t="b">
        <v>1</v>
      </c>
      <c r="I65" s="6" t="b">
        <v>0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0</v>
      </c>
      <c r="AJ65" s="6" t="b">
        <v>0</v>
      </c>
      <c r="AK65" s="6" t="b">
        <v>0</v>
      </c>
      <c r="AL65" s="9" t="str">
        <f t="shared" si="1"/>
        <v>12 dari 31 (39%)</v>
      </c>
    </row>
    <row r="66" ht="22.5" customHeight="1">
      <c r="A66" s="10">
        <v>65.0</v>
      </c>
      <c r="B66" s="11"/>
      <c r="C66" s="22">
        <v>59626.0</v>
      </c>
      <c r="D66" s="12" t="s">
        <v>68</v>
      </c>
      <c r="E66" s="12" t="s">
        <v>155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15 dari 31 (48%)</v>
      </c>
    </row>
    <row r="67" ht="22.5" customHeight="1">
      <c r="A67" s="2">
        <v>66.0</v>
      </c>
      <c r="B67" s="11"/>
      <c r="C67" s="22">
        <v>60930.0</v>
      </c>
      <c r="D67" s="12" t="s">
        <v>39</v>
      </c>
      <c r="E67" s="12" t="s">
        <v>42</v>
      </c>
      <c r="F67" s="13"/>
      <c r="G67" s="6" t="b">
        <v>1</v>
      </c>
      <c r="H67" s="6" t="b">
        <v>1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15 dari 31 (48%)</v>
      </c>
    </row>
    <row r="68" ht="22.5" customHeight="1">
      <c r="A68" s="10">
        <v>67.0</v>
      </c>
      <c r="B68" s="11"/>
      <c r="C68" s="22">
        <v>60061.0</v>
      </c>
      <c r="D68" s="12" t="s">
        <v>54</v>
      </c>
      <c r="E68" s="12" t="s">
        <v>76</v>
      </c>
      <c r="F68" s="13"/>
      <c r="G68" s="6" t="b">
        <v>1</v>
      </c>
      <c r="H68" s="6" t="b">
        <v>1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0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1</v>
      </c>
      <c r="AJ68" s="6" t="b">
        <v>0</v>
      </c>
      <c r="AK68" s="6" t="b">
        <v>0</v>
      </c>
      <c r="AL68" s="9" t="str">
        <f t="shared" si="1"/>
        <v>6 dari 31 (19%)</v>
      </c>
    </row>
    <row r="69" ht="22.5" customHeight="1">
      <c r="A69" s="10">
        <v>68.0</v>
      </c>
      <c r="B69" s="11"/>
      <c r="C69" s="22">
        <v>59209.0</v>
      </c>
      <c r="D69" s="12" t="s">
        <v>54</v>
      </c>
      <c r="E69" s="12" t="s">
        <v>76</v>
      </c>
      <c r="F69" s="13"/>
      <c r="G69" s="6" t="b">
        <v>1</v>
      </c>
      <c r="H69" s="6" t="b">
        <v>1</v>
      </c>
      <c r="I69" s="6" t="b">
        <v>0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0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0</v>
      </c>
      <c r="AL69" s="17" t="str">
        <f t="shared" si="1"/>
        <v>13 dari 31 (42%)</v>
      </c>
    </row>
    <row r="70" ht="22.5" customHeight="1">
      <c r="A70" s="2">
        <v>69.0</v>
      </c>
      <c r="B70" s="11"/>
      <c r="C70" s="22">
        <v>58573.0</v>
      </c>
      <c r="D70" s="12" t="s">
        <v>41</v>
      </c>
      <c r="E70" s="12" t="s">
        <v>48</v>
      </c>
      <c r="F70" s="15" t="s">
        <v>50</v>
      </c>
      <c r="G70" s="6" t="b">
        <v>1</v>
      </c>
      <c r="H70" s="6" t="b">
        <v>0</v>
      </c>
      <c r="I70" s="6" t="b">
        <v>0</v>
      </c>
      <c r="J70" s="6" t="b">
        <v>0</v>
      </c>
      <c r="K70" s="6" t="b">
        <v>0</v>
      </c>
      <c r="L70" s="6" t="b">
        <v>0</v>
      </c>
      <c r="M70" s="6" t="b">
        <v>0</v>
      </c>
      <c r="N70" s="6" t="b">
        <v>0</v>
      </c>
      <c r="O70" s="6" t="b">
        <v>0</v>
      </c>
      <c r="P70" s="6" t="b">
        <v>0</v>
      </c>
      <c r="Q70" s="6" t="b">
        <v>0</v>
      </c>
      <c r="R70" s="6" t="b">
        <v>0</v>
      </c>
      <c r="S70" s="6" t="b">
        <v>0</v>
      </c>
      <c r="T70" s="6" t="b">
        <v>0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1 dari 31 (3%)</v>
      </c>
    </row>
    <row r="71" ht="22.5" customHeight="1">
      <c r="A71" s="10">
        <v>70.0</v>
      </c>
      <c r="B71" s="11"/>
      <c r="C71" s="22">
        <v>59234.0</v>
      </c>
      <c r="D71" s="12" t="s">
        <v>85</v>
      </c>
      <c r="E71" s="12" t="s">
        <v>138</v>
      </c>
      <c r="F71" s="13"/>
      <c r="G71" s="6" t="b">
        <v>1</v>
      </c>
      <c r="H71" s="6" t="b">
        <v>1</v>
      </c>
      <c r="I71" s="6" t="b">
        <v>1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1</v>
      </c>
      <c r="AJ71" s="6" t="b">
        <v>0</v>
      </c>
      <c r="AK71" s="6" t="b">
        <v>0</v>
      </c>
      <c r="AL71" s="9" t="str">
        <f t="shared" si="1"/>
        <v>14 dari 31 (45%)</v>
      </c>
    </row>
    <row r="72" ht="22.5" customHeight="1">
      <c r="A72" s="10">
        <v>71.0</v>
      </c>
      <c r="B72" s="11"/>
      <c r="C72" s="20">
        <v>55575.0</v>
      </c>
      <c r="D72" s="12" t="s">
        <v>85</v>
      </c>
      <c r="E72" s="12" t="s">
        <v>91</v>
      </c>
      <c r="F72" s="13"/>
      <c r="G72" s="6" t="b">
        <v>1</v>
      </c>
      <c r="H72" s="6" t="b">
        <v>1</v>
      </c>
      <c r="I72" s="6" t="b">
        <v>0</v>
      </c>
      <c r="J72" s="6" t="b">
        <v>0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1</v>
      </c>
      <c r="AJ72" s="6" t="b">
        <v>0</v>
      </c>
      <c r="AK72" s="6" t="b">
        <v>0</v>
      </c>
      <c r="AL72" s="17" t="str">
        <f t="shared" si="1"/>
        <v>12 dari 31 (39%)</v>
      </c>
    </row>
    <row r="73" ht="22.5" customHeight="1">
      <c r="A73" s="2">
        <v>72.0</v>
      </c>
      <c r="B73" s="11"/>
      <c r="C73" s="20">
        <v>61074.0</v>
      </c>
      <c r="D73" s="12" t="s">
        <v>85</v>
      </c>
      <c r="E73" s="12" t="s">
        <v>128</v>
      </c>
      <c r="F73" s="13"/>
      <c r="G73" s="6" t="b">
        <v>1</v>
      </c>
      <c r="H73" s="6" t="b">
        <v>1</v>
      </c>
      <c r="I73" s="6" t="b">
        <v>1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1</v>
      </c>
      <c r="U73" s="6" t="b">
        <v>0</v>
      </c>
      <c r="V73" s="6" t="b">
        <v>0</v>
      </c>
      <c r="W73" s="6" t="b">
        <v>1</v>
      </c>
      <c r="X73" s="6" t="b">
        <v>1</v>
      </c>
      <c r="Y73" s="6" t="b">
        <v>1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1</v>
      </c>
      <c r="AJ73" s="6" t="b">
        <v>0</v>
      </c>
      <c r="AK73" s="6" t="b">
        <v>0</v>
      </c>
      <c r="AL73" s="9" t="str">
        <f t="shared" si="1"/>
        <v>18 dari 31 (58%)</v>
      </c>
    </row>
    <row r="74" ht="22.5" customHeight="1">
      <c r="A74" s="10">
        <v>73.0</v>
      </c>
      <c r="B74" s="11"/>
      <c r="C74" s="20">
        <v>61231.0</v>
      </c>
      <c r="D74" s="12" t="s">
        <v>89</v>
      </c>
      <c r="E74" s="12" t="s">
        <v>95</v>
      </c>
      <c r="F74" s="15" t="s">
        <v>50</v>
      </c>
      <c r="G74" s="6" t="b">
        <v>1</v>
      </c>
      <c r="H74" s="6" t="b">
        <v>0</v>
      </c>
      <c r="I74" s="6" t="b">
        <v>0</v>
      </c>
      <c r="J74" s="6" t="b">
        <v>0</v>
      </c>
      <c r="K74" s="6" t="b">
        <v>0</v>
      </c>
      <c r="L74" s="6" t="b">
        <v>0</v>
      </c>
      <c r="M74" s="6" t="b">
        <v>0</v>
      </c>
      <c r="N74" s="6" t="b">
        <v>0</v>
      </c>
      <c r="O74" s="6" t="b">
        <v>0</v>
      </c>
      <c r="P74" s="6" t="b">
        <v>0</v>
      </c>
      <c r="Q74" s="6" t="b">
        <v>0</v>
      </c>
      <c r="R74" s="6" t="b">
        <v>0</v>
      </c>
      <c r="S74" s="6" t="b">
        <v>0</v>
      </c>
      <c r="T74" s="6" t="b">
        <v>0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0</v>
      </c>
      <c r="AJ74" s="6" t="b">
        <v>0</v>
      </c>
      <c r="AK74" s="6" t="b">
        <v>0</v>
      </c>
      <c r="AL74" s="9" t="str">
        <f t="shared" si="1"/>
        <v>1 dari 31 (3%)</v>
      </c>
    </row>
    <row r="75" ht="22.5" customHeight="1">
      <c r="A75" s="10">
        <v>74.0</v>
      </c>
      <c r="B75" s="11"/>
      <c r="C75" s="20">
        <v>56908.0</v>
      </c>
      <c r="D75" s="12" t="s">
        <v>89</v>
      </c>
      <c r="E75" s="12" t="s">
        <v>156</v>
      </c>
      <c r="F75" s="15" t="s">
        <v>50</v>
      </c>
      <c r="G75" s="6" t="b">
        <v>1</v>
      </c>
      <c r="H75" s="6" t="b">
        <v>0</v>
      </c>
      <c r="I75" s="6" t="b">
        <v>0</v>
      </c>
      <c r="J75" s="6" t="b">
        <v>0</v>
      </c>
      <c r="K75" s="6" t="b">
        <v>0</v>
      </c>
      <c r="L75" s="6" t="b">
        <v>0</v>
      </c>
      <c r="M75" s="6" t="b">
        <v>0</v>
      </c>
      <c r="N75" s="6" t="b">
        <v>0</v>
      </c>
      <c r="O75" s="6" t="b">
        <v>0</v>
      </c>
      <c r="P75" s="6" t="b">
        <v>0</v>
      </c>
      <c r="Q75" s="6" t="b">
        <v>0</v>
      </c>
      <c r="R75" s="6" t="b">
        <v>0</v>
      </c>
      <c r="S75" s="6" t="b">
        <v>0</v>
      </c>
      <c r="T75" s="6" t="b">
        <v>0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1 dari 31 (3%)</v>
      </c>
    </row>
    <row r="76" ht="22.5" customHeight="1">
      <c r="A76" s="2">
        <v>75.0</v>
      </c>
      <c r="B76" s="11"/>
      <c r="C76" s="20">
        <v>29379.0</v>
      </c>
      <c r="D76" s="12" t="s">
        <v>163</v>
      </c>
      <c r="E76" s="12" t="s">
        <v>95</v>
      </c>
      <c r="F76" s="15" t="s">
        <v>50</v>
      </c>
      <c r="G76" s="6" t="b">
        <v>1</v>
      </c>
      <c r="H76" s="6" t="b">
        <v>0</v>
      </c>
      <c r="I76" s="6" t="b">
        <v>0</v>
      </c>
      <c r="J76" s="6" t="b">
        <v>0</v>
      </c>
      <c r="K76" s="6" t="b">
        <v>0</v>
      </c>
      <c r="L76" s="6" t="b">
        <v>0</v>
      </c>
      <c r="M76" s="6" t="b">
        <v>0</v>
      </c>
      <c r="N76" s="6" t="b">
        <v>0</v>
      </c>
      <c r="O76" s="6" t="b">
        <v>0</v>
      </c>
      <c r="P76" s="6" t="b">
        <v>0</v>
      </c>
      <c r="Q76" s="6" t="b">
        <v>0</v>
      </c>
      <c r="R76" s="6" t="b">
        <v>0</v>
      </c>
      <c r="S76" s="6" t="b">
        <v>0</v>
      </c>
      <c r="T76" s="6" t="b">
        <v>0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0</v>
      </c>
      <c r="AJ76" s="6" t="b">
        <v>0</v>
      </c>
      <c r="AK76" s="6" t="b">
        <v>0</v>
      </c>
      <c r="AL76" s="9" t="str">
        <f t="shared" si="1"/>
        <v>1 dari 31 (3%)</v>
      </c>
    </row>
    <row r="77" ht="22.5" customHeight="1">
      <c r="A77" s="10">
        <v>76.0</v>
      </c>
      <c r="B77" s="11"/>
      <c r="C77" s="22">
        <v>61232.0</v>
      </c>
      <c r="D77" s="12" t="s">
        <v>89</v>
      </c>
      <c r="E77" s="12" t="s">
        <v>95</v>
      </c>
      <c r="F77" s="86" t="s">
        <v>67</v>
      </c>
      <c r="G77" s="6" t="b">
        <v>0</v>
      </c>
      <c r="H77" s="6" t="b">
        <v>0</v>
      </c>
      <c r="I77" s="6" t="b">
        <v>0</v>
      </c>
      <c r="J77" s="6" t="b">
        <v>0</v>
      </c>
      <c r="K77" s="6" t="b">
        <v>0</v>
      </c>
      <c r="L77" s="6" t="b">
        <v>0</v>
      </c>
      <c r="M77" s="6" t="b">
        <v>0</v>
      </c>
      <c r="N77" s="6" t="b">
        <v>0</v>
      </c>
      <c r="O77" s="6" t="b">
        <v>0</v>
      </c>
      <c r="P77" s="6" t="b">
        <v>0</v>
      </c>
      <c r="Q77" s="6" t="b">
        <v>0</v>
      </c>
      <c r="R77" s="6" t="b">
        <v>0</v>
      </c>
      <c r="S77" s="6" t="b">
        <v>0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0 dari 31 (0%)</v>
      </c>
    </row>
    <row r="78" ht="22.5" customHeight="1">
      <c r="A78" s="10">
        <v>77.0</v>
      </c>
      <c r="B78" s="11"/>
      <c r="C78" s="22">
        <v>61233.0</v>
      </c>
      <c r="D78" s="12" t="s">
        <v>89</v>
      </c>
      <c r="E78" s="12" t="s">
        <v>95</v>
      </c>
      <c r="F78" s="86" t="s">
        <v>67</v>
      </c>
      <c r="G78" s="6" t="b">
        <v>0</v>
      </c>
      <c r="H78" s="6" t="b">
        <v>0</v>
      </c>
      <c r="I78" s="6" t="b">
        <v>0</v>
      </c>
      <c r="J78" s="6" t="b">
        <v>0</v>
      </c>
      <c r="K78" s="6" t="b">
        <v>0</v>
      </c>
      <c r="L78" s="6" t="b">
        <v>0</v>
      </c>
      <c r="M78" s="6" t="b">
        <v>0</v>
      </c>
      <c r="N78" s="6" t="b">
        <v>0</v>
      </c>
      <c r="O78" s="6" t="b">
        <v>0</v>
      </c>
      <c r="P78" s="6" t="b">
        <v>0</v>
      </c>
      <c r="Q78" s="6" t="b">
        <v>0</v>
      </c>
      <c r="R78" s="6" t="b">
        <v>0</v>
      </c>
      <c r="S78" s="6" t="b">
        <v>0</v>
      </c>
      <c r="T78" s="6" t="b">
        <v>0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0</v>
      </c>
      <c r="AJ78" s="6" t="b">
        <v>0</v>
      </c>
      <c r="AK78" s="6" t="b">
        <v>0</v>
      </c>
      <c r="AL78" s="17" t="str">
        <f t="shared" si="1"/>
        <v>0 dari 31 (0%)</v>
      </c>
    </row>
    <row r="79" ht="22.5" customHeight="1">
      <c r="A79" s="2">
        <v>78.0</v>
      </c>
      <c r="B79" s="11"/>
      <c r="C79" s="22">
        <v>61234.0</v>
      </c>
      <c r="D79" s="12" t="s">
        <v>89</v>
      </c>
      <c r="E79" s="12" t="s">
        <v>95</v>
      </c>
      <c r="F79" s="15" t="s">
        <v>50</v>
      </c>
      <c r="G79" s="6" t="b">
        <v>1</v>
      </c>
      <c r="H79" s="6" t="b">
        <v>0</v>
      </c>
      <c r="I79" s="6" t="b">
        <v>0</v>
      </c>
      <c r="J79" s="6" t="b">
        <v>0</v>
      </c>
      <c r="K79" s="6" t="b">
        <v>0</v>
      </c>
      <c r="L79" s="6" t="b">
        <v>0</v>
      </c>
      <c r="M79" s="6" t="b">
        <v>0</v>
      </c>
      <c r="N79" s="6" t="b">
        <v>0</v>
      </c>
      <c r="O79" s="6" t="b">
        <v>0</v>
      </c>
      <c r="P79" s="6" t="b">
        <v>0</v>
      </c>
      <c r="Q79" s="6" t="b">
        <v>0</v>
      </c>
      <c r="R79" s="6" t="b">
        <v>0</v>
      </c>
      <c r="S79" s="6" t="b">
        <v>0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1 dari 31 (3%)</v>
      </c>
    </row>
    <row r="80" ht="22.5" customHeight="1">
      <c r="A80" s="10">
        <v>79.0</v>
      </c>
      <c r="B80" s="11"/>
      <c r="C80" s="22">
        <v>61235.0</v>
      </c>
      <c r="D80" s="12" t="s">
        <v>89</v>
      </c>
      <c r="E80" s="12" t="s">
        <v>95</v>
      </c>
      <c r="F80" s="15" t="s">
        <v>50</v>
      </c>
      <c r="G80" s="6" t="b">
        <v>1</v>
      </c>
      <c r="H80" s="6" t="b">
        <v>0</v>
      </c>
      <c r="I80" s="6" t="b">
        <v>0</v>
      </c>
      <c r="J80" s="6" t="b">
        <v>0</v>
      </c>
      <c r="K80" s="6" t="b">
        <v>0</v>
      </c>
      <c r="L80" s="6" t="b">
        <v>0</v>
      </c>
      <c r="M80" s="6" t="b">
        <v>0</v>
      </c>
      <c r="N80" s="6" t="b">
        <v>0</v>
      </c>
      <c r="O80" s="6" t="b">
        <v>0</v>
      </c>
      <c r="P80" s="6" t="b">
        <v>0</v>
      </c>
      <c r="Q80" s="6" t="b">
        <v>0</v>
      </c>
      <c r="R80" s="6" t="b">
        <v>0</v>
      </c>
      <c r="S80" s="6" t="b">
        <v>0</v>
      </c>
      <c r="T80" s="6" t="b">
        <v>0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0</v>
      </c>
      <c r="AJ80" s="6" t="b">
        <v>0</v>
      </c>
      <c r="AK80" s="6" t="b">
        <v>0</v>
      </c>
      <c r="AL80" s="9" t="str">
        <f t="shared" si="1"/>
        <v>1 dari 31 (3%)</v>
      </c>
    </row>
    <row r="81" ht="22.5" customHeight="1">
      <c r="A81" s="10">
        <v>80.0</v>
      </c>
      <c r="B81" s="11"/>
      <c r="C81" s="22">
        <v>61236.0</v>
      </c>
      <c r="D81" s="12" t="s">
        <v>89</v>
      </c>
      <c r="E81" s="12" t="s">
        <v>95</v>
      </c>
      <c r="F81" s="15" t="s">
        <v>50</v>
      </c>
      <c r="G81" s="6" t="b">
        <v>1</v>
      </c>
      <c r="H81" s="6" t="b">
        <v>0</v>
      </c>
      <c r="I81" s="6" t="b">
        <v>0</v>
      </c>
      <c r="J81" s="6" t="b">
        <v>0</v>
      </c>
      <c r="K81" s="6" t="b">
        <v>0</v>
      </c>
      <c r="L81" s="6" t="b">
        <v>0</v>
      </c>
      <c r="M81" s="6" t="b">
        <v>0</v>
      </c>
      <c r="N81" s="6" t="b">
        <v>0</v>
      </c>
      <c r="O81" s="6" t="b">
        <v>0</v>
      </c>
      <c r="P81" s="6" t="b">
        <v>0</v>
      </c>
      <c r="Q81" s="6" t="b">
        <v>0</v>
      </c>
      <c r="R81" s="6" t="b">
        <v>0</v>
      </c>
      <c r="S81" s="6" t="b">
        <v>0</v>
      </c>
      <c r="T81" s="6" t="b">
        <v>0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1 dari 31 (3%)</v>
      </c>
    </row>
    <row r="82" ht="22.5" customHeight="1">
      <c r="A82" s="2">
        <v>81.0</v>
      </c>
      <c r="B82" s="11"/>
      <c r="C82" s="21">
        <v>61230.0</v>
      </c>
      <c r="D82" s="12" t="s">
        <v>89</v>
      </c>
      <c r="E82" s="12" t="s">
        <v>95</v>
      </c>
      <c r="F82" s="15" t="s">
        <v>50</v>
      </c>
      <c r="G82" s="6" t="b">
        <v>1</v>
      </c>
      <c r="H82" s="6" t="b">
        <v>0</v>
      </c>
      <c r="I82" s="6" t="b">
        <v>0</v>
      </c>
      <c r="J82" s="6" t="b">
        <v>0</v>
      </c>
      <c r="K82" s="6" t="b">
        <v>0</v>
      </c>
      <c r="L82" s="6" t="b">
        <v>0</v>
      </c>
      <c r="M82" s="6" t="b">
        <v>0</v>
      </c>
      <c r="N82" s="6" t="b">
        <v>0</v>
      </c>
      <c r="O82" s="6" t="b">
        <v>0</v>
      </c>
      <c r="P82" s="6" t="b">
        <v>0</v>
      </c>
      <c r="Q82" s="6" t="b">
        <v>0</v>
      </c>
      <c r="R82" s="6" t="b">
        <v>0</v>
      </c>
      <c r="S82" s="6" t="b">
        <v>0</v>
      </c>
      <c r="T82" s="6" t="b">
        <v>0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0</v>
      </c>
      <c r="AJ82" s="6" t="b">
        <v>0</v>
      </c>
      <c r="AK82" s="6" t="b">
        <v>0</v>
      </c>
      <c r="AL82" s="9" t="str">
        <f t="shared" si="1"/>
        <v>1 dari 31 (3%)</v>
      </c>
    </row>
    <row r="84">
      <c r="B84" s="71" t="s">
        <v>38</v>
      </c>
      <c r="C84" s="72"/>
      <c r="D84" s="72"/>
      <c r="E84" s="72"/>
      <c r="F84" s="73"/>
      <c r="G84" s="74">
        <f>COUNTIF(JULI_11[ID Encounter], TRUE)</f>
        <v>74</v>
      </c>
      <c r="H84" s="74">
        <f>COUNTIF(JULI_11[ID Condition], TRUE)</f>
        <v>65</v>
      </c>
      <c r="I84" s="74">
        <f>COUNTIF(JULI_11[ID Clinical Impression], TRUE)</f>
        <v>39</v>
      </c>
      <c r="J84" s="74">
        <f>COUNTIF(JULI_11[ID Observation Tensi], TRUE)</f>
        <v>64</v>
      </c>
      <c r="K84" s="74">
        <f>COUNTIF(JULI_11[ID Observation Nadi], TRUE)</f>
        <v>65</v>
      </c>
      <c r="L84" s="74">
        <f>COUNTIF(JULI_11[ID Observation RR], TRUE)</f>
        <v>65</v>
      </c>
      <c r="M84" s="74">
        <f>COUNTIF(JULI_11[ID Observation Suhu], TRUE)</f>
        <v>65</v>
      </c>
      <c r="N84" s="74">
        <f>COUNTIF(JULI_11[ID Observation SPO2], TRUE)</f>
        <v>65</v>
      </c>
      <c r="O84" s="74">
        <f>COUNTIF(JULI_11[ID Observation GCS], TRUE)</f>
        <v>65</v>
      </c>
      <c r="P84" s="74">
        <f>COUNTIF(JULI_11[ID Observation Tinggi], TRUE)</f>
        <v>65</v>
      </c>
      <c r="Q84" s="74">
        <f>COUNTIF(JULI_11[ID Observation Berat], TRUE)</f>
        <v>65</v>
      </c>
      <c r="R84" s="74">
        <f>COUNTIF(JULI_11[ID Observation Perut], TRUE)</f>
        <v>65</v>
      </c>
      <c r="S84" s="74">
        <f>COUNTIF(JULI_11[ID Observation Kesadaran], TRUE)</f>
        <v>66</v>
      </c>
      <c r="T84" s="74">
        <f>COUNTIF(JULI_11[ID Procedure], TRUE)</f>
        <v>57</v>
      </c>
      <c r="U84" s="74">
        <f>COUNTIF(JULI_11[ID Composition], TRUE)</f>
        <v>0</v>
      </c>
      <c r="V84" s="74">
        <f>COUNTIF(JULI_11[ID Vaksin/Imunisasi], TRUE)</f>
        <v>0</v>
      </c>
      <c r="W84" s="74">
        <f>COUNTIF(JULI_11[ID Medication Request], TRUE)</f>
        <v>4</v>
      </c>
      <c r="X84" s="74">
        <f>COUNTIF(JULI_11[ID Medication Dispense], TRUE)</f>
        <v>4</v>
      </c>
      <c r="Y84" s="74">
        <f>COUNTIF(JULI_11[ID Medication Statement], TRUE)</f>
        <v>4</v>
      </c>
      <c r="Z84" s="74">
        <f>COUNTIF(JULI_11[ID Service Request Radiologi], TRUE)</f>
        <v>5</v>
      </c>
      <c r="AA84" s="74">
        <f>COUNTIF(JULI_11[ID Specimen Radiologi], TRUE)</f>
        <v>5</v>
      </c>
      <c r="AB84" s="74">
        <f>COUNTIF(JULI_11[ID Observation Radiologi], TRUE)</f>
        <v>5</v>
      </c>
      <c r="AC84" s="74">
        <f>COUNTIF(JULI_11[ID Diagnostic Report Radiologi], TRUE)</f>
        <v>5</v>
      </c>
      <c r="AD84" s="74">
        <f>COUNTIF(JULI_11[Image Study], TRUE)</f>
        <v>5</v>
      </c>
      <c r="AE84" s="74">
        <f>COUNTIF(JULI_11[ID Service Request Lab PK], TRUE)</f>
        <v>0</v>
      </c>
      <c r="AF84" s="74">
        <f>COUNTIF(JULI_11[ID Specimen Lab PK], TRUE)</f>
        <v>0</v>
      </c>
      <c r="AG84" s="74">
        <f>COUNTIF(JULI_11[ID Observation Lab PK], TRUE)</f>
        <v>0</v>
      </c>
      <c r="AH84" s="74">
        <f>COUNTIF(JULI_11[ID Diagnostic Report Lab PK], TRUE)</f>
        <v>0</v>
      </c>
      <c r="AI84" s="74">
        <f>COUNTIF(JULI_11[ID Care Plan], TRUE)</f>
        <v>37</v>
      </c>
      <c r="AJ84" s="74">
        <f>COUNTIF(JULI_11[ID Allergy], TRUE)</f>
        <v>0</v>
      </c>
      <c r="AK84" s="74">
        <f>COUNTIF(JULI_11[ID Questionnaire], TRUE)</f>
        <v>0</v>
      </c>
      <c r="AL84" s="75" t="str">
        <f>COUNTIF(JULI_11[[ID Encounter]:[ID Questionnaire]], TRUE()) &amp; " dari " &amp; (ROWS(JULI_11[[ID Encounter]:[ID Questionnaire]])*COLUMNS(JULI_11[[ID Encounter]:[ID Questionnaire]])) &amp; " (" &amp; TEXT(COUNTIF(JULI_11[[ID Encounter]:[ID Questionnaire]], TRUE())/(ROWS(JULI_11[[ID Encounter]:[ID Questionnaire]])*COLUMNS(JULI_11[[ID Encounter]:[ID Questionnaire]])),"0%") &amp; ")"</f>
        <v>959 dari 2511 (38%)</v>
      </c>
    </row>
    <row r="85">
      <c r="B85" s="76"/>
      <c r="C85" s="77"/>
      <c r="D85" s="77"/>
      <c r="E85" s="77"/>
      <c r="F85" s="78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</row>
  </sheetData>
  <mergeCells count="33">
    <mergeCell ref="B84:F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H84:AH85"/>
    <mergeCell ref="AI84:AI85"/>
    <mergeCell ref="AJ84:AJ85"/>
    <mergeCell ref="AK84:AK85"/>
    <mergeCell ref="AL84:AL85"/>
    <mergeCell ref="AA84:AA85"/>
    <mergeCell ref="AB84:AB85"/>
    <mergeCell ref="AC84:AC85"/>
    <mergeCell ref="AD84:AD85"/>
    <mergeCell ref="AE84:AE85"/>
    <mergeCell ref="AF84:AF85"/>
    <mergeCell ref="AG84:AG85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46215.0</v>
      </c>
      <c r="C2" s="21">
        <v>61237.0</v>
      </c>
      <c r="D2" s="7" t="s">
        <v>89</v>
      </c>
      <c r="E2" s="7" t="s">
        <v>95</v>
      </c>
      <c r="F2" s="13"/>
      <c r="G2" s="6" t="b">
        <v>1</v>
      </c>
      <c r="H2" s="6" t="b">
        <v>0</v>
      </c>
      <c r="I2" s="6" t="b">
        <v>0</v>
      </c>
      <c r="J2" s="6" t="b">
        <v>0</v>
      </c>
      <c r="K2" s="6" t="b">
        <v>0</v>
      </c>
      <c r="L2" s="6" t="b">
        <v>0</v>
      </c>
      <c r="M2" s="6" t="b">
        <v>0</v>
      </c>
      <c r="N2" s="6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>COUNTIF(G2:AK2, TRUE()) &amp; " dari " &amp; COLUMNS(G2:AK2) &amp; " (" &amp; TEXT(COUNTIF(G2:AK2, TRUE())/COLUMNS(G2:AK2),"0%") &amp; ")"</f>
        <v>1 dari 31 (3%)</v>
      </c>
    </row>
    <row r="4">
      <c r="B4" s="71" t="s">
        <v>38</v>
      </c>
      <c r="C4" s="72"/>
      <c r="D4" s="72"/>
      <c r="E4" s="72"/>
      <c r="F4" s="73"/>
      <c r="G4" s="74">
        <f>COUNTIF(JULI_12[ID Encounter], TRUE)</f>
        <v>1</v>
      </c>
      <c r="H4" s="74">
        <f>COUNTIF(JULI_12[ID Condition], TRUE)</f>
        <v>0</v>
      </c>
      <c r="I4" s="74">
        <f>COUNTIF(JULI_12[ID Clinical Impression], TRUE)</f>
        <v>0</v>
      </c>
      <c r="J4" s="74">
        <f>COUNTIF(JULI_12[ID Observation Tensi], TRUE)</f>
        <v>0</v>
      </c>
      <c r="K4" s="74">
        <f>COUNTIF(JULI_12[ID Observation Nadi], TRUE)</f>
        <v>0</v>
      </c>
      <c r="L4" s="74">
        <f>COUNTIF(JULI_12[ID Observation RR], TRUE)</f>
        <v>0</v>
      </c>
      <c r="M4" s="74">
        <f>COUNTIF(JULI_12[ID Observation Suhu], TRUE)</f>
        <v>0</v>
      </c>
      <c r="N4" s="74">
        <f>COUNTIF(JULI_12[ID Observation SPO2], TRUE)</f>
        <v>0</v>
      </c>
      <c r="O4" s="74">
        <f>COUNTIF(JULI_12[ID Observation GCS], TRUE)</f>
        <v>0</v>
      </c>
      <c r="P4" s="74">
        <f>COUNTIF(JULI_12[ID Observation Tinggi], TRUE)</f>
        <v>0</v>
      </c>
      <c r="Q4" s="74">
        <f>COUNTIF(JULI_12[ID Observation Berat], TRUE)</f>
        <v>0</v>
      </c>
      <c r="R4" s="74">
        <f>COUNTIF(JULI_12[ID Observation Perut], TRUE)</f>
        <v>0</v>
      </c>
      <c r="S4" s="74">
        <f>COUNTIF(JULI_12[ID Observation Kesadaran], TRUE)</f>
        <v>0</v>
      </c>
      <c r="T4" s="74">
        <f>COUNTIF(JULI_12[ID Procedure], TRUE)</f>
        <v>0</v>
      </c>
      <c r="U4" s="74">
        <f>COUNTIF(JULI_12[ID Composition], TRUE)</f>
        <v>0</v>
      </c>
      <c r="V4" s="74">
        <f>COUNTIF(JULI_12[ID Vaksin/Imunisasi], TRUE)</f>
        <v>0</v>
      </c>
      <c r="W4" s="74">
        <f>COUNTIF(JULI_12[ID Medication Request], TRUE)</f>
        <v>0</v>
      </c>
      <c r="X4" s="74">
        <f>COUNTIF(JULI_12[ID Medication Dispense], TRUE)</f>
        <v>0</v>
      </c>
      <c r="Y4" s="74">
        <f>COUNTIF(JULI_12[ID Medication Statement], TRUE)</f>
        <v>0</v>
      </c>
      <c r="Z4" s="74">
        <f>COUNTIF(JULI_12[ID Service Request Radiologi], TRUE)</f>
        <v>0</v>
      </c>
      <c r="AA4" s="74">
        <f>COUNTIF(JULI_12[ID Specimen Radiologi], TRUE)</f>
        <v>0</v>
      </c>
      <c r="AB4" s="74">
        <f>COUNTIF(JULI_12[ID Observation Radiologi], TRUE)</f>
        <v>0</v>
      </c>
      <c r="AC4" s="74">
        <f>COUNTIF(JULI_12[ID Diagnostic Report Radiologi], TRUE)</f>
        <v>0</v>
      </c>
      <c r="AD4" s="74">
        <f>COUNTIF(JULI_12[Image Study], TRUE)</f>
        <v>0</v>
      </c>
      <c r="AE4" s="74">
        <f>COUNTIF(JULI_12[ID Service Request Lab PK], TRUE)</f>
        <v>0</v>
      </c>
      <c r="AF4" s="74">
        <f>COUNTIF(JULI_12[ID Specimen Lab PK], TRUE)</f>
        <v>0</v>
      </c>
      <c r="AG4" s="74">
        <f>COUNTIF(JULI_12[ID Observation Lab PK], TRUE)</f>
        <v>0</v>
      </c>
      <c r="AH4" s="74">
        <f>COUNTIF(JULI_12[ID Diagnostic Report Lab PK], TRUE)</f>
        <v>0</v>
      </c>
      <c r="AI4" s="74">
        <f>COUNTIF(JULI_12[ID Care Plan], TRUE)</f>
        <v>0</v>
      </c>
      <c r="AJ4" s="74">
        <f>COUNTIF(JULI_12[ID Allergy], TRUE)</f>
        <v>0</v>
      </c>
      <c r="AK4" s="74">
        <f>COUNTIF(JULI_12[ID Questionnaire], TRUE)</f>
        <v>0</v>
      </c>
      <c r="AL4" s="75" t="str">
        <f>COUNTIF(JULI_12[[ID Encounter]:[ID Questionnaire]], TRUE()) &amp; " dari " &amp; (ROWS(JULI_12[[ID Encounter]:[ID Questionnaire]])*COLUMNS(JULI_12[[ID Encounter]:[ID Questionnaire]])) &amp; " (" &amp; TEXT(COUNTIF(JULI_12[[ID Encounter]:[ID Questionnaire]], TRUE())/(ROWS(JULI_12[[ID Encounter]:[ID Questionnaire]])*COLUMNS(JULI_12[[ID Encounter]:[ID Questionnaire]])),"0%") &amp; ")"</f>
        <v>1 dari 31 (3%)</v>
      </c>
    </row>
    <row r="5">
      <c r="B5" s="76"/>
      <c r="C5" s="77"/>
      <c r="D5" s="77"/>
      <c r="E5" s="77"/>
      <c r="F5" s="78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</row>
  </sheetData>
  <mergeCells count="33">
    <mergeCell ref="B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F4:AF5"/>
    <mergeCell ref="AG4:AG5"/>
  </mergeCell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28" max="28" width="24.0"/>
    <col customWidth="1" min="29" max="29" width="28.38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46216.0</v>
      </c>
      <c r="C2" s="22">
        <v>59603.0</v>
      </c>
      <c r="D2" s="7" t="s">
        <v>63</v>
      </c>
      <c r="E2" s="7" t="s">
        <v>87</v>
      </c>
      <c r="F2" s="13"/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175" si="1">COUNTIF(G2:AK2, TRUE()) &amp; " dari " &amp; COLUMNS(G2:AK2) &amp; " (" &amp; TEXT(COUNTIF(G2:AK2, TRUE())/COLUMNS(G2:AK2),"0%") &amp; ")"</f>
        <v>15 dari 31 (48%)</v>
      </c>
    </row>
    <row r="3" ht="22.5" customHeight="1">
      <c r="A3" s="10">
        <v>2.0</v>
      </c>
      <c r="B3" s="11"/>
      <c r="C3" s="22">
        <v>60393.0</v>
      </c>
      <c r="D3" s="7" t="s">
        <v>63</v>
      </c>
      <c r="E3" s="7" t="s">
        <v>87</v>
      </c>
      <c r="F3" s="13"/>
      <c r="G3" s="16" t="b">
        <v>1</v>
      </c>
      <c r="H3" s="16" t="b">
        <v>1</v>
      </c>
      <c r="I3" s="16" t="b">
        <v>1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0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14 dari 31 (45%)</v>
      </c>
    </row>
    <row r="4" ht="22.5" customHeight="1">
      <c r="A4" s="2">
        <v>3.0</v>
      </c>
      <c r="B4" s="18"/>
      <c r="C4" s="22">
        <v>59780.0</v>
      </c>
      <c r="D4" s="7" t="s">
        <v>63</v>
      </c>
      <c r="E4" s="7" t="s">
        <v>87</v>
      </c>
      <c r="F4" s="13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1</v>
      </c>
      <c r="AJ4" s="6" t="b">
        <v>0</v>
      </c>
      <c r="AK4" s="6" t="b">
        <v>0</v>
      </c>
      <c r="AL4" s="9" t="str">
        <f t="shared" si="1"/>
        <v>15 dari 31 (48%)</v>
      </c>
    </row>
    <row r="5" ht="22.5" customHeight="1">
      <c r="A5" s="10">
        <v>4.0</v>
      </c>
      <c r="B5" s="11"/>
      <c r="C5" s="22">
        <v>34462.0</v>
      </c>
      <c r="D5" s="7" t="s">
        <v>63</v>
      </c>
      <c r="E5" s="7" t="s">
        <v>87</v>
      </c>
      <c r="F5" s="13"/>
      <c r="G5" s="16" t="b">
        <v>1</v>
      </c>
      <c r="H5" s="16" t="b">
        <v>1</v>
      </c>
      <c r="I5" s="16" t="b">
        <v>1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15 dari 31 (48%)</v>
      </c>
    </row>
    <row r="6" ht="22.5" customHeight="1">
      <c r="A6" s="2">
        <v>5.0</v>
      </c>
      <c r="B6" s="18"/>
      <c r="C6" s="20">
        <v>60677.0</v>
      </c>
      <c r="D6" s="7" t="s">
        <v>63</v>
      </c>
      <c r="E6" s="7" t="s">
        <v>87</v>
      </c>
      <c r="F6" s="13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1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16 dari 31 (52%)</v>
      </c>
    </row>
    <row r="7" ht="22.5" customHeight="1">
      <c r="A7" s="10">
        <v>6.0</v>
      </c>
      <c r="B7" s="11"/>
      <c r="C7" s="20">
        <v>60123.0</v>
      </c>
      <c r="D7" s="7" t="s">
        <v>63</v>
      </c>
      <c r="E7" s="7" t="s">
        <v>87</v>
      </c>
      <c r="F7" s="13"/>
      <c r="G7" s="16" t="b">
        <v>1</v>
      </c>
      <c r="H7" s="16" t="b">
        <v>1</v>
      </c>
      <c r="I7" s="16" t="b">
        <v>1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15 dari 31 (48%)</v>
      </c>
    </row>
    <row r="8" ht="22.5" customHeight="1">
      <c r="A8" s="2">
        <v>7.0</v>
      </c>
      <c r="B8" s="18"/>
      <c r="C8" s="20">
        <v>56728.0</v>
      </c>
      <c r="D8" s="7" t="s">
        <v>63</v>
      </c>
      <c r="E8" s="7" t="s">
        <v>87</v>
      </c>
      <c r="F8" s="13"/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1</v>
      </c>
      <c r="AJ8" s="6" t="b">
        <v>0</v>
      </c>
      <c r="AK8" s="6" t="b">
        <v>0</v>
      </c>
      <c r="AL8" s="9" t="str">
        <f t="shared" si="1"/>
        <v>15 dari 31 (48%)</v>
      </c>
    </row>
    <row r="9" ht="22.5" customHeight="1">
      <c r="A9" s="10">
        <v>8.0</v>
      </c>
      <c r="B9" s="11"/>
      <c r="C9" s="22">
        <v>60284.0</v>
      </c>
      <c r="D9" s="7" t="s">
        <v>63</v>
      </c>
      <c r="E9" s="7" t="s">
        <v>87</v>
      </c>
      <c r="F9" s="13"/>
      <c r="G9" s="16" t="b">
        <v>1</v>
      </c>
      <c r="H9" s="16" t="b">
        <v>1</v>
      </c>
      <c r="I9" s="16" t="b">
        <v>0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1</v>
      </c>
      <c r="AJ9" s="16" t="b">
        <v>0</v>
      </c>
      <c r="AK9" s="16" t="b">
        <v>0</v>
      </c>
      <c r="AL9" s="17" t="str">
        <f t="shared" si="1"/>
        <v>14 dari 31 (45%)</v>
      </c>
    </row>
    <row r="10" ht="22.5" customHeight="1">
      <c r="A10" s="2">
        <v>9.0</v>
      </c>
      <c r="B10" s="18"/>
      <c r="C10" s="22">
        <v>54008.0</v>
      </c>
      <c r="D10" s="7" t="s">
        <v>63</v>
      </c>
      <c r="E10" s="7" t="s">
        <v>87</v>
      </c>
      <c r="F10" s="13"/>
      <c r="G10" s="6" t="b">
        <v>1</v>
      </c>
      <c r="H10" s="6" t="b">
        <v>1</v>
      </c>
      <c r="I10" s="6" t="b">
        <v>1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1</v>
      </c>
      <c r="AJ10" s="6" t="b">
        <v>0</v>
      </c>
      <c r="AK10" s="6" t="b">
        <v>0</v>
      </c>
      <c r="AL10" s="9" t="str">
        <f t="shared" si="1"/>
        <v>15 dari 31 (48%)</v>
      </c>
    </row>
    <row r="11" ht="22.5" customHeight="1">
      <c r="A11" s="10">
        <v>10.0</v>
      </c>
      <c r="B11" s="11"/>
      <c r="C11" s="22">
        <v>57125.0</v>
      </c>
      <c r="D11" s="7" t="s">
        <v>63</v>
      </c>
      <c r="E11" s="7" t="s">
        <v>87</v>
      </c>
      <c r="F11" s="13"/>
      <c r="G11" s="16" t="b">
        <v>1</v>
      </c>
      <c r="H11" s="16" t="b">
        <v>1</v>
      </c>
      <c r="I11" s="16" t="b">
        <v>1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15 dari 31 (48%)</v>
      </c>
    </row>
    <row r="12" ht="22.5" customHeight="1">
      <c r="A12" s="2">
        <v>11.0</v>
      </c>
      <c r="B12" s="18"/>
      <c r="C12" s="20">
        <v>56582.0</v>
      </c>
      <c r="D12" s="12" t="s">
        <v>80</v>
      </c>
      <c r="E12" s="12" t="s">
        <v>160</v>
      </c>
      <c r="F12" s="15" t="s">
        <v>50</v>
      </c>
      <c r="G12" s="6" t="b">
        <v>1</v>
      </c>
      <c r="H12" s="6" t="b">
        <v>0</v>
      </c>
      <c r="I12" s="6" t="b">
        <v>0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0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1</v>
      </c>
      <c r="AJ12" s="6" t="b">
        <v>0</v>
      </c>
      <c r="AK12" s="6" t="b">
        <v>0</v>
      </c>
      <c r="AL12" s="9" t="str">
        <f t="shared" si="1"/>
        <v>12 dari 31 (39%)</v>
      </c>
    </row>
    <row r="13" ht="22.5" customHeight="1">
      <c r="A13" s="10">
        <v>12.0</v>
      </c>
      <c r="B13" s="11"/>
      <c r="C13" s="20">
        <v>60760.0</v>
      </c>
      <c r="D13" s="12" t="s">
        <v>39</v>
      </c>
      <c r="E13" s="12" t="s">
        <v>42</v>
      </c>
      <c r="F13" s="13"/>
      <c r="G13" s="16" t="b">
        <v>1</v>
      </c>
      <c r="H13" s="16" t="b">
        <v>1</v>
      </c>
      <c r="I13" s="16" t="b">
        <v>1</v>
      </c>
      <c r="J13" s="16" t="b">
        <v>1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1"/>
        <v>15 dari 31 (48%)</v>
      </c>
    </row>
    <row r="14" ht="22.5" customHeight="1">
      <c r="A14" s="2">
        <v>13.0</v>
      </c>
      <c r="B14" s="18"/>
      <c r="C14" s="20">
        <v>61067.0</v>
      </c>
      <c r="D14" s="12" t="s">
        <v>39</v>
      </c>
      <c r="E14" s="12" t="s">
        <v>42</v>
      </c>
      <c r="F14" s="13"/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1</v>
      </c>
      <c r="AJ14" s="6" t="b">
        <v>0</v>
      </c>
      <c r="AK14" s="6" t="b">
        <v>0</v>
      </c>
      <c r="AL14" s="9" t="str">
        <f t="shared" si="1"/>
        <v>15 dari 31 (48%)</v>
      </c>
    </row>
    <row r="15" ht="22.5" customHeight="1">
      <c r="A15" s="10">
        <v>14.0</v>
      </c>
      <c r="B15" s="11"/>
      <c r="C15" s="20">
        <v>60319.0</v>
      </c>
      <c r="D15" s="12" t="s">
        <v>39</v>
      </c>
      <c r="E15" s="12" t="s">
        <v>42</v>
      </c>
      <c r="F15" s="13"/>
      <c r="G15" s="16" t="b">
        <v>1</v>
      </c>
      <c r="H15" s="16" t="b">
        <v>1</v>
      </c>
      <c r="I15" s="16" t="b">
        <v>1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1</v>
      </c>
      <c r="AJ15" s="16" t="b">
        <v>0</v>
      </c>
      <c r="AK15" s="16" t="b">
        <v>0</v>
      </c>
      <c r="AL15" s="17" t="str">
        <f t="shared" si="1"/>
        <v>15 dari 31 (48%)</v>
      </c>
    </row>
    <row r="16" ht="22.5" customHeight="1">
      <c r="A16" s="2">
        <v>15.0</v>
      </c>
      <c r="B16" s="18"/>
      <c r="C16" s="20">
        <v>60293.0</v>
      </c>
      <c r="D16" s="12" t="s">
        <v>39</v>
      </c>
      <c r="E16" s="12" t="s">
        <v>42</v>
      </c>
      <c r="F16" s="13"/>
      <c r="G16" s="6" t="b">
        <v>1</v>
      </c>
      <c r="H16" s="6" t="b">
        <v>1</v>
      </c>
      <c r="I16" s="6" t="b">
        <v>0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13 dari 31 (42%)</v>
      </c>
    </row>
    <row r="17" ht="22.5" customHeight="1">
      <c r="A17" s="10">
        <v>16.0</v>
      </c>
      <c r="B17" s="11"/>
      <c r="C17" s="22">
        <v>61111.0</v>
      </c>
      <c r="D17" s="12" t="s">
        <v>51</v>
      </c>
      <c r="E17" s="12" t="s">
        <v>61</v>
      </c>
      <c r="F17" s="13"/>
      <c r="G17" s="16" t="b">
        <v>1</v>
      </c>
      <c r="H17" s="16" t="b">
        <v>1</v>
      </c>
      <c r="I17" s="16" t="b">
        <v>0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13 dari 31 (42%)</v>
      </c>
    </row>
    <row r="18" ht="22.5" customHeight="1">
      <c r="A18" s="2">
        <v>17.0</v>
      </c>
      <c r="B18" s="18"/>
      <c r="C18" s="20">
        <v>61097.0</v>
      </c>
      <c r="D18" s="12" t="s">
        <v>51</v>
      </c>
      <c r="E18" s="12" t="s">
        <v>61</v>
      </c>
      <c r="F18" s="13"/>
      <c r="G18" s="6" t="b">
        <v>1</v>
      </c>
      <c r="H18" s="6" t="b">
        <v>1</v>
      </c>
      <c r="I18" s="6" t="b">
        <v>0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1</v>
      </c>
      <c r="X18" s="6" t="b">
        <v>1</v>
      </c>
      <c r="Y18" s="6" t="b">
        <v>1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16 dari 31 (52%)</v>
      </c>
    </row>
    <row r="19" ht="22.5" customHeight="1">
      <c r="A19" s="10">
        <v>18.0</v>
      </c>
      <c r="B19" s="11"/>
      <c r="C19" s="20">
        <v>60793.0</v>
      </c>
      <c r="D19" s="12" t="s">
        <v>63</v>
      </c>
      <c r="E19" s="12" t="s">
        <v>87</v>
      </c>
      <c r="F19" s="13"/>
      <c r="G19" s="16" t="b">
        <v>1</v>
      </c>
      <c r="H19" s="16" t="b">
        <v>1</v>
      </c>
      <c r="I19" s="16" t="b">
        <v>1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1</v>
      </c>
      <c r="AJ19" s="16" t="b">
        <v>0</v>
      </c>
      <c r="AK19" s="16" t="b">
        <v>0</v>
      </c>
      <c r="AL19" s="17" t="str">
        <f t="shared" si="1"/>
        <v>15 dari 31 (48%)</v>
      </c>
    </row>
    <row r="20" ht="22.5" customHeight="1">
      <c r="A20" s="2">
        <v>19.0</v>
      </c>
      <c r="B20" s="18"/>
      <c r="C20" s="20">
        <v>61098.0</v>
      </c>
      <c r="D20" s="12" t="s">
        <v>51</v>
      </c>
      <c r="E20" s="12" t="s">
        <v>61</v>
      </c>
      <c r="F20" s="13"/>
      <c r="G20" s="6" t="b">
        <v>1</v>
      </c>
      <c r="H20" s="6" t="b">
        <v>1</v>
      </c>
      <c r="I20" s="6" t="b">
        <v>0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0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9" t="str">
        <f t="shared" si="1"/>
        <v>12 dari 31 (39%)</v>
      </c>
    </row>
    <row r="21" ht="22.5" customHeight="1">
      <c r="A21" s="10">
        <v>20.0</v>
      </c>
      <c r="B21" s="11"/>
      <c r="C21" s="20">
        <v>37859.0</v>
      </c>
      <c r="D21" s="12" t="s">
        <v>63</v>
      </c>
      <c r="E21" s="12" t="s">
        <v>87</v>
      </c>
      <c r="F21" s="13"/>
      <c r="G21" s="16" t="b">
        <v>1</v>
      </c>
      <c r="H21" s="16" t="b">
        <v>1</v>
      </c>
      <c r="I21" s="16" t="b">
        <v>1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1</v>
      </c>
      <c r="AJ21" s="16" t="b">
        <v>0</v>
      </c>
      <c r="AK21" s="16" t="b">
        <v>0</v>
      </c>
      <c r="AL21" s="17" t="str">
        <f t="shared" si="1"/>
        <v>15 dari 31 (48%)</v>
      </c>
    </row>
    <row r="22" ht="22.5" customHeight="1">
      <c r="A22" s="2">
        <v>21.0</v>
      </c>
      <c r="B22" s="18"/>
      <c r="C22" s="20">
        <v>59833.0</v>
      </c>
      <c r="D22" s="12" t="s">
        <v>63</v>
      </c>
      <c r="E22" s="12" t="s">
        <v>87</v>
      </c>
      <c r="F22" s="13"/>
      <c r="G22" s="6" t="b">
        <v>1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1</v>
      </c>
      <c r="AJ22" s="6" t="b">
        <v>0</v>
      </c>
      <c r="AK22" s="6" t="b">
        <v>0</v>
      </c>
      <c r="AL22" s="9" t="str">
        <f t="shared" si="1"/>
        <v>15 dari 31 (48%)</v>
      </c>
    </row>
    <row r="23" ht="22.5" customHeight="1">
      <c r="A23" s="10">
        <v>22.0</v>
      </c>
      <c r="B23" s="11"/>
      <c r="C23" s="20">
        <v>61106.0</v>
      </c>
      <c r="D23" s="12" t="s">
        <v>63</v>
      </c>
      <c r="E23" s="12" t="s">
        <v>87</v>
      </c>
      <c r="F23" s="13"/>
      <c r="G23" s="16" t="b">
        <v>1</v>
      </c>
      <c r="H23" s="16" t="b">
        <v>1</v>
      </c>
      <c r="I23" s="16" t="b">
        <v>0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1</v>
      </c>
      <c r="AJ23" s="16" t="b">
        <v>0</v>
      </c>
      <c r="AK23" s="16" t="b">
        <v>0</v>
      </c>
      <c r="AL23" s="17" t="str">
        <f t="shared" si="1"/>
        <v>14 dari 31 (45%)</v>
      </c>
    </row>
    <row r="24" ht="22.5" customHeight="1">
      <c r="A24" s="2">
        <v>23.0</v>
      </c>
      <c r="B24" s="18"/>
      <c r="C24" s="20">
        <v>59813.0</v>
      </c>
      <c r="D24" s="12" t="s">
        <v>63</v>
      </c>
      <c r="E24" s="12" t="s">
        <v>87</v>
      </c>
      <c r="F24" s="13"/>
      <c r="G24" s="6" t="b">
        <v>1</v>
      </c>
      <c r="H24" s="6" t="b">
        <v>1</v>
      </c>
      <c r="I24" s="6" t="b">
        <v>1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1</v>
      </c>
      <c r="AJ24" s="6" t="b">
        <v>0</v>
      </c>
      <c r="AK24" s="6" t="b">
        <v>0</v>
      </c>
      <c r="AL24" s="9" t="str">
        <f t="shared" si="1"/>
        <v>15 dari 31 (48%)</v>
      </c>
    </row>
    <row r="25" ht="22.5" customHeight="1">
      <c r="A25" s="10">
        <v>24.0</v>
      </c>
      <c r="B25" s="11"/>
      <c r="C25" s="20">
        <v>60291.0</v>
      </c>
      <c r="D25" s="12" t="s">
        <v>63</v>
      </c>
      <c r="E25" s="12" t="s">
        <v>87</v>
      </c>
      <c r="F25" s="13"/>
      <c r="G25" s="16" t="b">
        <v>1</v>
      </c>
      <c r="H25" s="16" t="b">
        <v>1</v>
      </c>
      <c r="I25" s="16" t="b">
        <v>1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1</v>
      </c>
      <c r="AJ25" s="16" t="b">
        <v>0</v>
      </c>
      <c r="AK25" s="16" t="b">
        <v>0</v>
      </c>
      <c r="AL25" s="17" t="str">
        <f t="shared" si="1"/>
        <v>15 dari 31 (48%)</v>
      </c>
    </row>
    <row r="26" ht="22.5" customHeight="1">
      <c r="A26" s="2">
        <v>25.0</v>
      </c>
      <c r="B26" s="18"/>
      <c r="C26" s="20">
        <v>60679.0</v>
      </c>
      <c r="D26" s="12" t="s">
        <v>63</v>
      </c>
      <c r="E26" s="12" t="s">
        <v>87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1</v>
      </c>
      <c r="AJ26" s="6" t="b">
        <v>0</v>
      </c>
      <c r="AK26" s="6" t="b">
        <v>0</v>
      </c>
      <c r="AL26" s="9" t="str">
        <f t="shared" si="1"/>
        <v>15 dari 31 (48%)</v>
      </c>
    </row>
    <row r="27" ht="22.5" customHeight="1">
      <c r="A27" s="10">
        <v>26.0</v>
      </c>
      <c r="B27" s="11"/>
      <c r="C27" s="22">
        <v>60050.0</v>
      </c>
      <c r="D27" s="12" t="s">
        <v>63</v>
      </c>
      <c r="E27" s="12" t="s">
        <v>87</v>
      </c>
      <c r="F27" s="13"/>
      <c r="G27" s="16" t="b">
        <v>1</v>
      </c>
      <c r="H27" s="16" t="b">
        <v>1</v>
      </c>
      <c r="I27" s="16" t="b">
        <v>1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1</v>
      </c>
      <c r="AJ27" s="16" t="b">
        <v>0</v>
      </c>
      <c r="AK27" s="16" t="b">
        <v>0</v>
      </c>
      <c r="AL27" s="17" t="str">
        <f t="shared" si="1"/>
        <v>15 dari 31 (48%)</v>
      </c>
    </row>
    <row r="28" ht="22.5" customHeight="1">
      <c r="A28" s="2">
        <v>27.0</v>
      </c>
      <c r="B28" s="18"/>
      <c r="C28" s="22">
        <v>56766.0</v>
      </c>
      <c r="D28" s="12" t="s">
        <v>63</v>
      </c>
      <c r="E28" s="12" t="s">
        <v>87</v>
      </c>
      <c r="F28" s="13"/>
      <c r="G28" s="6" t="b">
        <v>1</v>
      </c>
      <c r="H28" s="6" t="b">
        <v>1</v>
      </c>
      <c r="I28" s="6" t="b">
        <v>1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0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1</v>
      </c>
      <c r="AJ28" s="6" t="b">
        <v>0</v>
      </c>
      <c r="AK28" s="6" t="b">
        <v>0</v>
      </c>
      <c r="AL28" s="9" t="str">
        <f t="shared" si="1"/>
        <v>14 dari 31 (45%)</v>
      </c>
    </row>
    <row r="29" ht="22.5" customHeight="1">
      <c r="A29" s="10">
        <v>28.0</v>
      </c>
      <c r="B29" s="11"/>
      <c r="C29" s="22">
        <v>60971.0</v>
      </c>
      <c r="D29" s="12" t="s">
        <v>63</v>
      </c>
      <c r="E29" s="12" t="s">
        <v>87</v>
      </c>
      <c r="F29" s="13"/>
      <c r="G29" s="1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1</v>
      </c>
      <c r="AJ29" s="16" t="b">
        <v>0</v>
      </c>
      <c r="AK29" s="16" t="b">
        <v>0</v>
      </c>
      <c r="AL29" s="17" t="str">
        <f t="shared" si="1"/>
        <v>15 dari 31 (48%)</v>
      </c>
    </row>
    <row r="30" ht="22.5" customHeight="1">
      <c r="A30" s="2">
        <v>29.0</v>
      </c>
      <c r="B30" s="18"/>
      <c r="C30" s="22">
        <v>60002.0</v>
      </c>
      <c r="D30" s="12" t="s">
        <v>63</v>
      </c>
      <c r="E30" s="12" t="s">
        <v>87</v>
      </c>
      <c r="F30" s="13"/>
      <c r="G30" s="6" t="b">
        <v>1</v>
      </c>
      <c r="H30" s="6" t="b">
        <v>1</v>
      </c>
      <c r="I30" s="6" t="b">
        <v>1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0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1</v>
      </c>
      <c r="AJ30" s="6" t="b">
        <v>0</v>
      </c>
      <c r="AK30" s="6" t="b">
        <v>0</v>
      </c>
      <c r="AL30" s="9" t="str">
        <f t="shared" si="1"/>
        <v>14 dari 31 (45%)</v>
      </c>
    </row>
    <row r="31" ht="22.5" customHeight="1">
      <c r="A31" s="10">
        <v>30.0</v>
      </c>
      <c r="B31" s="11"/>
      <c r="C31" s="22">
        <v>31608.0</v>
      </c>
      <c r="D31" s="12" t="s">
        <v>63</v>
      </c>
      <c r="E31" s="12" t="s">
        <v>87</v>
      </c>
      <c r="F31" s="13"/>
      <c r="G31" s="16" t="b">
        <v>1</v>
      </c>
      <c r="H31" s="16" t="b">
        <v>1</v>
      </c>
      <c r="I31" s="16" t="b">
        <v>1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0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14 dari 31 (45%)</v>
      </c>
    </row>
    <row r="32" ht="22.5" customHeight="1">
      <c r="A32" s="2">
        <v>31.0</v>
      </c>
      <c r="B32" s="18"/>
      <c r="C32" s="20">
        <v>59021.0</v>
      </c>
      <c r="D32" s="12" t="s">
        <v>63</v>
      </c>
      <c r="E32" s="12" t="s">
        <v>64</v>
      </c>
      <c r="F32" s="13"/>
      <c r="G32" s="6" t="b">
        <v>1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1</v>
      </c>
      <c r="AJ32" s="6" t="b">
        <v>0</v>
      </c>
      <c r="AK32" s="6" t="b">
        <v>0</v>
      </c>
      <c r="AL32" s="9" t="str">
        <f t="shared" si="1"/>
        <v>15 dari 31 (48%)</v>
      </c>
    </row>
    <row r="33" ht="22.5" customHeight="1">
      <c r="A33" s="10">
        <v>32.0</v>
      </c>
      <c r="B33" s="11"/>
      <c r="C33" s="20">
        <v>61108.0</v>
      </c>
      <c r="D33" s="12" t="s">
        <v>63</v>
      </c>
      <c r="E33" s="12" t="s">
        <v>112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15 dari 31 (48%)</v>
      </c>
    </row>
    <row r="34" ht="22.5" customHeight="1">
      <c r="A34" s="2">
        <v>33.0</v>
      </c>
      <c r="B34" s="18"/>
      <c r="C34" s="20">
        <v>60492.0</v>
      </c>
      <c r="D34" s="12" t="s">
        <v>63</v>
      </c>
      <c r="E34" s="12" t="s">
        <v>64</v>
      </c>
      <c r="F34" s="13"/>
      <c r="G34" s="6" t="b">
        <v>1</v>
      </c>
      <c r="H34" s="6" t="b">
        <v>1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1"/>
        <v>15 dari 31 (48%)</v>
      </c>
    </row>
    <row r="35" ht="22.5" customHeight="1">
      <c r="A35" s="93">
        <v>34.0</v>
      </c>
      <c r="B35" s="94"/>
      <c r="C35" s="95">
        <v>25647.0</v>
      </c>
      <c r="D35" s="96" t="s">
        <v>63</v>
      </c>
      <c r="E35" s="96" t="s">
        <v>87</v>
      </c>
      <c r="F35" s="97"/>
      <c r="G35" s="98" t="b">
        <v>0</v>
      </c>
      <c r="H35" s="98" t="b">
        <v>0</v>
      </c>
      <c r="I35" s="98" t="b">
        <v>0</v>
      </c>
      <c r="J35" s="98" t="b">
        <v>0</v>
      </c>
      <c r="K35" s="98" t="b">
        <v>0</v>
      </c>
      <c r="L35" s="98" t="b">
        <v>0</v>
      </c>
      <c r="M35" s="98" t="b">
        <v>0</v>
      </c>
      <c r="N35" s="98" t="b">
        <v>0</v>
      </c>
      <c r="O35" s="98" t="b">
        <v>0</v>
      </c>
      <c r="P35" s="98" t="b">
        <v>0</v>
      </c>
      <c r="Q35" s="98" t="b">
        <v>0</v>
      </c>
      <c r="R35" s="98" t="b">
        <v>0</v>
      </c>
      <c r="S35" s="98" t="b">
        <v>0</v>
      </c>
      <c r="T35" s="98" t="b">
        <v>0</v>
      </c>
      <c r="U35" s="98" t="b">
        <v>0</v>
      </c>
      <c r="V35" s="98" t="b">
        <v>0</v>
      </c>
      <c r="W35" s="98" t="b">
        <v>0</v>
      </c>
      <c r="X35" s="98" t="b">
        <v>0</v>
      </c>
      <c r="Y35" s="98" t="b">
        <v>0</v>
      </c>
      <c r="Z35" s="98" t="b">
        <v>0</v>
      </c>
      <c r="AA35" s="98" t="b">
        <v>0</v>
      </c>
      <c r="AB35" s="98" t="b">
        <v>0</v>
      </c>
      <c r="AC35" s="98" t="b">
        <v>0</v>
      </c>
      <c r="AD35" s="98" t="b">
        <v>0</v>
      </c>
      <c r="AE35" s="98" t="b">
        <v>0</v>
      </c>
      <c r="AF35" s="98" t="b">
        <v>0</v>
      </c>
      <c r="AG35" s="98" t="b">
        <v>0</v>
      </c>
      <c r="AH35" s="98" t="b">
        <v>0</v>
      </c>
      <c r="AI35" s="98" t="b">
        <v>0</v>
      </c>
      <c r="AJ35" s="98" t="b">
        <v>0</v>
      </c>
      <c r="AK35" s="98" t="b">
        <v>0</v>
      </c>
      <c r="AL35" s="99" t="str">
        <f t="shared" si="1"/>
        <v>0 dari 31 (0%)</v>
      </c>
    </row>
    <row r="36" ht="22.5" customHeight="1">
      <c r="A36" s="2">
        <v>35.0</v>
      </c>
      <c r="B36" s="18"/>
      <c r="C36" s="22">
        <v>57811.0</v>
      </c>
      <c r="D36" s="12" t="s">
        <v>63</v>
      </c>
      <c r="E36" s="12" t="s">
        <v>87</v>
      </c>
      <c r="F36" s="13"/>
      <c r="G36" s="6" t="b">
        <v>1</v>
      </c>
      <c r="H36" s="6" t="b">
        <v>1</v>
      </c>
      <c r="I36" s="6" t="b">
        <v>1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0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14 dari 31 (45%)</v>
      </c>
    </row>
    <row r="37" ht="22.5" customHeight="1">
      <c r="A37" s="10">
        <v>36.0</v>
      </c>
      <c r="B37" s="11"/>
      <c r="C37" s="22">
        <v>32254.0</v>
      </c>
      <c r="D37" s="12" t="s">
        <v>63</v>
      </c>
      <c r="E37" s="12" t="s">
        <v>64</v>
      </c>
      <c r="F37" s="13"/>
      <c r="G37" s="16" t="b">
        <v>1</v>
      </c>
      <c r="H37" s="16" t="b">
        <v>1</v>
      </c>
      <c r="I37" s="16" t="b">
        <v>1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0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14 dari 31 (45%)</v>
      </c>
    </row>
    <row r="38" ht="22.5" customHeight="1">
      <c r="A38" s="100">
        <v>37.0</v>
      </c>
      <c r="B38" s="101"/>
      <c r="C38" s="111">
        <v>46047.0</v>
      </c>
      <c r="D38" s="103" t="s">
        <v>63</v>
      </c>
      <c r="E38" s="103" t="s">
        <v>87</v>
      </c>
      <c r="F38" s="104"/>
      <c r="G38" s="105" t="b">
        <v>1</v>
      </c>
      <c r="H38" s="105" t="b">
        <v>1</v>
      </c>
      <c r="I38" s="105" t="b">
        <v>1</v>
      </c>
      <c r="J38" s="105" t="b">
        <v>1</v>
      </c>
      <c r="K38" s="105" t="b">
        <v>1</v>
      </c>
      <c r="L38" s="105" t="b">
        <v>1</v>
      </c>
      <c r="M38" s="105" t="b">
        <v>1</v>
      </c>
      <c r="N38" s="105" t="b">
        <v>1</v>
      </c>
      <c r="O38" s="105" t="b">
        <v>1</v>
      </c>
      <c r="P38" s="105" t="b">
        <v>1</v>
      </c>
      <c r="Q38" s="105" t="b">
        <v>1</v>
      </c>
      <c r="R38" s="105" t="b">
        <v>1</v>
      </c>
      <c r="S38" s="105" t="b">
        <v>1</v>
      </c>
      <c r="T38" s="105" t="b">
        <v>1</v>
      </c>
      <c r="U38" s="105" t="b">
        <v>0</v>
      </c>
      <c r="V38" s="105" t="b">
        <v>0</v>
      </c>
      <c r="W38" s="105" t="b">
        <v>0</v>
      </c>
      <c r="X38" s="105" t="b">
        <v>0</v>
      </c>
      <c r="Y38" s="105" t="b">
        <v>0</v>
      </c>
      <c r="Z38" s="105" t="b">
        <v>0</v>
      </c>
      <c r="AA38" s="105" t="b">
        <v>0</v>
      </c>
      <c r="AB38" s="105" t="b">
        <v>0</v>
      </c>
      <c r="AC38" s="105" t="b">
        <v>0</v>
      </c>
      <c r="AD38" s="105" t="b">
        <v>0</v>
      </c>
      <c r="AE38" s="105" t="b">
        <v>0</v>
      </c>
      <c r="AF38" s="105" t="b">
        <v>0</v>
      </c>
      <c r="AG38" s="105" t="b">
        <v>0</v>
      </c>
      <c r="AH38" s="105" t="b">
        <v>0</v>
      </c>
      <c r="AI38" s="105" t="b">
        <v>1</v>
      </c>
      <c r="AJ38" s="105" t="b">
        <v>0</v>
      </c>
      <c r="AK38" s="105" t="b">
        <v>0</v>
      </c>
      <c r="AL38" s="106" t="str">
        <f t="shared" si="1"/>
        <v>15 dari 31 (48%)</v>
      </c>
    </row>
    <row r="39" ht="22.5" customHeight="1">
      <c r="A39" s="10">
        <v>38.0</v>
      </c>
      <c r="B39" s="11"/>
      <c r="C39" s="22">
        <v>60563.0</v>
      </c>
      <c r="D39" s="12" t="s">
        <v>80</v>
      </c>
      <c r="E39" s="12" t="s">
        <v>49</v>
      </c>
      <c r="F39" s="15" t="s">
        <v>50</v>
      </c>
      <c r="G39" s="16" t="b">
        <v>1</v>
      </c>
      <c r="H39" s="16" t="b">
        <v>1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0</v>
      </c>
      <c r="O39" s="16" t="b">
        <v>0</v>
      </c>
      <c r="P39" s="16" t="b">
        <v>0</v>
      </c>
      <c r="Q39" s="16" t="b">
        <v>0</v>
      </c>
      <c r="R39" s="16" t="b">
        <v>0</v>
      </c>
      <c r="S39" s="16" t="b">
        <v>0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2 dari 31 (6%)</v>
      </c>
    </row>
    <row r="40" ht="22.5" customHeight="1">
      <c r="A40" s="2">
        <v>39.0</v>
      </c>
      <c r="B40" s="18"/>
      <c r="C40" s="22">
        <v>60501.0</v>
      </c>
      <c r="D40" s="12" t="s">
        <v>63</v>
      </c>
      <c r="E40" s="12" t="s">
        <v>87</v>
      </c>
      <c r="F40" s="13"/>
      <c r="G40" s="6" t="b">
        <v>1</v>
      </c>
      <c r="H40" s="6" t="b">
        <v>1</v>
      </c>
      <c r="I40" s="6" t="b">
        <v>1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14 dari 31 (45%)</v>
      </c>
    </row>
    <row r="41" ht="22.5" customHeight="1">
      <c r="A41" s="10">
        <v>40.0</v>
      </c>
      <c r="B41" s="11"/>
      <c r="C41" s="22">
        <v>60421.0</v>
      </c>
      <c r="D41" s="12" t="s">
        <v>63</v>
      </c>
      <c r="E41" s="12" t="s">
        <v>64</v>
      </c>
      <c r="F41" s="15" t="s">
        <v>50</v>
      </c>
      <c r="G41" s="16" t="b">
        <v>1</v>
      </c>
      <c r="H41" s="16" t="b">
        <v>1</v>
      </c>
      <c r="I41" s="16" t="b">
        <v>0</v>
      </c>
      <c r="J41" s="16" t="b">
        <v>0</v>
      </c>
      <c r="K41" s="16" t="b">
        <v>0</v>
      </c>
      <c r="L41" s="16" t="b">
        <v>0</v>
      </c>
      <c r="M41" s="16" t="b">
        <v>0</v>
      </c>
      <c r="N41" s="16" t="b">
        <v>0</v>
      </c>
      <c r="O41" s="16" t="b">
        <v>0</v>
      </c>
      <c r="P41" s="16" t="b">
        <v>0</v>
      </c>
      <c r="Q41" s="16" t="b">
        <v>0</v>
      </c>
      <c r="R41" s="16" t="b">
        <v>0</v>
      </c>
      <c r="S41" s="16" t="b">
        <v>0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7" t="str">
        <f t="shared" si="1"/>
        <v>2 dari 31 (6%)</v>
      </c>
    </row>
    <row r="42" ht="22.5" customHeight="1">
      <c r="A42" s="2">
        <v>41.0</v>
      </c>
      <c r="B42" s="18"/>
      <c r="C42" s="22">
        <v>59402.0</v>
      </c>
      <c r="D42" s="12" t="s">
        <v>63</v>
      </c>
      <c r="E42" s="12" t="s">
        <v>64</v>
      </c>
      <c r="F42" s="15" t="s">
        <v>50</v>
      </c>
      <c r="G42" s="6" t="b">
        <v>1</v>
      </c>
      <c r="H42" s="6" t="b">
        <v>0</v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6" t="b">
        <v>0</v>
      </c>
      <c r="R42" s="6" t="b">
        <v>0</v>
      </c>
      <c r="S42" s="6" t="b">
        <v>0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1 dari 31 (3%)</v>
      </c>
    </row>
    <row r="43" ht="22.5" customHeight="1">
      <c r="A43" s="10">
        <v>42.0</v>
      </c>
      <c r="B43" s="11"/>
      <c r="C43" s="22">
        <v>59462.0</v>
      </c>
      <c r="D43" s="12" t="s">
        <v>63</v>
      </c>
      <c r="E43" s="12" t="s">
        <v>64</v>
      </c>
      <c r="F43" s="13"/>
      <c r="G43" s="16" t="b">
        <v>1</v>
      </c>
      <c r="H43" s="16" t="b">
        <v>1</v>
      </c>
      <c r="I43" s="16" t="b">
        <v>1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1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1</v>
      </c>
      <c r="AJ43" s="16" t="b">
        <v>0</v>
      </c>
      <c r="AK43" s="16" t="b">
        <v>0</v>
      </c>
      <c r="AL43" s="17" t="str">
        <f t="shared" si="1"/>
        <v>15 dari 31 (48%)</v>
      </c>
    </row>
    <row r="44" ht="22.5" customHeight="1">
      <c r="A44" s="2">
        <v>43.0</v>
      </c>
      <c r="B44" s="18"/>
      <c r="C44" s="22">
        <v>32420.0</v>
      </c>
      <c r="D44" s="12" t="s">
        <v>63</v>
      </c>
      <c r="E44" s="12" t="s">
        <v>64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1</v>
      </c>
      <c r="AJ44" s="6" t="b">
        <v>0</v>
      </c>
      <c r="AK44" s="6" t="b">
        <v>0</v>
      </c>
      <c r="AL44" s="9" t="str">
        <f t="shared" si="1"/>
        <v>15 dari 31 (48%)</v>
      </c>
    </row>
    <row r="45" ht="22.5" customHeight="1">
      <c r="A45" s="10">
        <v>44.0</v>
      </c>
      <c r="B45" s="11"/>
      <c r="C45" s="22">
        <v>60268.0</v>
      </c>
      <c r="D45" s="12" t="s">
        <v>63</v>
      </c>
      <c r="E45" s="12" t="s">
        <v>64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15 dari 31 (48%)</v>
      </c>
    </row>
    <row r="46" ht="22.5" customHeight="1">
      <c r="A46" s="2">
        <v>45.0</v>
      </c>
      <c r="B46" s="18"/>
      <c r="C46" s="22">
        <v>59701.0</v>
      </c>
      <c r="D46" s="12" t="s">
        <v>63</v>
      </c>
      <c r="E46" s="12" t="s">
        <v>64</v>
      </c>
      <c r="F46" s="13"/>
      <c r="G46" s="6" t="b">
        <v>1</v>
      </c>
      <c r="H46" s="6" t="b">
        <v>1</v>
      </c>
      <c r="I46" s="6" t="b">
        <v>1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0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1</v>
      </c>
      <c r="AJ46" s="6" t="b">
        <v>0</v>
      </c>
      <c r="AK46" s="6" t="b">
        <v>0</v>
      </c>
      <c r="AL46" s="9" t="str">
        <f t="shared" si="1"/>
        <v>14 dari 31 (45%)</v>
      </c>
    </row>
    <row r="47" ht="22.5" customHeight="1">
      <c r="A47" s="10">
        <v>46.0</v>
      </c>
      <c r="B47" s="11"/>
      <c r="C47" s="22">
        <v>39836.0</v>
      </c>
      <c r="D47" s="12" t="s">
        <v>63</v>
      </c>
      <c r="E47" s="12" t="s">
        <v>64</v>
      </c>
      <c r="F47" s="15" t="s">
        <v>50</v>
      </c>
      <c r="G47" s="16" t="b">
        <v>1</v>
      </c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6" t="b">
        <v>0</v>
      </c>
      <c r="R47" s="16" t="b">
        <v>0</v>
      </c>
      <c r="S47" s="16" t="b">
        <v>0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7" t="str">
        <f t="shared" si="1"/>
        <v>1 dari 31 (3%)</v>
      </c>
    </row>
    <row r="48" ht="22.5" customHeight="1">
      <c r="A48" s="10">
        <v>47.0</v>
      </c>
      <c r="B48" s="18"/>
      <c r="C48" s="22">
        <v>59913.0</v>
      </c>
      <c r="D48" s="12" t="s">
        <v>63</v>
      </c>
      <c r="E48" s="12" t="s">
        <v>64</v>
      </c>
      <c r="F48" s="13"/>
      <c r="G48" s="6" t="b">
        <v>1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1</v>
      </c>
      <c r="AJ48" s="6" t="b">
        <v>0</v>
      </c>
      <c r="AK48" s="6" t="b">
        <v>0</v>
      </c>
      <c r="AL48" s="9" t="str">
        <f t="shared" si="1"/>
        <v>15 dari 31 (48%)</v>
      </c>
    </row>
    <row r="49" ht="22.5" customHeight="1">
      <c r="A49" s="2">
        <v>48.0</v>
      </c>
      <c r="B49" s="11"/>
      <c r="C49" s="22">
        <v>54334.0</v>
      </c>
      <c r="D49" s="12" t="s">
        <v>63</v>
      </c>
      <c r="E49" s="12" t="s">
        <v>64</v>
      </c>
      <c r="F49" s="13"/>
      <c r="G49" s="16" t="b">
        <v>1</v>
      </c>
      <c r="H49" s="16" t="b">
        <v>1</v>
      </c>
      <c r="I49" s="16" t="b">
        <v>1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15 dari 31 (48%)</v>
      </c>
    </row>
    <row r="50" ht="22.5" customHeight="1">
      <c r="A50" s="10">
        <v>49.0</v>
      </c>
      <c r="B50" s="11"/>
      <c r="C50" s="22">
        <v>59811.0</v>
      </c>
      <c r="D50" s="12" t="s">
        <v>63</v>
      </c>
      <c r="E50" s="12" t="s">
        <v>64</v>
      </c>
      <c r="F50" s="13"/>
      <c r="G50" s="6" t="b">
        <v>1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1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1</v>
      </c>
      <c r="AJ50" s="6" t="b">
        <v>0</v>
      </c>
      <c r="AK50" s="6" t="b">
        <v>0</v>
      </c>
      <c r="AL50" s="9" t="str">
        <f t="shared" si="1"/>
        <v>15 dari 31 (48%)</v>
      </c>
    </row>
    <row r="51" ht="22.5" customHeight="1">
      <c r="A51" s="10">
        <v>50.0</v>
      </c>
      <c r="B51" s="11"/>
      <c r="C51" s="22">
        <v>61091.0</v>
      </c>
      <c r="D51" s="12" t="s">
        <v>63</v>
      </c>
      <c r="E51" s="12" t="s">
        <v>64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1</v>
      </c>
      <c r="AJ51" s="6" t="b">
        <v>0</v>
      </c>
      <c r="AK51" s="6" t="b">
        <v>0</v>
      </c>
      <c r="AL51" s="17" t="str">
        <f t="shared" si="1"/>
        <v>15 dari 31 (48%)</v>
      </c>
    </row>
    <row r="52" ht="22.5" customHeight="1">
      <c r="A52" s="2">
        <v>51.0</v>
      </c>
      <c r="B52" s="11"/>
      <c r="C52" s="20">
        <v>61031.0</v>
      </c>
      <c r="D52" s="12" t="s">
        <v>63</v>
      </c>
      <c r="E52" s="12" t="s">
        <v>64</v>
      </c>
      <c r="F52" s="15" t="s">
        <v>50</v>
      </c>
      <c r="G52" s="6" t="b">
        <v>1</v>
      </c>
      <c r="H52" s="6" t="b">
        <v>0</v>
      </c>
      <c r="I52" s="6" t="b">
        <v>0</v>
      </c>
      <c r="J52" s="6" t="b">
        <v>0</v>
      </c>
      <c r="K52" s="6" t="b">
        <v>0</v>
      </c>
      <c r="L52" s="6" t="b">
        <v>0</v>
      </c>
      <c r="M52" s="6" t="b">
        <v>0</v>
      </c>
      <c r="N52" s="6" t="b">
        <v>0</v>
      </c>
      <c r="O52" s="6" t="b">
        <v>0</v>
      </c>
      <c r="P52" s="6" t="b">
        <v>0</v>
      </c>
      <c r="Q52" s="6" t="b">
        <v>0</v>
      </c>
      <c r="R52" s="6" t="b">
        <v>0</v>
      </c>
      <c r="S52" s="6" t="b">
        <v>0</v>
      </c>
      <c r="T52" s="6" t="b">
        <v>0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0</v>
      </c>
      <c r="AJ52" s="6" t="b">
        <v>0</v>
      </c>
      <c r="AK52" s="6" t="b">
        <v>0</v>
      </c>
      <c r="AL52" s="9" t="str">
        <f t="shared" si="1"/>
        <v>1 dari 31 (3%)</v>
      </c>
    </row>
    <row r="53" ht="22.5" customHeight="1">
      <c r="A53" s="10">
        <v>52.0</v>
      </c>
      <c r="B53" s="11"/>
      <c r="C53" s="20">
        <v>60495.0</v>
      </c>
      <c r="D53" s="12" t="s">
        <v>63</v>
      </c>
      <c r="E53" s="12" t="s">
        <v>64</v>
      </c>
      <c r="F53" s="13"/>
      <c r="G53" s="6" t="b">
        <v>1</v>
      </c>
      <c r="H53" s="6" t="b">
        <v>1</v>
      </c>
      <c r="I53" s="6" t="b">
        <v>1</v>
      </c>
      <c r="J53" s="6" t="b">
        <v>1</v>
      </c>
      <c r="K53" s="6" t="b">
        <v>1</v>
      </c>
      <c r="L53" s="6" t="b">
        <v>1</v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b">
        <v>1</v>
      </c>
      <c r="T53" s="6" t="b">
        <v>1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1</v>
      </c>
      <c r="AJ53" s="6" t="b">
        <v>0</v>
      </c>
      <c r="AK53" s="6" t="b">
        <v>0</v>
      </c>
      <c r="AL53" s="9" t="str">
        <f t="shared" si="1"/>
        <v>15 dari 31 (48%)</v>
      </c>
    </row>
    <row r="54" ht="22.5" customHeight="1">
      <c r="A54" s="10">
        <v>53.0</v>
      </c>
      <c r="B54" s="11"/>
      <c r="C54" s="20">
        <v>40902.0</v>
      </c>
      <c r="D54" s="12" t="s">
        <v>63</v>
      </c>
      <c r="E54" s="12" t="s">
        <v>64</v>
      </c>
      <c r="F54" s="15" t="s">
        <v>50</v>
      </c>
      <c r="G54" s="6" t="b">
        <v>1</v>
      </c>
      <c r="H54" s="6" t="b">
        <v>0</v>
      </c>
      <c r="I54" s="6" t="b">
        <v>0</v>
      </c>
      <c r="J54" s="6" t="b">
        <v>0</v>
      </c>
      <c r="K54" s="6" t="b">
        <v>0</v>
      </c>
      <c r="L54" s="6" t="b">
        <v>0</v>
      </c>
      <c r="M54" s="6" t="b">
        <v>0</v>
      </c>
      <c r="N54" s="6" t="b">
        <v>0</v>
      </c>
      <c r="O54" s="6" t="b">
        <v>0</v>
      </c>
      <c r="P54" s="6" t="b">
        <v>0</v>
      </c>
      <c r="Q54" s="6" t="b">
        <v>0</v>
      </c>
      <c r="R54" s="6" t="b">
        <v>0</v>
      </c>
      <c r="S54" s="6" t="b">
        <v>0</v>
      </c>
      <c r="T54" s="6" t="b">
        <v>0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0</v>
      </c>
      <c r="AJ54" s="6" t="b">
        <v>0</v>
      </c>
      <c r="AK54" s="6" t="b">
        <v>0</v>
      </c>
      <c r="AL54" s="17" t="str">
        <f t="shared" si="1"/>
        <v>1 dari 31 (3%)</v>
      </c>
    </row>
    <row r="55" ht="22.5" customHeight="1">
      <c r="A55" s="2">
        <v>54.0</v>
      </c>
      <c r="B55" s="11"/>
      <c r="C55" s="20">
        <v>59238.0</v>
      </c>
      <c r="D55" s="12" t="s">
        <v>63</v>
      </c>
      <c r="E55" s="12" t="s">
        <v>64</v>
      </c>
      <c r="F55" s="15" t="s">
        <v>50</v>
      </c>
      <c r="G55" s="6" t="b">
        <v>1</v>
      </c>
      <c r="H55" s="6" t="b">
        <v>0</v>
      </c>
      <c r="I55" s="6" t="b">
        <v>0</v>
      </c>
      <c r="J55" s="6" t="b">
        <v>0</v>
      </c>
      <c r="K55" s="6" t="b">
        <v>0</v>
      </c>
      <c r="L55" s="6" t="b">
        <v>0</v>
      </c>
      <c r="M55" s="6" t="b">
        <v>0</v>
      </c>
      <c r="N55" s="6" t="b">
        <v>0</v>
      </c>
      <c r="O55" s="6" t="b">
        <v>0</v>
      </c>
      <c r="P55" s="6" t="b">
        <v>0</v>
      </c>
      <c r="Q55" s="6" t="b">
        <v>0</v>
      </c>
      <c r="R55" s="6" t="b">
        <v>0</v>
      </c>
      <c r="S55" s="6" t="b">
        <v>0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0</v>
      </c>
      <c r="AJ55" s="6" t="b">
        <v>0</v>
      </c>
      <c r="AK55" s="6" t="b">
        <v>0</v>
      </c>
      <c r="AL55" s="9" t="str">
        <f t="shared" si="1"/>
        <v>1 dari 31 (3%)</v>
      </c>
    </row>
    <row r="56" ht="22.5" customHeight="1">
      <c r="A56" s="61">
        <v>55.0</v>
      </c>
      <c r="B56" s="62"/>
      <c r="C56" s="60">
        <v>52091.0</v>
      </c>
      <c r="D56" s="51" t="s">
        <v>63</v>
      </c>
      <c r="E56" s="51" t="s">
        <v>64</v>
      </c>
      <c r="F56" s="53"/>
      <c r="G56" s="35" t="b">
        <v>0</v>
      </c>
      <c r="H56" s="35" t="b">
        <v>0</v>
      </c>
      <c r="I56" s="35" t="b">
        <v>0</v>
      </c>
      <c r="J56" s="35" t="b">
        <v>0</v>
      </c>
      <c r="K56" s="35" t="b">
        <v>0</v>
      </c>
      <c r="L56" s="35" t="b">
        <v>0</v>
      </c>
      <c r="M56" s="35" t="b">
        <v>0</v>
      </c>
      <c r="N56" s="35" t="b">
        <v>0</v>
      </c>
      <c r="O56" s="35" t="b">
        <v>0</v>
      </c>
      <c r="P56" s="35" t="b">
        <v>0</v>
      </c>
      <c r="Q56" s="35" t="b">
        <v>0</v>
      </c>
      <c r="R56" s="35" t="b">
        <v>0</v>
      </c>
      <c r="S56" s="35" t="b">
        <v>0</v>
      </c>
      <c r="T56" s="35" t="b">
        <v>0</v>
      </c>
      <c r="U56" s="35" t="b">
        <v>0</v>
      </c>
      <c r="V56" s="35" t="b">
        <v>0</v>
      </c>
      <c r="W56" s="35" t="b">
        <v>0</v>
      </c>
      <c r="X56" s="35" t="b">
        <v>0</v>
      </c>
      <c r="Y56" s="35" t="b">
        <v>0</v>
      </c>
      <c r="Z56" s="35" t="b">
        <v>0</v>
      </c>
      <c r="AA56" s="35" t="b">
        <v>0</v>
      </c>
      <c r="AB56" s="35" t="b">
        <v>0</v>
      </c>
      <c r="AC56" s="35" t="b">
        <v>0</v>
      </c>
      <c r="AD56" s="35" t="b">
        <v>0</v>
      </c>
      <c r="AE56" s="35" t="b">
        <v>0</v>
      </c>
      <c r="AF56" s="35" t="b">
        <v>0</v>
      </c>
      <c r="AG56" s="35" t="b">
        <v>0</v>
      </c>
      <c r="AH56" s="35" t="b">
        <v>0</v>
      </c>
      <c r="AI56" s="35" t="b">
        <v>0</v>
      </c>
      <c r="AJ56" s="35" t="b">
        <v>0</v>
      </c>
      <c r="AK56" s="35" t="b">
        <v>0</v>
      </c>
      <c r="AL56" s="38" t="str">
        <f t="shared" si="1"/>
        <v>0 dari 31 (0%)</v>
      </c>
    </row>
    <row r="57" ht="22.5" customHeight="1">
      <c r="A57" s="10">
        <v>56.0</v>
      </c>
      <c r="B57" s="11"/>
      <c r="C57" s="22">
        <v>60794.0</v>
      </c>
      <c r="D57" s="21" t="s">
        <v>51</v>
      </c>
      <c r="E57" s="21" t="s">
        <v>61</v>
      </c>
      <c r="F57" s="13"/>
      <c r="G57" s="6" t="b">
        <v>1</v>
      </c>
      <c r="H57" s="6" t="b">
        <v>1</v>
      </c>
      <c r="I57" s="6" t="b">
        <v>0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12 dari 31 (39%)</v>
      </c>
    </row>
    <row r="58" ht="22.5" customHeight="1">
      <c r="A58" s="2">
        <v>57.0</v>
      </c>
      <c r="B58" s="11"/>
      <c r="C58" s="22">
        <v>60120.0</v>
      </c>
      <c r="D58" s="12" t="s">
        <v>63</v>
      </c>
      <c r="E58" s="12" t="s">
        <v>64</v>
      </c>
      <c r="F58" s="13"/>
      <c r="G58" s="6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1"/>
        <v>15 dari 31 (48%)</v>
      </c>
    </row>
    <row r="59" ht="22.5" customHeight="1">
      <c r="A59" s="10">
        <v>58.0</v>
      </c>
      <c r="B59" s="11"/>
      <c r="C59" s="22">
        <v>60893.0</v>
      </c>
      <c r="D59" s="12" t="s">
        <v>63</v>
      </c>
      <c r="E59" s="12" t="s">
        <v>64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1</v>
      </c>
      <c r="AJ59" s="6" t="b">
        <v>0</v>
      </c>
      <c r="AK59" s="6" t="b">
        <v>0</v>
      </c>
      <c r="AL59" s="9" t="str">
        <f t="shared" si="1"/>
        <v>15 dari 31 (48%)</v>
      </c>
    </row>
    <row r="60" ht="22.5" customHeight="1">
      <c r="A60" s="10">
        <v>59.0</v>
      </c>
      <c r="B60" s="11"/>
      <c r="C60" s="22">
        <v>59704.0</v>
      </c>
      <c r="D60" s="12" t="s">
        <v>63</v>
      </c>
      <c r="E60" s="12" t="s">
        <v>64</v>
      </c>
      <c r="F60" s="13"/>
      <c r="G60" s="6" t="b">
        <v>1</v>
      </c>
      <c r="H60" s="6" t="b">
        <v>1</v>
      </c>
      <c r="I60" s="6" t="b">
        <v>1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1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1</v>
      </c>
      <c r="AJ60" s="6" t="b">
        <v>0</v>
      </c>
      <c r="AK60" s="6" t="b">
        <v>0</v>
      </c>
      <c r="AL60" s="17" t="str">
        <f t="shared" si="1"/>
        <v>15 dari 31 (48%)</v>
      </c>
    </row>
    <row r="61" ht="22.5" customHeight="1">
      <c r="A61" s="2">
        <v>60.0</v>
      </c>
      <c r="B61" s="11"/>
      <c r="C61" s="22">
        <v>57335.0</v>
      </c>
      <c r="D61" s="12" t="s">
        <v>63</v>
      </c>
      <c r="E61" s="12" t="s">
        <v>64</v>
      </c>
      <c r="F61" s="86" t="s">
        <v>67</v>
      </c>
      <c r="G61" s="6" t="b">
        <v>0</v>
      </c>
      <c r="H61" s="6" t="b">
        <v>0</v>
      </c>
      <c r="I61" s="6" t="b">
        <v>0</v>
      </c>
      <c r="J61" s="6" t="b">
        <v>0</v>
      </c>
      <c r="K61" s="6" t="b">
        <v>0</v>
      </c>
      <c r="L61" s="6" t="b">
        <v>0</v>
      </c>
      <c r="M61" s="6" t="b">
        <v>0</v>
      </c>
      <c r="N61" s="6" t="b">
        <v>0</v>
      </c>
      <c r="O61" s="6" t="b">
        <v>0</v>
      </c>
      <c r="P61" s="6" t="b">
        <v>0</v>
      </c>
      <c r="Q61" s="6" t="b">
        <v>0</v>
      </c>
      <c r="R61" s="6" t="b">
        <v>0</v>
      </c>
      <c r="S61" s="6" t="b">
        <v>0</v>
      </c>
      <c r="T61" s="6" t="b">
        <v>0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1"/>
        <v>0 dari 31 (0%)</v>
      </c>
    </row>
    <row r="62" ht="22.5" customHeight="1">
      <c r="A62" s="10">
        <v>61.0</v>
      </c>
      <c r="B62" s="11"/>
      <c r="C62" s="22">
        <v>46894.0</v>
      </c>
      <c r="D62" s="12" t="s">
        <v>63</v>
      </c>
      <c r="E62" s="12" t="s">
        <v>64</v>
      </c>
      <c r="F62" s="13"/>
      <c r="G62" s="6" t="b">
        <v>1</v>
      </c>
      <c r="H62" s="6" t="b">
        <v>1</v>
      </c>
      <c r="I62" s="6" t="b">
        <v>1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1</v>
      </c>
      <c r="AJ62" s="6" t="b">
        <v>0</v>
      </c>
      <c r="AK62" s="6" t="b">
        <v>0</v>
      </c>
      <c r="AL62" s="9" t="str">
        <f t="shared" si="1"/>
        <v>15 dari 31 (48%)</v>
      </c>
    </row>
    <row r="63" ht="22.5" customHeight="1">
      <c r="A63" s="10">
        <v>62.0</v>
      </c>
      <c r="B63" s="11"/>
      <c r="C63" s="22">
        <v>61122.0</v>
      </c>
      <c r="D63" s="12" t="s">
        <v>63</v>
      </c>
      <c r="E63" s="12" t="s">
        <v>64</v>
      </c>
      <c r="F63" s="13"/>
      <c r="G63" s="6" t="b">
        <v>1</v>
      </c>
      <c r="H63" s="6" t="b">
        <v>1</v>
      </c>
      <c r="I63" s="6" t="b">
        <v>1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1</v>
      </c>
      <c r="AJ63" s="6" t="b">
        <v>0</v>
      </c>
      <c r="AK63" s="6" t="b">
        <v>0</v>
      </c>
      <c r="AL63" s="17" t="str">
        <f t="shared" si="1"/>
        <v>15 dari 31 (48%)</v>
      </c>
    </row>
    <row r="64" ht="22.5" customHeight="1">
      <c r="A64" s="2">
        <v>63.0</v>
      </c>
      <c r="B64" s="11"/>
      <c r="C64" s="22">
        <v>31044.0</v>
      </c>
      <c r="D64" s="12" t="s">
        <v>63</v>
      </c>
      <c r="E64" s="12" t="s">
        <v>64</v>
      </c>
      <c r="F64" s="13"/>
      <c r="G64" s="6" t="b">
        <v>1</v>
      </c>
      <c r="H64" s="6" t="b">
        <v>1</v>
      </c>
      <c r="I64" s="6" t="b">
        <v>1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1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1</v>
      </c>
      <c r="AJ64" s="6" t="b">
        <v>0</v>
      </c>
      <c r="AK64" s="6" t="b">
        <v>0</v>
      </c>
      <c r="AL64" s="9" t="str">
        <f t="shared" si="1"/>
        <v>15 dari 31 (48%)</v>
      </c>
    </row>
    <row r="65" ht="22.5" customHeight="1">
      <c r="A65" s="61">
        <v>64.0</v>
      </c>
      <c r="B65" s="62"/>
      <c r="C65" s="32">
        <v>57335.0</v>
      </c>
      <c r="D65" s="51" t="s">
        <v>63</v>
      </c>
      <c r="E65" s="51" t="s">
        <v>64</v>
      </c>
      <c r="F65" s="53"/>
      <c r="G65" s="35" t="b">
        <v>0</v>
      </c>
      <c r="H65" s="35" t="b">
        <v>0</v>
      </c>
      <c r="I65" s="35" t="b">
        <v>0</v>
      </c>
      <c r="J65" s="35" t="b">
        <v>0</v>
      </c>
      <c r="K65" s="35" t="b">
        <v>0</v>
      </c>
      <c r="L65" s="35" t="b">
        <v>0</v>
      </c>
      <c r="M65" s="35" t="b">
        <v>0</v>
      </c>
      <c r="N65" s="35" t="b">
        <v>0</v>
      </c>
      <c r="O65" s="35" t="b">
        <v>0</v>
      </c>
      <c r="P65" s="35" t="b">
        <v>0</v>
      </c>
      <c r="Q65" s="35" t="b">
        <v>0</v>
      </c>
      <c r="R65" s="35" t="b">
        <v>0</v>
      </c>
      <c r="S65" s="35" t="b">
        <v>0</v>
      </c>
      <c r="T65" s="35" t="b">
        <v>0</v>
      </c>
      <c r="U65" s="35" t="b">
        <v>0</v>
      </c>
      <c r="V65" s="35" t="b">
        <v>0</v>
      </c>
      <c r="W65" s="35" t="b">
        <v>0</v>
      </c>
      <c r="X65" s="35" t="b">
        <v>0</v>
      </c>
      <c r="Y65" s="35" t="b">
        <v>0</v>
      </c>
      <c r="Z65" s="35" t="b">
        <v>0</v>
      </c>
      <c r="AA65" s="35" t="b">
        <v>0</v>
      </c>
      <c r="AB65" s="35" t="b">
        <v>0</v>
      </c>
      <c r="AC65" s="35" t="b">
        <v>0</v>
      </c>
      <c r="AD65" s="35" t="b">
        <v>0</v>
      </c>
      <c r="AE65" s="35" t="b">
        <v>0</v>
      </c>
      <c r="AF65" s="35" t="b">
        <v>0</v>
      </c>
      <c r="AG65" s="35" t="b">
        <v>0</v>
      </c>
      <c r="AH65" s="35" t="b">
        <v>0</v>
      </c>
      <c r="AI65" s="35" t="b">
        <v>0</v>
      </c>
      <c r="AJ65" s="35" t="b">
        <v>0</v>
      </c>
      <c r="AK65" s="35" t="b">
        <v>0</v>
      </c>
      <c r="AL65" s="38" t="str">
        <f t="shared" si="1"/>
        <v>0 dari 31 (0%)</v>
      </c>
    </row>
    <row r="66" ht="22.5" customHeight="1">
      <c r="A66" s="10">
        <v>65.0</v>
      </c>
      <c r="B66" s="11"/>
      <c r="C66" s="22">
        <v>20730.0</v>
      </c>
      <c r="D66" s="12" t="s">
        <v>63</v>
      </c>
      <c r="E66" s="12" t="s">
        <v>64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15 dari 31 (48%)</v>
      </c>
    </row>
    <row r="67" ht="22.5" customHeight="1">
      <c r="A67" s="2">
        <v>66.0</v>
      </c>
      <c r="B67" s="11"/>
      <c r="C67" s="22">
        <v>59748.0</v>
      </c>
      <c r="D67" s="12" t="s">
        <v>63</v>
      </c>
      <c r="E67" s="12" t="s">
        <v>87</v>
      </c>
      <c r="F67" s="13"/>
      <c r="G67" s="6" t="b">
        <v>1</v>
      </c>
      <c r="H67" s="6" t="b">
        <v>0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14 dari 31 (45%)</v>
      </c>
    </row>
    <row r="68" ht="22.5" customHeight="1">
      <c r="A68" s="10">
        <v>67.0</v>
      </c>
      <c r="B68" s="11"/>
      <c r="C68" s="22">
        <v>59238.0</v>
      </c>
      <c r="D68" s="12" t="s">
        <v>85</v>
      </c>
      <c r="E68" s="12" t="s">
        <v>138</v>
      </c>
      <c r="F68" s="13"/>
      <c r="G68" s="6" t="b">
        <v>1</v>
      </c>
      <c r="H68" s="6" t="b">
        <v>1</v>
      </c>
      <c r="I68" s="6" t="b">
        <v>1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1</v>
      </c>
      <c r="AJ68" s="6" t="b">
        <v>0</v>
      </c>
      <c r="AK68" s="6" t="b">
        <v>0</v>
      </c>
      <c r="AL68" s="9" t="str">
        <f t="shared" si="1"/>
        <v>15 dari 31 (48%)</v>
      </c>
    </row>
    <row r="69" ht="22.5" customHeight="1">
      <c r="A69" s="10">
        <v>68.0</v>
      </c>
      <c r="B69" s="11"/>
      <c r="C69" s="22">
        <v>40902.0</v>
      </c>
      <c r="D69" s="12" t="s">
        <v>63</v>
      </c>
      <c r="E69" s="12" t="s">
        <v>64</v>
      </c>
      <c r="F69" s="13"/>
      <c r="G69" s="6" t="b">
        <v>1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1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0</v>
      </c>
      <c r="AL69" s="17" t="str">
        <f t="shared" si="1"/>
        <v>15 dari 31 (48%)</v>
      </c>
    </row>
    <row r="70" ht="22.5" customHeight="1">
      <c r="A70" s="2">
        <v>69.0</v>
      </c>
      <c r="B70" s="11"/>
      <c r="C70" s="22">
        <v>60594.0</v>
      </c>
      <c r="D70" s="12" t="s">
        <v>63</v>
      </c>
      <c r="E70" s="12" t="s">
        <v>64</v>
      </c>
      <c r="F70" s="13"/>
      <c r="G70" s="6" t="b">
        <v>1</v>
      </c>
      <c r="H70" s="6" t="b">
        <v>1</v>
      </c>
      <c r="I70" s="6" t="b">
        <v>1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1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1</v>
      </c>
      <c r="AJ70" s="6" t="b">
        <v>0</v>
      </c>
      <c r="AK70" s="6" t="b">
        <v>0</v>
      </c>
      <c r="AL70" s="9" t="str">
        <f t="shared" si="1"/>
        <v>15 dari 31 (48%)</v>
      </c>
    </row>
    <row r="71" ht="22.5" customHeight="1">
      <c r="A71" s="10">
        <v>70.0</v>
      </c>
      <c r="B71" s="11"/>
      <c r="C71" s="22">
        <v>61031.0</v>
      </c>
      <c r="D71" s="12" t="s">
        <v>63</v>
      </c>
      <c r="E71" s="12" t="s">
        <v>64</v>
      </c>
      <c r="F71" s="13"/>
      <c r="G71" s="6" t="b">
        <v>1</v>
      </c>
      <c r="H71" s="6" t="b">
        <v>1</v>
      </c>
      <c r="I71" s="6" t="b">
        <v>1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1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1</v>
      </c>
      <c r="AJ71" s="6" t="b">
        <v>0</v>
      </c>
      <c r="AK71" s="6" t="b">
        <v>0</v>
      </c>
      <c r="AL71" s="9" t="str">
        <f t="shared" si="1"/>
        <v>15 dari 31 (48%)</v>
      </c>
    </row>
    <row r="72" ht="22.5" customHeight="1">
      <c r="A72" s="10">
        <v>71.0</v>
      </c>
      <c r="B72" s="11"/>
      <c r="C72" s="20">
        <v>56859.0</v>
      </c>
      <c r="D72" s="12" t="s">
        <v>63</v>
      </c>
      <c r="E72" s="12" t="s">
        <v>64</v>
      </c>
      <c r="F72" s="13"/>
      <c r="G72" s="6" t="b">
        <v>1</v>
      </c>
      <c r="H72" s="6" t="b">
        <v>1</v>
      </c>
      <c r="I72" s="6" t="b">
        <v>1</v>
      </c>
      <c r="J72" s="6" t="b">
        <v>1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1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1</v>
      </c>
      <c r="AJ72" s="6" t="b">
        <v>0</v>
      </c>
      <c r="AK72" s="6" t="b">
        <v>0</v>
      </c>
      <c r="AL72" s="17" t="str">
        <f t="shared" si="1"/>
        <v>15 dari 31 (48%)</v>
      </c>
    </row>
    <row r="73" ht="22.5" customHeight="1">
      <c r="A73" s="2">
        <v>72.0</v>
      </c>
      <c r="B73" s="11"/>
      <c r="C73" s="20">
        <v>59529.0</v>
      </c>
      <c r="D73" s="12" t="s">
        <v>54</v>
      </c>
      <c r="E73" s="12" t="s">
        <v>82</v>
      </c>
      <c r="F73" s="13"/>
      <c r="G73" s="6" t="b">
        <v>1</v>
      </c>
      <c r="H73" s="6" t="b">
        <v>0</v>
      </c>
      <c r="I73" s="6" t="b">
        <v>1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1</v>
      </c>
      <c r="AJ73" s="6" t="b">
        <v>0</v>
      </c>
      <c r="AK73" s="6" t="b">
        <v>0</v>
      </c>
      <c r="AL73" s="9" t="str">
        <f t="shared" si="1"/>
        <v>14 dari 31 (45%)</v>
      </c>
    </row>
    <row r="74" ht="22.5" customHeight="1">
      <c r="A74" s="10">
        <v>73.0</v>
      </c>
      <c r="B74" s="11"/>
      <c r="C74" s="20">
        <v>49804.0</v>
      </c>
      <c r="D74" s="12" t="s">
        <v>63</v>
      </c>
      <c r="E74" s="12" t="s">
        <v>64</v>
      </c>
      <c r="F74" s="13"/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1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1</v>
      </c>
      <c r="AJ74" s="6" t="b">
        <v>0</v>
      </c>
      <c r="AK74" s="6" t="b">
        <v>0</v>
      </c>
      <c r="AL74" s="9" t="str">
        <f t="shared" si="1"/>
        <v>15 dari 31 (48%)</v>
      </c>
    </row>
    <row r="75" ht="22.5" customHeight="1">
      <c r="A75" s="10">
        <v>74.0</v>
      </c>
      <c r="B75" s="11"/>
      <c r="C75" s="20">
        <v>39836.0</v>
      </c>
      <c r="D75" s="12" t="s">
        <v>63</v>
      </c>
      <c r="E75" s="12" t="s">
        <v>64</v>
      </c>
      <c r="F75" s="13"/>
      <c r="G75" s="6" t="b">
        <v>1</v>
      </c>
      <c r="H75" s="6" t="b">
        <v>1</v>
      </c>
      <c r="I75" s="6" t="b">
        <v>1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1</v>
      </c>
      <c r="AJ75" s="6" t="b">
        <v>0</v>
      </c>
      <c r="AK75" s="6" t="b">
        <v>0</v>
      </c>
      <c r="AL75" s="17" t="str">
        <f t="shared" si="1"/>
        <v>15 dari 31 (48%)</v>
      </c>
    </row>
    <row r="76" ht="22.5" customHeight="1">
      <c r="A76" s="2">
        <v>75.0</v>
      </c>
      <c r="B76" s="11"/>
      <c r="C76" s="20">
        <v>35822.0</v>
      </c>
      <c r="D76" s="12" t="s">
        <v>63</v>
      </c>
      <c r="E76" s="12" t="s">
        <v>64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1</v>
      </c>
      <c r="AJ76" s="6" t="b">
        <v>0</v>
      </c>
      <c r="AK76" s="6" t="b">
        <v>0</v>
      </c>
      <c r="AL76" s="9" t="str">
        <f t="shared" si="1"/>
        <v>15 dari 31 (48%)</v>
      </c>
    </row>
    <row r="77" ht="22.5" customHeight="1">
      <c r="A77" s="109">
        <v>76.0</v>
      </c>
      <c r="B77" s="110"/>
      <c r="C77" s="111">
        <v>50956.0</v>
      </c>
      <c r="D77" s="103" t="s">
        <v>63</v>
      </c>
      <c r="E77" s="103" t="s">
        <v>64</v>
      </c>
      <c r="F77" s="104"/>
      <c r="G77" s="105" t="b">
        <v>1</v>
      </c>
      <c r="H77" s="105" t="b">
        <v>1</v>
      </c>
      <c r="I77" s="105" t="b">
        <v>1</v>
      </c>
      <c r="J77" s="105" t="b">
        <v>1</v>
      </c>
      <c r="K77" s="105" t="b">
        <v>1</v>
      </c>
      <c r="L77" s="105" t="b">
        <v>1</v>
      </c>
      <c r="M77" s="105" t="b">
        <v>1</v>
      </c>
      <c r="N77" s="105" t="b">
        <v>1</v>
      </c>
      <c r="O77" s="105" t="b">
        <v>1</v>
      </c>
      <c r="P77" s="105" t="b">
        <v>1</v>
      </c>
      <c r="Q77" s="105" t="b">
        <v>1</v>
      </c>
      <c r="R77" s="105" t="b">
        <v>0</v>
      </c>
      <c r="S77" s="105" t="b">
        <v>1</v>
      </c>
      <c r="T77" s="105" t="b">
        <v>1</v>
      </c>
      <c r="U77" s="105" t="b">
        <v>0</v>
      </c>
      <c r="V77" s="105" t="b">
        <v>0</v>
      </c>
      <c r="W77" s="105" t="b">
        <v>0</v>
      </c>
      <c r="X77" s="105" t="b">
        <v>0</v>
      </c>
      <c r="Y77" s="105" t="b">
        <v>0</v>
      </c>
      <c r="Z77" s="105" t="b">
        <v>0</v>
      </c>
      <c r="AA77" s="105" t="b">
        <v>0</v>
      </c>
      <c r="AB77" s="105" t="b">
        <v>0</v>
      </c>
      <c r="AC77" s="105" t="b">
        <v>0</v>
      </c>
      <c r="AD77" s="105" t="b">
        <v>0</v>
      </c>
      <c r="AE77" s="105" t="b">
        <v>0</v>
      </c>
      <c r="AF77" s="105" t="b">
        <v>0</v>
      </c>
      <c r="AG77" s="105" t="b">
        <v>0</v>
      </c>
      <c r="AH77" s="105" t="b">
        <v>0</v>
      </c>
      <c r="AI77" s="105" t="b">
        <v>1</v>
      </c>
      <c r="AJ77" s="105" t="b">
        <v>0</v>
      </c>
      <c r="AK77" s="105" t="b">
        <v>0</v>
      </c>
      <c r="AL77" s="106" t="str">
        <f t="shared" si="1"/>
        <v>14 dari 31 (45%)</v>
      </c>
    </row>
    <row r="78" ht="22.5" customHeight="1">
      <c r="A78" s="10">
        <v>77.0</v>
      </c>
      <c r="B78" s="11"/>
      <c r="C78" s="22">
        <v>59402.0</v>
      </c>
      <c r="D78" s="12" t="s">
        <v>63</v>
      </c>
      <c r="E78" s="12" t="s">
        <v>64</v>
      </c>
      <c r="F78" s="13"/>
      <c r="G78" s="6" t="b">
        <v>1</v>
      </c>
      <c r="H78" s="6" t="b">
        <v>1</v>
      </c>
      <c r="I78" s="6" t="b">
        <v>1</v>
      </c>
      <c r="J78" s="6" t="b">
        <v>1</v>
      </c>
      <c r="K78" s="6" t="b">
        <v>1</v>
      </c>
      <c r="L78" s="6" t="b">
        <v>1</v>
      </c>
      <c r="M78" s="6" t="b">
        <v>1</v>
      </c>
      <c r="N78" s="6" t="b">
        <v>1</v>
      </c>
      <c r="O78" s="6" t="b">
        <v>1</v>
      </c>
      <c r="P78" s="6" t="b">
        <v>1</v>
      </c>
      <c r="Q78" s="6" t="b">
        <v>1</v>
      </c>
      <c r="R78" s="6" t="b">
        <v>1</v>
      </c>
      <c r="S78" s="6" t="b">
        <v>1</v>
      </c>
      <c r="T78" s="6" t="b">
        <v>1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1</v>
      </c>
      <c r="AJ78" s="6" t="b">
        <v>0</v>
      </c>
      <c r="AK78" s="6" t="b">
        <v>0</v>
      </c>
      <c r="AL78" s="17" t="str">
        <f t="shared" si="1"/>
        <v>15 dari 31 (48%)</v>
      </c>
    </row>
    <row r="79" ht="22.5" customHeight="1">
      <c r="A79" s="2">
        <v>78.0</v>
      </c>
      <c r="B79" s="11"/>
      <c r="C79" s="22">
        <v>61238.0</v>
      </c>
      <c r="D79" s="12" t="s">
        <v>63</v>
      </c>
      <c r="E79" s="12" t="s">
        <v>87</v>
      </c>
      <c r="F79" s="13"/>
      <c r="G79" s="6" t="b">
        <v>1</v>
      </c>
      <c r="H79" s="6" t="b">
        <v>1</v>
      </c>
      <c r="I79" s="6" t="b">
        <v>1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1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1</v>
      </c>
      <c r="AJ79" s="6" t="b">
        <v>0</v>
      </c>
      <c r="AK79" s="6" t="b">
        <v>0</v>
      </c>
      <c r="AL79" s="9" t="str">
        <f t="shared" si="1"/>
        <v>15 dari 31 (48%)</v>
      </c>
    </row>
    <row r="80" ht="22.5" customHeight="1">
      <c r="A80" s="10">
        <v>79.0</v>
      </c>
      <c r="B80" s="11"/>
      <c r="C80" s="22">
        <v>60421.0</v>
      </c>
      <c r="D80" s="12" t="s">
        <v>63</v>
      </c>
      <c r="E80" s="12" t="s">
        <v>64</v>
      </c>
      <c r="F80" s="13"/>
      <c r="G80" s="6" t="b">
        <v>1</v>
      </c>
      <c r="H80" s="6" t="b">
        <v>1</v>
      </c>
      <c r="I80" s="6" t="b">
        <v>1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1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1</v>
      </c>
      <c r="AJ80" s="6" t="b">
        <v>0</v>
      </c>
      <c r="AK80" s="6" t="b">
        <v>0</v>
      </c>
      <c r="AL80" s="9" t="str">
        <f t="shared" si="1"/>
        <v>15 dari 31 (48%)</v>
      </c>
    </row>
    <row r="81" ht="22.5" customHeight="1">
      <c r="A81" s="10">
        <v>80.0</v>
      </c>
      <c r="B81" s="11"/>
      <c r="C81" s="22">
        <v>36279.0</v>
      </c>
      <c r="D81" s="12" t="s">
        <v>63</v>
      </c>
      <c r="E81" s="12" t="s">
        <v>64</v>
      </c>
      <c r="F81" s="13"/>
      <c r="G81" s="6" t="b">
        <v>1</v>
      </c>
      <c r="H81" s="6" t="b">
        <v>0</v>
      </c>
      <c r="I81" s="6" t="b">
        <v>1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1</v>
      </c>
      <c r="AJ81" s="6" t="b">
        <v>0</v>
      </c>
      <c r="AK81" s="6" t="b">
        <v>0</v>
      </c>
      <c r="AL81" s="17" t="str">
        <f t="shared" si="1"/>
        <v>14 dari 31 (45%)</v>
      </c>
    </row>
    <row r="82" ht="22.5" customHeight="1">
      <c r="A82" s="2">
        <v>81.0</v>
      </c>
      <c r="B82" s="11"/>
      <c r="C82" s="20">
        <v>59690.0</v>
      </c>
      <c r="D82" s="12" t="s">
        <v>63</v>
      </c>
      <c r="E82" s="12" t="s">
        <v>64</v>
      </c>
      <c r="F82" s="13"/>
      <c r="G82" s="6" t="b">
        <v>1</v>
      </c>
      <c r="H82" s="6" t="b">
        <v>1</v>
      </c>
      <c r="I82" s="6" t="b">
        <v>1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1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0</v>
      </c>
      <c r="AJ82" s="6" t="b">
        <v>0</v>
      </c>
      <c r="AK82" s="6" t="b">
        <v>0</v>
      </c>
      <c r="AL82" s="9" t="str">
        <f t="shared" si="1"/>
        <v>14 dari 31 (45%)</v>
      </c>
    </row>
    <row r="83" ht="22.5" customHeight="1">
      <c r="A83" s="10">
        <v>82.0</v>
      </c>
      <c r="B83" s="11"/>
      <c r="C83" s="20">
        <v>52659.0</v>
      </c>
      <c r="D83" s="12" t="s">
        <v>63</v>
      </c>
      <c r="E83" s="12" t="s">
        <v>64</v>
      </c>
      <c r="F83" s="13"/>
      <c r="G83" s="6" t="b">
        <v>1</v>
      </c>
      <c r="H83" s="6" t="b">
        <v>1</v>
      </c>
      <c r="I83" s="6" t="b">
        <v>1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1</v>
      </c>
      <c r="S83" s="6" t="b">
        <v>1</v>
      </c>
      <c r="T83" s="6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0</v>
      </c>
      <c r="AJ83" s="6" t="b">
        <v>0</v>
      </c>
      <c r="AK83" s="6" t="b">
        <v>0</v>
      </c>
      <c r="AL83" s="9" t="str">
        <f t="shared" si="1"/>
        <v>14 dari 31 (45%)</v>
      </c>
    </row>
    <row r="84" ht="22.5" customHeight="1">
      <c r="A84" s="10">
        <v>83.0</v>
      </c>
      <c r="B84" s="11"/>
      <c r="C84" s="20">
        <v>60812.0</v>
      </c>
      <c r="D84" s="12" t="s">
        <v>63</v>
      </c>
      <c r="E84" s="12" t="s">
        <v>64</v>
      </c>
      <c r="F84" s="13"/>
      <c r="G84" s="6" t="b">
        <v>1</v>
      </c>
      <c r="H84" s="6" t="b">
        <v>1</v>
      </c>
      <c r="I84" s="6" t="b">
        <v>1</v>
      </c>
      <c r="J84" s="6" t="b">
        <v>1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1</v>
      </c>
      <c r="P84" s="6" t="b">
        <v>1</v>
      </c>
      <c r="Q84" s="6" t="b">
        <v>1</v>
      </c>
      <c r="R84" s="6" t="b">
        <v>1</v>
      </c>
      <c r="S84" s="6" t="b">
        <v>1</v>
      </c>
      <c r="T84" s="6" t="b">
        <v>1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1</v>
      </c>
      <c r="AJ84" s="6" t="b">
        <v>0</v>
      </c>
      <c r="AK84" s="6" t="b">
        <v>0</v>
      </c>
      <c r="AL84" s="17" t="str">
        <f t="shared" si="1"/>
        <v>15 dari 31 (48%)</v>
      </c>
    </row>
    <row r="85" ht="22.5" customHeight="1">
      <c r="A85" s="2">
        <v>84.0</v>
      </c>
      <c r="B85" s="11"/>
      <c r="C85" s="20">
        <v>57936.0</v>
      </c>
      <c r="D85" s="12" t="s">
        <v>63</v>
      </c>
      <c r="E85" s="12" t="s">
        <v>64</v>
      </c>
      <c r="F85" s="13"/>
      <c r="G85" s="6" t="b">
        <v>1</v>
      </c>
      <c r="H85" s="6" t="b">
        <v>1</v>
      </c>
      <c r="I85" s="6" t="b">
        <v>1</v>
      </c>
      <c r="J85" s="6" t="b">
        <v>1</v>
      </c>
      <c r="K85" s="6" t="b">
        <v>1</v>
      </c>
      <c r="L85" s="6" t="b">
        <v>1</v>
      </c>
      <c r="M85" s="6" t="b">
        <v>1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1</v>
      </c>
      <c r="S85" s="6" t="b">
        <v>1</v>
      </c>
      <c r="T85" s="6" t="b">
        <v>1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1</v>
      </c>
      <c r="AJ85" s="6" t="b">
        <v>0</v>
      </c>
      <c r="AK85" s="6" t="b">
        <v>0</v>
      </c>
      <c r="AL85" s="9" t="str">
        <f t="shared" si="1"/>
        <v>15 dari 31 (48%)</v>
      </c>
    </row>
    <row r="86" ht="22.5" customHeight="1">
      <c r="A86" s="10">
        <v>85.0</v>
      </c>
      <c r="B86" s="11"/>
      <c r="C86" s="20">
        <v>60954.0</v>
      </c>
      <c r="D86" s="12" t="s">
        <v>63</v>
      </c>
      <c r="E86" s="12" t="s">
        <v>87</v>
      </c>
      <c r="F86" s="13"/>
      <c r="G86" s="6" t="b">
        <v>1</v>
      </c>
      <c r="H86" s="6" t="b">
        <v>1</v>
      </c>
      <c r="I86" s="6" t="b">
        <v>1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1</v>
      </c>
      <c r="AJ86" s="6" t="b">
        <v>0</v>
      </c>
      <c r="AK86" s="6" t="b">
        <v>0</v>
      </c>
      <c r="AL86" s="9" t="str">
        <f t="shared" si="1"/>
        <v>15 dari 31 (48%)</v>
      </c>
    </row>
    <row r="87" ht="22.5" customHeight="1">
      <c r="A87" s="10">
        <v>86.0</v>
      </c>
      <c r="B87" s="11"/>
      <c r="C87" s="22">
        <v>61239.0</v>
      </c>
      <c r="D87" s="12" t="s">
        <v>63</v>
      </c>
      <c r="E87" s="12" t="s">
        <v>87</v>
      </c>
      <c r="F87" s="13"/>
      <c r="G87" s="6" t="b">
        <v>1</v>
      </c>
      <c r="H87" s="6" t="b">
        <v>1</v>
      </c>
      <c r="I87" s="6" t="b">
        <v>1</v>
      </c>
      <c r="J87" s="6" t="b">
        <v>1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1</v>
      </c>
      <c r="S87" s="6" t="b">
        <v>1</v>
      </c>
      <c r="T87" s="6" t="b">
        <v>1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1</v>
      </c>
      <c r="AJ87" s="6" t="b">
        <v>0</v>
      </c>
      <c r="AK87" s="6" t="b">
        <v>0</v>
      </c>
      <c r="AL87" s="17" t="str">
        <f t="shared" si="1"/>
        <v>15 dari 31 (48%)</v>
      </c>
    </row>
    <row r="88" ht="22.5" customHeight="1">
      <c r="A88" s="2">
        <v>87.0</v>
      </c>
      <c r="B88" s="11"/>
      <c r="C88" s="22">
        <v>61060.0</v>
      </c>
      <c r="D88" s="12" t="s">
        <v>63</v>
      </c>
      <c r="E88" s="12" t="s">
        <v>87</v>
      </c>
      <c r="F88" s="13"/>
      <c r="G88" s="6" t="b">
        <v>1</v>
      </c>
      <c r="H88" s="6" t="b">
        <v>1</v>
      </c>
      <c r="I88" s="6" t="b">
        <v>1</v>
      </c>
      <c r="J88" s="6" t="b">
        <v>1</v>
      </c>
      <c r="K88" s="6" t="b">
        <v>1</v>
      </c>
      <c r="L88" s="6" t="b">
        <v>1</v>
      </c>
      <c r="M88" s="6" t="b">
        <v>1</v>
      </c>
      <c r="N88" s="6" t="b">
        <v>1</v>
      </c>
      <c r="O88" s="6" t="b">
        <v>1</v>
      </c>
      <c r="P88" s="6" t="b">
        <v>1</v>
      </c>
      <c r="Q88" s="6" t="b">
        <v>1</v>
      </c>
      <c r="R88" s="6" t="b">
        <v>1</v>
      </c>
      <c r="S88" s="6" t="b">
        <v>1</v>
      </c>
      <c r="T88" s="6" t="b">
        <v>1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1</v>
      </c>
      <c r="AJ88" s="6" t="b">
        <v>0</v>
      </c>
      <c r="AK88" s="6" t="b">
        <v>0</v>
      </c>
      <c r="AL88" s="9" t="str">
        <f t="shared" si="1"/>
        <v>15 dari 31 (48%)</v>
      </c>
    </row>
    <row r="89" ht="22.5" customHeight="1">
      <c r="A89" s="10">
        <v>88.0</v>
      </c>
      <c r="B89" s="11"/>
      <c r="C89" s="22">
        <v>30475.0</v>
      </c>
      <c r="D89" s="12" t="s">
        <v>63</v>
      </c>
      <c r="E89" s="12" t="s">
        <v>87</v>
      </c>
      <c r="F89" s="13"/>
      <c r="G89" s="6" t="b">
        <v>1</v>
      </c>
      <c r="H89" s="6" t="b">
        <v>1</v>
      </c>
      <c r="I89" s="6" t="b">
        <v>1</v>
      </c>
      <c r="J89" s="6" t="b">
        <v>1</v>
      </c>
      <c r="K89" s="6" t="b">
        <v>1</v>
      </c>
      <c r="L89" s="6" t="b">
        <v>1</v>
      </c>
      <c r="M89" s="6" t="b">
        <v>1</v>
      </c>
      <c r="N89" s="6" t="b">
        <v>1</v>
      </c>
      <c r="O89" s="6" t="b">
        <v>1</v>
      </c>
      <c r="P89" s="6" t="b">
        <v>1</v>
      </c>
      <c r="Q89" s="6" t="b">
        <v>1</v>
      </c>
      <c r="R89" s="6" t="b">
        <v>1</v>
      </c>
      <c r="S89" s="6" t="b">
        <v>1</v>
      </c>
      <c r="T89" s="6" t="b">
        <v>1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1</v>
      </c>
      <c r="AJ89" s="6" t="b">
        <v>0</v>
      </c>
      <c r="AK89" s="6" t="b">
        <v>0</v>
      </c>
      <c r="AL89" s="9" t="str">
        <f t="shared" si="1"/>
        <v>15 dari 31 (48%)</v>
      </c>
    </row>
    <row r="90" ht="22.5" customHeight="1">
      <c r="A90" s="10">
        <v>89.0</v>
      </c>
      <c r="B90" s="11"/>
      <c r="C90" s="22">
        <v>28769.0</v>
      </c>
      <c r="D90" s="12" t="s">
        <v>63</v>
      </c>
      <c r="E90" s="12" t="s">
        <v>87</v>
      </c>
      <c r="F90" s="13"/>
      <c r="G90" s="6" t="b">
        <v>1</v>
      </c>
      <c r="H90" s="6" t="b">
        <v>1</v>
      </c>
      <c r="I90" s="6" t="b">
        <v>1</v>
      </c>
      <c r="J90" s="6" t="b">
        <v>1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1</v>
      </c>
      <c r="S90" s="6" t="b">
        <v>1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1</v>
      </c>
      <c r="AJ90" s="6" t="b">
        <v>0</v>
      </c>
      <c r="AK90" s="6" t="b">
        <v>0</v>
      </c>
      <c r="AL90" s="17" t="str">
        <f t="shared" si="1"/>
        <v>14 dari 31 (45%)</v>
      </c>
    </row>
    <row r="91" ht="22.5" customHeight="1">
      <c r="A91" s="2">
        <v>90.0</v>
      </c>
      <c r="B91" s="11"/>
      <c r="C91" s="22">
        <v>56633.0</v>
      </c>
      <c r="D91" s="12" t="s">
        <v>63</v>
      </c>
      <c r="E91" s="12" t="s">
        <v>87</v>
      </c>
      <c r="F91" s="13"/>
      <c r="G91" s="6" t="b">
        <v>1</v>
      </c>
      <c r="H91" s="6" t="b">
        <v>1</v>
      </c>
      <c r="I91" s="6" t="b">
        <v>1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0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1</v>
      </c>
      <c r="AJ91" s="6" t="b">
        <v>0</v>
      </c>
      <c r="AK91" s="6" t="b">
        <v>0</v>
      </c>
      <c r="AL91" s="9" t="str">
        <f t="shared" si="1"/>
        <v>14 dari 31 (45%)</v>
      </c>
    </row>
    <row r="92" ht="22.5" customHeight="1">
      <c r="A92" s="10">
        <v>91.0</v>
      </c>
      <c r="B92" s="11"/>
      <c r="C92" s="20">
        <v>44523.0</v>
      </c>
      <c r="D92" s="12" t="s">
        <v>63</v>
      </c>
      <c r="E92" s="12" t="s">
        <v>87</v>
      </c>
      <c r="F92" s="13"/>
      <c r="G92" s="6" t="b">
        <v>1</v>
      </c>
      <c r="H92" s="6" t="b">
        <v>1</v>
      </c>
      <c r="I92" s="6" t="b">
        <v>0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1</v>
      </c>
      <c r="S92" s="6" t="b">
        <v>1</v>
      </c>
      <c r="T92" s="6" t="b">
        <v>0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0</v>
      </c>
      <c r="AJ92" s="6" t="b">
        <v>0</v>
      </c>
      <c r="AK92" s="6" t="b">
        <v>0</v>
      </c>
      <c r="AL92" s="9" t="str">
        <f t="shared" si="1"/>
        <v>12 dari 31 (39%)</v>
      </c>
    </row>
    <row r="93" ht="22.5" customHeight="1">
      <c r="A93" s="10">
        <v>92.0</v>
      </c>
      <c r="B93" s="11"/>
      <c r="C93" s="20">
        <v>56513.0</v>
      </c>
      <c r="D93" s="12" t="s">
        <v>54</v>
      </c>
      <c r="E93" s="12" t="s">
        <v>76</v>
      </c>
      <c r="F93" s="13"/>
      <c r="G93" s="6" t="b">
        <v>1</v>
      </c>
      <c r="H93" s="6" t="b">
        <v>1</v>
      </c>
      <c r="I93" s="6" t="b">
        <v>0</v>
      </c>
      <c r="J93" s="6" t="b">
        <v>0</v>
      </c>
      <c r="K93" s="6" t="b">
        <v>0</v>
      </c>
      <c r="L93" s="6" t="b">
        <v>0</v>
      </c>
      <c r="M93" s="6" t="b">
        <v>0</v>
      </c>
      <c r="N93" s="6" t="b">
        <v>0</v>
      </c>
      <c r="O93" s="6" t="b">
        <v>0</v>
      </c>
      <c r="P93" s="6" t="b">
        <v>0</v>
      </c>
      <c r="Q93" s="6" t="b">
        <v>0</v>
      </c>
      <c r="R93" s="6" t="b">
        <v>1</v>
      </c>
      <c r="S93" s="6" t="b">
        <v>1</v>
      </c>
      <c r="T93" s="6" t="b">
        <v>1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0</v>
      </c>
      <c r="AJ93" s="6" t="b">
        <v>0</v>
      </c>
      <c r="AK93" s="6" t="b">
        <v>0</v>
      </c>
      <c r="AL93" s="17" t="str">
        <f t="shared" si="1"/>
        <v>5 dari 31 (16%)</v>
      </c>
    </row>
    <row r="94" ht="22.5" customHeight="1">
      <c r="A94" s="2">
        <v>93.0</v>
      </c>
      <c r="B94" s="11"/>
      <c r="C94" s="20">
        <v>50695.0</v>
      </c>
      <c r="D94" s="12" t="s">
        <v>80</v>
      </c>
      <c r="E94" s="12" t="s">
        <v>160</v>
      </c>
      <c r="F94" s="15" t="s">
        <v>50</v>
      </c>
      <c r="G94" s="6" t="b">
        <v>1</v>
      </c>
      <c r="H94" s="6" t="b">
        <v>0</v>
      </c>
      <c r="I94" s="6" t="b">
        <v>0</v>
      </c>
      <c r="J94" s="6" t="b">
        <v>1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0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1</v>
      </c>
      <c r="AJ94" s="6" t="b">
        <v>0</v>
      </c>
      <c r="AK94" s="6" t="b">
        <v>0</v>
      </c>
      <c r="AL94" s="9" t="str">
        <f t="shared" si="1"/>
        <v>12 dari 31 (39%)</v>
      </c>
    </row>
    <row r="95" ht="22.5" customHeight="1">
      <c r="A95" s="10">
        <v>94.0</v>
      </c>
      <c r="B95" s="11"/>
      <c r="C95" s="20">
        <v>58072.0</v>
      </c>
      <c r="D95" s="12" t="s">
        <v>80</v>
      </c>
      <c r="E95" s="12" t="s">
        <v>143</v>
      </c>
      <c r="F95" s="15" t="s">
        <v>50</v>
      </c>
      <c r="G95" s="6" t="b">
        <v>1</v>
      </c>
      <c r="H95" s="6" t="b">
        <v>0</v>
      </c>
      <c r="I95" s="6" t="b">
        <v>0</v>
      </c>
      <c r="J95" s="6" t="b">
        <v>1</v>
      </c>
      <c r="K95" s="6" t="b">
        <v>1</v>
      </c>
      <c r="L95" s="6" t="b">
        <v>1</v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1</v>
      </c>
      <c r="S95" s="6" t="b">
        <v>1</v>
      </c>
      <c r="T95" s="6" t="b">
        <v>0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1</v>
      </c>
      <c r="AJ95" s="6" t="b">
        <v>0</v>
      </c>
      <c r="AK95" s="6" t="b">
        <v>0</v>
      </c>
      <c r="AL95" s="9" t="str">
        <f t="shared" si="1"/>
        <v>12 dari 31 (39%)</v>
      </c>
    </row>
    <row r="96" ht="22.5" customHeight="1">
      <c r="A96" s="10">
        <v>95.0</v>
      </c>
      <c r="B96" s="11"/>
      <c r="C96" s="20">
        <v>57815.0</v>
      </c>
      <c r="D96" s="12" t="s">
        <v>80</v>
      </c>
      <c r="E96" s="12" t="s">
        <v>143</v>
      </c>
      <c r="F96" s="15" t="s">
        <v>50</v>
      </c>
      <c r="G96" s="6" t="b">
        <v>1</v>
      </c>
      <c r="H96" s="6" t="b">
        <v>0</v>
      </c>
      <c r="I96" s="6" t="b">
        <v>0</v>
      </c>
      <c r="J96" s="6" t="b">
        <v>1</v>
      </c>
      <c r="K96" s="6" t="b">
        <v>1</v>
      </c>
      <c r="L96" s="6" t="b">
        <v>1</v>
      </c>
      <c r="M96" s="6" t="b">
        <v>1</v>
      </c>
      <c r="N96" s="6" t="b">
        <v>1</v>
      </c>
      <c r="O96" s="6" t="b">
        <v>1</v>
      </c>
      <c r="P96" s="6" t="b">
        <v>1</v>
      </c>
      <c r="Q96" s="6" t="b">
        <v>1</v>
      </c>
      <c r="R96" s="6" t="b">
        <v>1</v>
      </c>
      <c r="S96" s="6" t="b">
        <v>1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11 dari 31 (35%)</v>
      </c>
    </row>
    <row r="97" ht="22.5" customHeight="1">
      <c r="A97" s="2">
        <v>96.0</v>
      </c>
      <c r="B97" s="11"/>
      <c r="C97" s="22">
        <v>56433.0</v>
      </c>
      <c r="D97" s="12" t="s">
        <v>80</v>
      </c>
      <c r="E97" s="12" t="s">
        <v>143</v>
      </c>
      <c r="F97" s="15" t="s">
        <v>50</v>
      </c>
      <c r="G97" s="6" t="b">
        <v>1</v>
      </c>
      <c r="H97" s="6" t="b">
        <v>0</v>
      </c>
      <c r="I97" s="6" t="b">
        <v>0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1</v>
      </c>
      <c r="S97" s="6" t="b">
        <v>1</v>
      </c>
      <c r="T97" s="6" t="b">
        <v>0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0</v>
      </c>
      <c r="AJ97" s="6" t="b">
        <v>0</v>
      </c>
      <c r="AK97" s="6" t="b">
        <v>0</v>
      </c>
      <c r="AL97" s="9" t="str">
        <f t="shared" si="1"/>
        <v>11 dari 31 (35%)</v>
      </c>
    </row>
    <row r="98" ht="22.5" customHeight="1">
      <c r="A98" s="10">
        <v>97.0</v>
      </c>
      <c r="B98" s="11"/>
      <c r="C98" s="22">
        <v>58554.0</v>
      </c>
      <c r="D98" s="12" t="s">
        <v>53</v>
      </c>
      <c r="E98" s="12" t="s">
        <v>139</v>
      </c>
      <c r="F98" s="13"/>
      <c r="G98" s="6" t="b">
        <v>1</v>
      </c>
      <c r="H98" s="6" t="b">
        <v>1</v>
      </c>
      <c r="I98" s="6" t="b">
        <v>1</v>
      </c>
      <c r="J98" s="6" t="b">
        <v>0</v>
      </c>
      <c r="K98" s="6" t="b">
        <v>1</v>
      </c>
      <c r="L98" s="6" t="b">
        <v>1</v>
      </c>
      <c r="M98" s="6" t="b">
        <v>1</v>
      </c>
      <c r="N98" s="6" t="b">
        <v>1</v>
      </c>
      <c r="O98" s="6" t="b">
        <v>1</v>
      </c>
      <c r="P98" s="6" t="b">
        <v>1</v>
      </c>
      <c r="Q98" s="6" t="b">
        <v>1</v>
      </c>
      <c r="R98" s="6" t="b">
        <v>1</v>
      </c>
      <c r="S98" s="6" t="b">
        <v>1</v>
      </c>
      <c r="T98" s="6" t="b">
        <v>0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1</v>
      </c>
      <c r="AJ98" s="6" t="b">
        <v>0</v>
      </c>
      <c r="AK98" s="6" t="b">
        <v>0</v>
      </c>
      <c r="AL98" s="9" t="str">
        <f t="shared" si="1"/>
        <v>13 dari 31 (42%)</v>
      </c>
    </row>
    <row r="99" ht="22.5" customHeight="1">
      <c r="A99" s="61">
        <v>98.0</v>
      </c>
      <c r="B99" s="62"/>
      <c r="C99" s="32">
        <v>60179.0</v>
      </c>
      <c r="D99" s="51" t="s">
        <v>53</v>
      </c>
      <c r="E99" s="51" t="s">
        <v>139</v>
      </c>
      <c r="F99" s="53"/>
      <c r="G99" s="35" t="b">
        <v>0</v>
      </c>
      <c r="H99" s="35" t="b">
        <v>0</v>
      </c>
      <c r="I99" s="35" t="b">
        <v>0</v>
      </c>
      <c r="J99" s="35" t="b">
        <v>0</v>
      </c>
      <c r="K99" s="35" t="b">
        <v>0</v>
      </c>
      <c r="L99" s="35" t="b">
        <v>0</v>
      </c>
      <c r="M99" s="35" t="b">
        <v>0</v>
      </c>
      <c r="N99" s="35" t="b">
        <v>0</v>
      </c>
      <c r="O99" s="35" t="b">
        <v>0</v>
      </c>
      <c r="P99" s="35" t="b">
        <v>0</v>
      </c>
      <c r="Q99" s="35" t="b">
        <v>0</v>
      </c>
      <c r="R99" s="35" t="b">
        <v>0</v>
      </c>
      <c r="S99" s="35" t="b">
        <v>0</v>
      </c>
      <c r="T99" s="35" t="b">
        <v>0</v>
      </c>
      <c r="U99" s="35" t="b">
        <v>0</v>
      </c>
      <c r="V99" s="35" t="b">
        <v>0</v>
      </c>
      <c r="W99" s="35" t="b">
        <v>0</v>
      </c>
      <c r="X99" s="35" t="b">
        <v>0</v>
      </c>
      <c r="Y99" s="35" t="b">
        <v>0</v>
      </c>
      <c r="Z99" s="35" t="b">
        <v>0</v>
      </c>
      <c r="AA99" s="35" t="b">
        <v>0</v>
      </c>
      <c r="AB99" s="35" t="b">
        <v>0</v>
      </c>
      <c r="AC99" s="35" t="b">
        <v>0</v>
      </c>
      <c r="AD99" s="35" t="b">
        <v>0</v>
      </c>
      <c r="AE99" s="35" t="b">
        <v>0</v>
      </c>
      <c r="AF99" s="35" t="b">
        <v>0</v>
      </c>
      <c r="AG99" s="35" t="b">
        <v>0</v>
      </c>
      <c r="AH99" s="35" t="b">
        <v>0</v>
      </c>
      <c r="AI99" s="35" t="b">
        <v>0</v>
      </c>
      <c r="AJ99" s="35" t="b">
        <v>0</v>
      </c>
      <c r="AK99" s="35" t="b">
        <v>0</v>
      </c>
      <c r="AL99" s="64" t="str">
        <f t="shared" si="1"/>
        <v>0 dari 31 (0%)</v>
      </c>
    </row>
    <row r="100" ht="22.5" customHeight="1">
      <c r="A100" s="2">
        <v>99.0</v>
      </c>
      <c r="B100" s="11"/>
      <c r="C100" s="22">
        <v>51403.0</v>
      </c>
      <c r="D100" s="12" t="s">
        <v>53</v>
      </c>
      <c r="E100" s="12" t="s">
        <v>139</v>
      </c>
      <c r="F100" s="13"/>
      <c r="G100" s="6" t="b">
        <v>1</v>
      </c>
      <c r="H100" s="6" t="b">
        <v>1</v>
      </c>
      <c r="I100" s="6" t="b">
        <v>1</v>
      </c>
      <c r="J100" s="6" t="b">
        <v>1</v>
      </c>
      <c r="K100" s="6" t="b">
        <v>1</v>
      </c>
      <c r="L100" s="6" t="b">
        <v>1</v>
      </c>
      <c r="M100" s="6" t="b">
        <v>1</v>
      </c>
      <c r="N100" s="6" t="b">
        <v>1</v>
      </c>
      <c r="O100" s="6" t="b">
        <v>1</v>
      </c>
      <c r="P100" s="6" t="b">
        <v>1</v>
      </c>
      <c r="Q100" s="6" t="b">
        <v>1</v>
      </c>
      <c r="R100" s="6" t="b">
        <v>1</v>
      </c>
      <c r="S100" s="6" t="b">
        <v>1</v>
      </c>
      <c r="T100" s="6" t="b">
        <v>0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1</v>
      </c>
      <c r="AJ100" s="6" t="b">
        <v>0</v>
      </c>
      <c r="AK100" s="6" t="b">
        <v>0</v>
      </c>
      <c r="AL100" s="9" t="str">
        <f t="shared" si="1"/>
        <v>14 dari 31 (45%)</v>
      </c>
    </row>
    <row r="101" ht="22.5" customHeight="1">
      <c r="A101" s="10">
        <v>100.0</v>
      </c>
      <c r="B101" s="11"/>
      <c r="C101" s="22">
        <v>47269.0</v>
      </c>
      <c r="D101" s="12" t="s">
        <v>53</v>
      </c>
      <c r="E101" s="12" t="s">
        <v>139</v>
      </c>
      <c r="F101" s="13"/>
      <c r="G101" s="6" t="b">
        <v>1</v>
      </c>
      <c r="H101" s="6" t="b">
        <v>1</v>
      </c>
      <c r="I101" s="6" t="b">
        <v>1</v>
      </c>
      <c r="J101" s="6" t="b">
        <v>1</v>
      </c>
      <c r="K101" s="6" t="b">
        <v>1</v>
      </c>
      <c r="L101" s="6" t="b">
        <v>1</v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b">
        <v>1</v>
      </c>
      <c r="T101" s="6" t="b">
        <v>1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1</v>
      </c>
      <c r="AJ101" s="6" t="b">
        <v>0</v>
      </c>
      <c r="AK101" s="6" t="b">
        <v>0</v>
      </c>
      <c r="AL101" s="9" t="str">
        <f t="shared" si="1"/>
        <v>15 dari 31 (48%)</v>
      </c>
    </row>
    <row r="102" ht="22.5" customHeight="1">
      <c r="A102" s="61">
        <v>101.0</v>
      </c>
      <c r="B102" s="62"/>
      <c r="C102" s="60">
        <v>60221.0</v>
      </c>
      <c r="D102" s="51" t="s">
        <v>53</v>
      </c>
      <c r="E102" s="51" t="s">
        <v>92</v>
      </c>
      <c r="F102" s="53"/>
      <c r="G102" s="35" t="b">
        <v>0</v>
      </c>
      <c r="H102" s="35" t="b">
        <v>0</v>
      </c>
      <c r="I102" s="35" t="b">
        <v>0</v>
      </c>
      <c r="J102" s="35" t="b">
        <v>0</v>
      </c>
      <c r="K102" s="35" t="b">
        <v>0</v>
      </c>
      <c r="L102" s="35" t="b">
        <v>0</v>
      </c>
      <c r="M102" s="35" t="b">
        <v>0</v>
      </c>
      <c r="N102" s="35" t="b">
        <v>0</v>
      </c>
      <c r="O102" s="35" t="b">
        <v>0</v>
      </c>
      <c r="P102" s="35" t="b">
        <v>0</v>
      </c>
      <c r="Q102" s="35" t="b">
        <v>0</v>
      </c>
      <c r="R102" s="35" t="b">
        <v>0</v>
      </c>
      <c r="S102" s="35" t="b">
        <v>0</v>
      </c>
      <c r="T102" s="35" t="b">
        <v>0</v>
      </c>
      <c r="U102" s="35" t="b">
        <v>0</v>
      </c>
      <c r="V102" s="35" t="b">
        <v>0</v>
      </c>
      <c r="W102" s="35" t="b">
        <v>0</v>
      </c>
      <c r="X102" s="35" t="b">
        <v>0</v>
      </c>
      <c r="Y102" s="35" t="b">
        <v>0</v>
      </c>
      <c r="Z102" s="35" t="b">
        <v>0</v>
      </c>
      <c r="AA102" s="35" t="b">
        <v>0</v>
      </c>
      <c r="AB102" s="35" t="b">
        <v>0</v>
      </c>
      <c r="AC102" s="35" t="b">
        <v>0</v>
      </c>
      <c r="AD102" s="35" t="b">
        <v>0</v>
      </c>
      <c r="AE102" s="35" t="b">
        <v>0</v>
      </c>
      <c r="AF102" s="35" t="b">
        <v>0</v>
      </c>
      <c r="AG102" s="35" t="b">
        <v>0</v>
      </c>
      <c r="AH102" s="35" t="b">
        <v>0</v>
      </c>
      <c r="AI102" s="35" t="b">
        <v>0</v>
      </c>
      <c r="AJ102" s="35" t="b">
        <v>0</v>
      </c>
      <c r="AK102" s="35" t="b">
        <v>0</v>
      </c>
      <c r="AL102" s="64" t="str">
        <f t="shared" si="1"/>
        <v>0 dari 31 (0%)</v>
      </c>
    </row>
    <row r="103" ht="22.5" customHeight="1">
      <c r="A103" s="2">
        <v>102.0</v>
      </c>
      <c r="B103" s="11"/>
      <c r="C103" s="22">
        <v>60489.0</v>
      </c>
      <c r="D103" s="12" t="s">
        <v>53</v>
      </c>
      <c r="E103" s="12" t="s">
        <v>92</v>
      </c>
      <c r="F103" s="13"/>
      <c r="G103" s="6" t="b">
        <v>1</v>
      </c>
      <c r="H103" s="6" t="b">
        <v>1</v>
      </c>
      <c r="I103" s="6" t="b">
        <v>1</v>
      </c>
      <c r="J103" s="6" t="b">
        <v>1</v>
      </c>
      <c r="K103" s="6" t="b">
        <v>1</v>
      </c>
      <c r="L103" s="6" t="b">
        <v>1</v>
      </c>
      <c r="M103" s="6" t="b">
        <v>1</v>
      </c>
      <c r="N103" s="6" t="b">
        <v>0</v>
      </c>
      <c r="O103" s="6" t="b">
        <v>0</v>
      </c>
      <c r="P103" s="6" t="b">
        <v>1</v>
      </c>
      <c r="Q103" s="6" t="b">
        <v>1</v>
      </c>
      <c r="R103" s="6" t="b">
        <v>0</v>
      </c>
      <c r="S103" s="6" t="b">
        <v>1</v>
      </c>
      <c r="T103" s="6" t="b">
        <v>0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1</v>
      </c>
      <c r="AJ103" s="6" t="b">
        <v>0</v>
      </c>
      <c r="AK103" s="6" t="b">
        <v>0</v>
      </c>
      <c r="AL103" s="9" t="str">
        <f t="shared" si="1"/>
        <v>11 dari 31 (35%)</v>
      </c>
    </row>
    <row r="104" ht="22.5" customHeight="1">
      <c r="A104" s="10">
        <v>103.0</v>
      </c>
      <c r="B104" s="11"/>
      <c r="C104" s="22">
        <v>30784.0</v>
      </c>
      <c r="D104" s="12" t="s">
        <v>85</v>
      </c>
      <c r="E104" s="12" t="s">
        <v>69</v>
      </c>
      <c r="F104" s="13"/>
      <c r="G104" s="6" t="b">
        <v>1</v>
      </c>
      <c r="H104" s="6" t="b">
        <v>1</v>
      </c>
      <c r="I104" s="6" t="b">
        <v>1</v>
      </c>
      <c r="J104" s="6" t="b">
        <v>1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1</v>
      </c>
      <c r="AJ104" s="6" t="b">
        <v>0</v>
      </c>
      <c r="AK104" s="6" t="b">
        <v>0</v>
      </c>
      <c r="AL104" s="9" t="str">
        <f t="shared" si="1"/>
        <v>15 dari 31 (48%)</v>
      </c>
    </row>
    <row r="105" ht="22.5" customHeight="1">
      <c r="A105" s="10">
        <v>104.0</v>
      </c>
      <c r="B105" s="11"/>
      <c r="C105" s="22">
        <v>57303.0</v>
      </c>
      <c r="D105" s="12" t="s">
        <v>80</v>
      </c>
      <c r="E105" s="12" t="s">
        <v>143</v>
      </c>
      <c r="F105" s="15" t="s">
        <v>50</v>
      </c>
      <c r="G105" s="6" t="b">
        <v>1</v>
      </c>
      <c r="H105" s="6" t="b">
        <v>0</v>
      </c>
      <c r="I105" s="6" t="b">
        <v>0</v>
      </c>
      <c r="J105" s="6" t="b">
        <v>1</v>
      </c>
      <c r="K105" s="6" t="b">
        <v>1</v>
      </c>
      <c r="L105" s="6" t="b">
        <v>1</v>
      </c>
      <c r="M105" s="6" t="b">
        <v>1</v>
      </c>
      <c r="N105" s="6" t="b">
        <v>1</v>
      </c>
      <c r="O105" s="6" t="b">
        <v>1</v>
      </c>
      <c r="P105" s="6" t="b">
        <v>1</v>
      </c>
      <c r="Q105" s="6" t="b">
        <v>1</v>
      </c>
      <c r="R105" s="6" t="b">
        <v>1</v>
      </c>
      <c r="S105" s="6" t="b">
        <v>1</v>
      </c>
      <c r="T105" s="6" t="b">
        <v>0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1</v>
      </c>
      <c r="AJ105" s="6" t="b">
        <v>0</v>
      </c>
      <c r="AK105" s="6" t="b">
        <v>0</v>
      </c>
      <c r="AL105" s="17" t="str">
        <f t="shared" si="1"/>
        <v>12 dari 31 (39%)</v>
      </c>
    </row>
    <row r="106" ht="22.5" customHeight="1">
      <c r="A106" s="2">
        <v>105.0</v>
      </c>
      <c r="B106" s="11"/>
      <c r="C106" s="22">
        <v>61240.0</v>
      </c>
      <c r="D106" s="12" t="s">
        <v>39</v>
      </c>
      <c r="E106" s="12" t="s">
        <v>42</v>
      </c>
      <c r="F106" s="13"/>
      <c r="G106" s="6" t="b">
        <v>1</v>
      </c>
      <c r="H106" s="6" t="b">
        <v>1</v>
      </c>
      <c r="I106" s="6" t="b">
        <v>1</v>
      </c>
      <c r="J106" s="6" t="b">
        <v>1</v>
      </c>
      <c r="K106" s="6" t="b">
        <v>1</v>
      </c>
      <c r="L106" s="6" t="b">
        <v>1</v>
      </c>
      <c r="M106" s="6" t="b">
        <v>1</v>
      </c>
      <c r="N106" s="6" t="b">
        <v>1</v>
      </c>
      <c r="O106" s="6" t="b">
        <v>1</v>
      </c>
      <c r="P106" s="6" t="b">
        <v>1</v>
      </c>
      <c r="Q106" s="6" t="b">
        <v>1</v>
      </c>
      <c r="R106" s="6" t="b">
        <v>1</v>
      </c>
      <c r="S106" s="6" t="b">
        <v>1</v>
      </c>
      <c r="T106" s="6" t="b">
        <v>1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1</v>
      </c>
      <c r="AJ106" s="6" t="b">
        <v>0</v>
      </c>
      <c r="AK106" s="6" t="b">
        <v>0</v>
      </c>
      <c r="AL106" s="9" t="str">
        <f t="shared" si="1"/>
        <v>15 dari 31 (48%)</v>
      </c>
    </row>
    <row r="107" ht="22.5" customHeight="1">
      <c r="A107" s="10">
        <v>106.0</v>
      </c>
      <c r="B107" s="11"/>
      <c r="C107" s="22">
        <v>54027.0</v>
      </c>
      <c r="D107" s="12" t="s">
        <v>56</v>
      </c>
      <c r="E107" s="12" t="s">
        <v>123</v>
      </c>
      <c r="F107" s="13"/>
      <c r="G107" s="6" t="b">
        <v>1</v>
      </c>
      <c r="H107" s="6" t="b">
        <v>1</v>
      </c>
      <c r="I107" s="6" t="b">
        <v>1</v>
      </c>
      <c r="J107" s="6" t="b">
        <v>1</v>
      </c>
      <c r="K107" s="6" t="b">
        <v>1</v>
      </c>
      <c r="L107" s="6" t="b">
        <v>1</v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b">
        <v>1</v>
      </c>
      <c r="T107" s="6" t="b">
        <v>1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1</v>
      </c>
      <c r="AJ107" s="6" t="b">
        <v>0</v>
      </c>
      <c r="AK107" s="6" t="b">
        <v>0</v>
      </c>
      <c r="AL107" s="9" t="str">
        <f t="shared" si="1"/>
        <v>15 dari 31 (48%)</v>
      </c>
    </row>
    <row r="108" ht="22.5" customHeight="1">
      <c r="A108" s="10">
        <v>107.0</v>
      </c>
      <c r="B108" s="11"/>
      <c r="C108" s="22">
        <v>41946.0</v>
      </c>
      <c r="D108" s="12" t="s">
        <v>56</v>
      </c>
      <c r="E108" s="12" t="s">
        <v>87</v>
      </c>
      <c r="F108" s="13"/>
      <c r="G108" s="6" t="b">
        <v>1</v>
      </c>
      <c r="H108" s="6" t="b">
        <v>1</v>
      </c>
      <c r="I108" s="6" t="b">
        <v>1</v>
      </c>
      <c r="J108" s="6" t="b">
        <v>1</v>
      </c>
      <c r="K108" s="6" t="b">
        <v>1</v>
      </c>
      <c r="L108" s="6" t="b">
        <v>1</v>
      </c>
      <c r="M108" s="6" t="b">
        <v>1</v>
      </c>
      <c r="N108" s="6" t="b">
        <v>1</v>
      </c>
      <c r="O108" s="6" t="b">
        <v>1</v>
      </c>
      <c r="P108" s="6" t="b">
        <v>1</v>
      </c>
      <c r="Q108" s="6" t="b">
        <v>1</v>
      </c>
      <c r="R108" s="6" t="b">
        <v>1</v>
      </c>
      <c r="S108" s="6" t="b">
        <v>1</v>
      </c>
      <c r="T108" s="6" t="b">
        <v>1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1</v>
      </c>
      <c r="AJ108" s="6" t="b">
        <v>0</v>
      </c>
      <c r="AK108" s="6" t="b">
        <v>0</v>
      </c>
      <c r="AL108" s="17" t="str">
        <f t="shared" si="1"/>
        <v>15 dari 31 (48%)</v>
      </c>
    </row>
    <row r="109" ht="22.5" customHeight="1">
      <c r="A109" s="2">
        <v>108.0</v>
      </c>
      <c r="B109" s="11"/>
      <c r="C109" s="22">
        <v>60982.0</v>
      </c>
      <c r="D109" s="12" t="s">
        <v>68</v>
      </c>
      <c r="E109" s="12" t="s">
        <v>109</v>
      </c>
      <c r="F109" s="13"/>
      <c r="G109" s="6" t="b">
        <v>1</v>
      </c>
      <c r="H109" s="6" t="b">
        <v>1</v>
      </c>
      <c r="I109" s="6" t="b">
        <v>1</v>
      </c>
      <c r="J109" s="6" t="b">
        <v>1</v>
      </c>
      <c r="K109" s="6" t="b">
        <v>1</v>
      </c>
      <c r="L109" s="6" t="b">
        <v>1</v>
      </c>
      <c r="M109" s="6" t="b">
        <v>1</v>
      </c>
      <c r="N109" s="6" t="b">
        <v>1</v>
      </c>
      <c r="O109" s="6" t="b">
        <v>1</v>
      </c>
      <c r="P109" s="6" t="b">
        <v>1</v>
      </c>
      <c r="Q109" s="6" t="b">
        <v>1</v>
      </c>
      <c r="R109" s="6" t="b">
        <v>1</v>
      </c>
      <c r="S109" s="6" t="b">
        <v>1</v>
      </c>
      <c r="T109" s="6" t="b">
        <v>1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1</v>
      </c>
      <c r="AJ109" s="6" t="b">
        <v>0</v>
      </c>
      <c r="AK109" s="6" t="b">
        <v>0</v>
      </c>
      <c r="AL109" s="9" t="str">
        <f t="shared" si="1"/>
        <v>15 dari 31 (48%)</v>
      </c>
    </row>
    <row r="110" ht="22.5" customHeight="1">
      <c r="A110" s="10">
        <v>109.0</v>
      </c>
      <c r="B110" s="11"/>
      <c r="C110" s="22">
        <v>57244.0</v>
      </c>
      <c r="D110" s="12" t="s">
        <v>68</v>
      </c>
      <c r="E110" s="12" t="s">
        <v>109</v>
      </c>
      <c r="F110" s="13"/>
      <c r="G110" s="6" t="b">
        <v>1</v>
      </c>
      <c r="H110" s="6" t="b">
        <v>1</v>
      </c>
      <c r="I110" s="6" t="b">
        <v>1</v>
      </c>
      <c r="J110" s="6" t="b">
        <v>1</v>
      </c>
      <c r="K110" s="6" t="b">
        <v>1</v>
      </c>
      <c r="L110" s="6" t="b">
        <v>1</v>
      </c>
      <c r="M110" s="6" t="b">
        <v>1</v>
      </c>
      <c r="N110" s="6" t="b">
        <v>1</v>
      </c>
      <c r="O110" s="6" t="b">
        <v>1</v>
      </c>
      <c r="P110" s="6" t="b">
        <v>1</v>
      </c>
      <c r="Q110" s="6" t="b">
        <v>1</v>
      </c>
      <c r="R110" s="6" t="b">
        <v>1</v>
      </c>
      <c r="S110" s="6" t="b">
        <v>1</v>
      </c>
      <c r="T110" s="6" t="b">
        <v>1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1</v>
      </c>
      <c r="AJ110" s="6" t="b">
        <v>0</v>
      </c>
      <c r="AK110" s="6" t="b">
        <v>0</v>
      </c>
      <c r="AL110" s="9" t="str">
        <f t="shared" si="1"/>
        <v>15 dari 31 (48%)</v>
      </c>
    </row>
    <row r="111" ht="22.5" customHeight="1">
      <c r="A111" s="10">
        <v>110.0</v>
      </c>
      <c r="B111" s="11"/>
      <c r="C111" s="22">
        <v>59731.0</v>
      </c>
      <c r="D111" s="12" t="s">
        <v>68</v>
      </c>
      <c r="E111" s="12" t="s">
        <v>55</v>
      </c>
      <c r="F111" s="13"/>
      <c r="G111" s="6" t="b">
        <v>1</v>
      </c>
      <c r="H111" s="6" t="b">
        <v>1</v>
      </c>
      <c r="I111" s="6" t="b">
        <v>1</v>
      </c>
      <c r="J111" s="6" t="b">
        <v>1</v>
      </c>
      <c r="K111" s="6" t="b">
        <v>1</v>
      </c>
      <c r="L111" s="6" t="b">
        <v>1</v>
      </c>
      <c r="M111" s="6" t="b">
        <v>1</v>
      </c>
      <c r="N111" s="6" t="b">
        <v>1</v>
      </c>
      <c r="O111" s="6" t="b">
        <v>1</v>
      </c>
      <c r="P111" s="6" t="b">
        <v>1</v>
      </c>
      <c r="Q111" s="6" t="b">
        <v>1</v>
      </c>
      <c r="R111" s="6" t="b">
        <v>1</v>
      </c>
      <c r="S111" s="6" t="b">
        <v>1</v>
      </c>
      <c r="T111" s="6" t="b">
        <v>1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1</v>
      </c>
      <c r="AJ111" s="6" t="b">
        <v>0</v>
      </c>
      <c r="AK111" s="6" t="b">
        <v>0</v>
      </c>
      <c r="AL111" s="17" t="str">
        <f t="shared" si="1"/>
        <v>15 dari 31 (48%)</v>
      </c>
    </row>
    <row r="112" ht="22.5" customHeight="1">
      <c r="A112" s="2">
        <v>111.0</v>
      </c>
      <c r="B112" s="11"/>
      <c r="C112" s="22">
        <v>61241.0</v>
      </c>
      <c r="D112" s="12" t="s">
        <v>53</v>
      </c>
      <c r="E112" s="12" t="s">
        <v>77</v>
      </c>
      <c r="F112" s="15" t="s">
        <v>50</v>
      </c>
      <c r="G112" s="6" t="b">
        <v>1</v>
      </c>
      <c r="H112" s="6" t="b">
        <v>0</v>
      </c>
      <c r="I112" s="6" t="b">
        <v>0</v>
      </c>
      <c r="J112" s="6" t="b">
        <v>1</v>
      </c>
      <c r="K112" s="6" t="b">
        <v>1</v>
      </c>
      <c r="L112" s="6" t="b">
        <v>1</v>
      </c>
      <c r="M112" s="6" t="b">
        <v>1</v>
      </c>
      <c r="N112" s="6" t="b">
        <v>1</v>
      </c>
      <c r="O112" s="6" t="b">
        <v>1</v>
      </c>
      <c r="P112" s="6" t="b">
        <v>1</v>
      </c>
      <c r="Q112" s="6" t="b">
        <v>1</v>
      </c>
      <c r="R112" s="6" t="b">
        <v>1</v>
      </c>
      <c r="S112" s="6" t="b">
        <v>1</v>
      </c>
      <c r="T112" s="6" t="b">
        <v>0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1</v>
      </c>
      <c r="AJ112" s="6" t="b">
        <v>0</v>
      </c>
      <c r="AK112" s="6" t="b">
        <v>0</v>
      </c>
      <c r="AL112" s="9" t="str">
        <f t="shared" si="1"/>
        <v>12 dari 31 (39%)</v>
      </c>
    </row>
    <row r="113" ht="22.5" customHeight="1">
      <c r="A113" s="10">
        <v>112.0</v>
      </c>
      <c r="B113" s="11"/>
      <c r="C113" s="22">
        <v>61242.0</v>
      </c>
      <c r="D113" s="12" t="s">
        <v>39</v>
      </c>
      <c r="E113" s="12" t="s">
        <v>42</v>
      </c>
      <c r="F113" s="13"/>
      <c r="G113" s="6" t="b">
        <v>1</v>
      </c>
      <c r="H113" s="6" t="b">
        <v>1</v>
      </c>
      <c r="I113" s="6" t="b">
        <v>1</v>
      </c>
      <c r="J113" s="6" t="b">
        <v>1</v>
      </c>
      <c r="K113" s="6" t="b">
        <v>1</v>
      </c>
      <c r="L113" s="6" t="b">
        <v>1</v>
      </c>
      <c r="M113" s="6" t="b">
        <v>1</v>
      </c>
      <c r="N113" s="6" t="b">
        <v>1</v>
      </c>
      <c r="O113" s="6" t="b">
        <v>1</v>
      </c>
      <c r="P113" s="6" t="b">
        <v>1</v>
      </c>
      <c r="Q113" s="6" t="b">
        <v>1</v>
      </c>
      <c r="R113" s="6" t="b">
        <v>1</v>
      </c>
      <c r="S113" s="6" t="b">
        <v>1</v>
      </c>
      <c r="T113" s="6" t="b">
        <v>1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1</v>
      </c>
      <c r="Z113" s="6" t="b">
        <v>1</v>
      </c>
      <c r="AA113" s="6" t="b">
        <v>1</v>
      </c>
      <c r="AB113" s="6" t="b">
        <v>1</v>
      </c>
      <c r="AC113" s="6" t="b">
        <v>1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1</v>
      </c>
      <c r="AJ113" s="6" t="b">
        <v>0</v>
      </c>
      <c r="AK113" s="6" t="b">
        <v>0</v>
      </c>
      <c r="AL113" s="9" t="str">
        <f t="shared" si="1"/>
        <v>20 dari 31 (65%)</v>
      </c>
    </row>
    <row r="114" ht="22.5" customHeight="1">
      <c r="A114" s="10">
        <v>113.0</v>
      </c>
      <c r="B114" s="11"/>
      <c r="C114" s="22">
        <v>61243.0</v>
      </c>
      <c r="D114" s="12" t="s">
        <v>53</v>
      </c>
      <c r="E114" s="12" t="s">
        <v>92</v>
      </c>
      <c r="F114" s="13"/>
      <c r="G114" s="6" t="b">
        <v>1</v>
      </c>
      <c r="H114" s="6" t="b">
        <v>1</v>
      </c>
      <c r="I114" s="6" t="b">
        <v>1</v>
      </c>
      <c r="J114" s="6" t="b">
        <v>1</v>
      </c>
      <c r="K114" s="6" t="b">
        <v>1</v>
      </c>
      <c r="L114" s="6" t="b">
        <v>1</v>
      </c>
      <c r="M114" s="6" t="b">
        <v>1</v>
      </c>
      <c r="N114" s="6" t="b">
        <v>1</v>
      </c>
      <c r="O114" s="6" t="b">
        <v>1</v>
      </c>
      <c r="P114" s="6" t="b">
        <v>1</v>
      </c>
      <c r="Q114" s="6" t="b">
        <v>1</v>
      </c>
      <c r="R114" s="6" t="b">
        <v>1</v>
      </c>
      <c r="S114" s="6" t="b">
        <v>1</v>
      </c>
      <c r="T114" s="6" t="b">
        <v>0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1</v>
      </c>
      <c r="AJ114" s="6" t="b">
        <v>0</v>
      </c>
      <c r="AK114" s="6" t="b">
        <v>0</v>
      </c>
      <c r="AL114" s="17" t="str">
        <f t="shared" si="1"/>
        <v>14 dari 31 (45%)</v>
      </c>
    </row>
    <row r="115" ht="22.5" customHeight="1">
      <c r="A115" s="2">
        <v>114.0</v>
      </c>
      <c r="B115" s="11"/>
      <c r="C115" s="22">
        <v>61078.0</v>
      </c>
      <c r="D115" s="12" t="s">
        <v>39</v>
      </c>
      <c r="E115" s="12" t="s">
        <v>42</v>
      </c>
      <c r="F115" s="15" t="s">
        <v>50</v>
      </c>
      <c r="G115" s="6" t="b">
        <v>1</v>
      </c>
      <c r="H115" s="6" t="b">
        <v>0</v>
      </c>
      <c r="I115" s="6" t="b">
        <v>0</v>
      </c>
      <c r="J115" s="6" t="b">
        <v>1</v>
      </c>
      <c r="K115" s="6" t="b">
        <v>1</v>
      </c>
      <c r="L115" s="6" t="b">
        <v>1</v>
      </c>
      <c r="M115" s="6" t="b">
        <v>1</v>
      </c>
      <c r="N115" s="6" t="b">
        <v>1</v>
      </c>
      <c r="O115" s="6" t="b">
        <v>1</v>
      </c>
      <c r="P115" s="6" t="b">
        <v>1</v>
      </c>
      <c r="Q115" s="6" t="b">
        <v>1</v>
      </c>
      <c r="R115" s="6" t="b">
        <v>1</v>
      </c>
      <c r="S115" s="6" t="b">
        <v>1</v>
      </c>
      <c r="T115" s="6" t="b">
        <v>1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12 dari 31 (39%)</v>
      </c>
    </row>
    <row r="116" ht="22.5" customHeight="1">
      <c r="A116" s="10">
        <v>115.0</v>
      </c>
      <c r="B116" s="11"/>
      <c r="C116" s="22">
        <v>61105.0</v>
      </c>
      <c r="D116" s="12" t="s">
        <v>51</v>
      </c>
      <c r="E116" s="12" t="s">
        <v>61</v>
      </c>
      <c r="F116" s="13"/>
      <c r="G116" s="6" t="b">
        <v>1</v>
      </c>
      <c r="H116" s="6" t="b">
        <v>1</v>
      </c>
      <c r="I116" s="6" t="b">
        <v>0</v>
      </c>
      <c r="J116" s="6" t="b">
        <v>1</v>
      </c>
      <c r="K116" s="6" t="b">
        <v>1</v>
      </c>
      <c r="L116" s="6" t="b">
        <v>1</v>
      </c>
      <c r="M116" s="6" t="b">
        <v>1</v>
      </c>
      <c r="N116" s="6" t="b">
        <v>1</v>
      </c>
      <c r="O116" s="6" t="b">
        <v>1</v>
      </c>
      <c r="P116" s="6" t="b">
        <v>1</v>
      </c>
      <c r="Q116" s="6" t="b">
        <v>1</v>
      </c>
      <c r="R116" s="6" t="b">
        <v>1</v>
      </c>
      <c r="S116" s="6" t="b">
        <v>1</v>
      </c>
      <c r="T116" s="6" t="b">
        <v>0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0</v>
      </c>
      <c r="AJ116" s="6" t="b">
        <v>0</v>
      </c>
      <c r="AK116" s="6" t="b">
        <v>0</v>
      </c>
      <c r="AL116" s="9" t="str">
        <f t="shared" si="1"/>
        <v>12 dari 31 (39%)</v>
      </c>
    </row>
    <row r="117" ht="22.5" customHeight="1">
      <c r="A117" s="10">
        <v>116.0</v>
      </c>
      <c r="B117" s="11"/>
      <c r="C117" s="22">
        <v>43979.0</v>
      </c>
      <c r="D117" s="12" t="s">
        <v>63</v>
      </c>
      <c r="E117" s="12" t="s">
        <v>87</v>
      </c>
      <c r="F117" s="13"/>
      <c r="G117" s="6" t="b">
        <v>1</v>
      </c>
      <c r="H117" s="6" t="b">
        <v>1</v>
      </c>
      <c r="I117" s="6" t="b">
        <v>1</v>
      </c>
      <c r="J117" s="6" t="b">
        <v>1</v>
      </c>
      <c r="K117" s="6" t="b">
        <v>1</v>
      </c>
      <c r="L117" s="6" t="b">
        <v>1</v>
      </c>
      <c r="M117" s="6" t="b">
        <v>1</v>
      </c>
      <c r="N117" s="6" t="b">
        <v>1</v>
      </c>
      <c r="O117" s="6" t="b">
        <v>1</v>
      </c>
      <c r="P117" s="6" t="b">
        <v>1</v>
      </c>
      <c r="Q117" s="6" t="b">
        <v>1</v>
      </c>
      <c r="R117" s="6" t="b">
        <v>1</v>
      </c>
      <c r="S117" s="6" t="b">
        <v>1</v>
      </c>
      <c r="T117" s="6" t="b">
        <v>1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1</v>
      </c>
      <c r="AJ117" s="6" t="b">
        <v>0</v>
      </c>
      <c r="AK117" s="6" t="b">
        <v>0</v>
      </c>
      <c r="AL117" s="17" t="str">
        <f t="shared" si="1"/>
        <v>15 dari 31 (48%)</v>
      </c>
    </row>
    <row r="118" ht="22.5" customHeight="1">
      <c r="A118" s="2">
        <v>117.0</v>
      </c>
      <c r="B118" s="11"/>
      <c r="C118" s="22">
        <v>61245.0</v>
      </c>
      <c r="D118" s="12" t="s">
        <v>63</v>
      </c>
      <c r="E118" s="12" t="s">
        <v>87</v>
      </c>
      <c r="F118" s="13"/>
      <c r="G118" s="6" t="b">
        <v>1</v>
      </c>
      <c r="H118" s="6" t="b">
        <v>1</v>
      </c>
      <c r="I118" s="6" t="b">
        <v>1</v>
      </c>
      <c r="J118" s="6" t="b">
        <v>1</v>
      </c>
      <c r="K118" s="6" t="b">
        <v>1</v>
      </c>
      <c r="L118" s="6" t="b">
        <v>1</v>
      </c>
      <c r="M118" s="6" t="b">
        <v>1</v>
      </c>
      <c r="N118" s="6" t="b">
        <v>1</v>
      </c>
      <c r="O118" s="6" t="b">
        <v>1</v>
      </c>
      <c r="P118" s="6" t="b">
        <v>1</v>
      </c>
      <c r="Q118" s="6" t="b">
        <v>1</v>
      </c>
      <c r="R118" s="6" t="b">
        <v>1</v>
      </c>
      <c r="S118" s="6" t="b">
        <v>1</v>
      </c>
      <c r="T118" s="6" t="b">
        <v>1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1</v>
      </c>
      <c r="AJ118" s="6" t="b">
        <v>0</v>
      </c>
      <c r="AK118" s="6" t="b">
        <v>0</v>
      </c>
      <c r="AL118" s="9" t="str">
        <f t="shared" si="1"/>
        <v>15 dari 31 (48%)</v>
      </c>
    </row>
    <row r="119" ht="22.5" customHeight="1">
      <c r="A119" s="10">
        <v>118.0</v>
      </c>
      <c r="B119" s="11"/>
      <c r="C119" s="22">
        <v>61246.0</v>
      </c>
      <c r="D119" s="12" t="s">
        <v>39</v>
      </c>
      <c r="E119" s="12" t="s">
        <v>42</v>
      </c>
      <c r="F119" s="13"/>
      <c r="G119" s="6" t="b">
        <v>1</v>
      </c>
      <c r="H119" s="6" t="b">
        <v>1</v>
      </c>
      <c r="I119" s="6" t="b">
        <v>1</v>
      </c>
      <c r="J119" s="6" t="b">
        <v>1</v>
      </c>
      <c r="K119" s="6" t="b">
        <v>1</v>
      </c>
      <c r="L119" s="6" t="b">
        <v>1</v>
      </c>
      <c r="M119" s="6" t="b">
        <v>1</v>
      </c>
      <c r="N119" s="6" t="b">
        <v>1</v>
      </c>
      <c r="O119" s="6" t="b">
        <v>1</v>
      </c>
      <c r="P119" s="6" t="b">
        <v>1</v>
      </c>
      <c r="Q119" s="6" t="b">
        <v>1</v>
      </c>
      <c r="R119" s="6" t="b">
        <v>1</v>
      </c>
      <c r="S119" s="6" t="b">
        <v>1</v>
      </c>
      <c r="T119" s="6" t="b">
        <v>1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1</v>
      </c>
      <c r="AA119" s="6" t="b">
        <v>1</v>
      </c>
      <c r="AB119" s="6" t="b">
        <v>1</v>
      </c>
      <c r="AC119" s="6" t="b">
        <v>1</v>
      </c>
      <c r="AD119" s="6" t="b">
        <v>1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1</v>
      </c>
      <c r="AJ119" s="6" t="b">
        <v>0</v>
      </c>
      <c r="AK119" s="6" t="b">
        <v>0</v>
      </c>
      <c r="AL119" s="9" t="str">
        <f t="shared" si="1"/>
        <v>20 dari 31 (65%)</v>
      </c>
    </row>
    <row r="120" ht="22.5" customHeight="1">
      <c r="A120" s="10">
        <v>119.0</v>
      </c>
      <c r="B120" s="11"/>
      <c r="C120" s="65">
        <v>60962.0</v>
      </c>
      <c r="D120" s="12" t="s">
        <v>51</v>
      </c>
      <c r="E120" s="12" t="s">
        <v>61</v>
      </c>
      <c r="F120" s="13"/>
      <c r="G120" s="6" t="b">
        <v>1</v>
      </c>
      <c r="H120" s="6" t="b">
        <v>1</v>
      </c>
      <c r="I120" s="6" t="b">
        <v>0</v>
      </c>
      <c r="J120" s="6" t="b">
        <v>1</v>
      </c>
      <c r="K120" s="6" t="b">
        <v>1</v>
      </c>
      <c r="L120" s="6" t="b">
        <v>1</v>
      </c>
      <c r="M120" s="6" t="b">
        <v>1</v>
      </c>
      <c r="N120" s="6" t="b">
        <v>1</v>
      </c>
      <c r="O120" s="6" t="b">
        <v>1</v>
      </c>
      <c r="P120" s="6" t="b">
        <v>1</v>
      </c>
      <c r="Q120" s="6" t="b">
        <v>1</v>
      </c>
      <c r="R120" s="6" t="b">
        <v>1</v>
      </c>
      <c r="S120" s="6" t="b">
        <v>1</v>
      </c>
      <c r="T120" s="6" t="b">
        <v>0</v>
      </c>
      <c r="U120" s="6" t="b">
        <v>0</v>
      </c>
      <c r="V120" s="6" t="b">
        <v>0</v>
      </c>
      <c r="W120" s="6" t="b">
        <v>1</v>
      </c>
      <c r="X120" s="6" t="b">
        <v>1</v>
      </c>
      <c r="Y120" s="6" t="b">
        <v>1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0</v>
      </c>
      <c r="AJ120" s="6" t="b">
        <v>0</v>
      </c>
      <c r="AK120" s="6" t="b">
        <v>0</v>
      </c>
      <c r="AL120" s="17" t="str">
        <f t="shared" si="1"/>
        <v>15 dari 31 (48%)</v>
      </c>
    </row>
    <row r="121" ht="22.5" customHeight="1">
      <c r="A121" s="2">
        <v>120.0</v>
      </c>
      <c r="B121" s="11"/>
      <c r="C121" s="22">
        <v>61244.0</v>
      </c>
      <c r="D121" s="12" t="s">
        <v>63</v>
      </c>
      <c r="E121" s="12" t="s">
        <v>112</v>
      </c>
      <c r="F121" s="13"/>
      <c r="G121" s="6" t="b">
        <v>1</v>
      </c>
      <c r="H121" s="6" t="b">
        <v>1</v>
      </c>
      <c r="I121" s="6" t="b">
        <v>1</v>
      </c>
      <c r="J121" s="6" t="b">
        <v>1</v>
      </c>
      <c r="K121" s="6" t="b">
        <v>1</v>
      </c>
      <c r="L121" s="6" t="b">
        <v>1</v>
      </c>
      <c r="M121" s="6" t="b">
        <v>1</v>
      </c>
      <c r="N121" s="6" t="b">
        <v>1</v>
      </c>
      <c r="O121" s="6" t="b">
        <v>1</v>
      </c>
      <c r="P121" s="6" t="b">
        <v>1</v>
      </c>
      <c r="Q121" s="6" t="b">
        <v>1</v>
      </c>
      <c r="R121" s="6" t="b">
        <v>1</v>
      </c>
      <c r="S121" s="6" t="b">
        <v>1</v>
      </c>
      <c r="T121" s="6" t="b">
        <v>1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1</v>
      </c>
      <c r="AJ121" s="6" t="b">
        <v>0</v>
      </c>
      <c r="AK121" s="6" t="b">
        <v>0</v>
      </c>
      <c r="AL121" s="9" t="str">
        <f t="shared" si="1"/>
        <v>15 dari 31 (48%)</v>
      </c>
    </row>
    <row r="122" ht="22.5" customHeight="1">
      <c r="A122" s="10">
        <v>121.0</v>
      </c>
      <c r="B122" s="11"/>
      <c r="C122" s="20">
        <v>61247.0</v>
      </c>
      <c r="D122" s="12" t="s">
        <v>39</v>
      </c>
      <c r="E122" s="12" t="s">
        <v>42</v>
      </c>
      <c r="F122" s="13"/>
      <c r="G122" s="6" t="b">
        <v>1</v>
      </c>
      <c r="H122" s="6" t="b">
        <v>1</v>
      </c>
      <c r="I122" s="6" t="b">
        <v>1</v>
      </c>
      <c r="J122" s="6" t="b">
        <v>1</v>
      </c>
      <c r="K122" s="6" t="b">
        <v>1</v>
      </c>
      <c r="L122" s="6" t="b">
        <v>1</v>
      </c>
      <c r="M122" s="6" t="b">
        <v>1</v>
      </c>
      <c r="N122" s="6" t="b">
        <v>1</v>
      </c>
      <c r="O122" s="6" t="b">
        <v>1</v>
      </c>
      <c r="P122" s="6" t="b">
        <v>1</v>
      </c>
      <c r="Q122" s="6" t="b">
        <v>1</v>
      </c>
      <c r="R122" s="6" t="b">
        <v>1</v>
      </c>
      <c r="S122" s="6" t="b">
        <v>1</v>
      </c>
      <c r="T122" s="6" t="b">
        <v>1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1</v>
      </c>
      <c r="AA122" s="6" t="b">
        <v>1</v>
      </c>
      <c r="AB122" s="6" t="b">
        <v>1</v>
      </c>
      <c r="AC122" s="6" t="b">
        <v>1</v>
      </c>
      <c r="AD122" s="6" t="b">
        <v>1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1</v>
      </c>
      <c r="AJ122" s="6" t="b">
        <v>0</v>
      </c>
      <c r="AK122" s="6" t="b">
        <v>0</v>
      </c>
      <c r="AL122" s="9" t="str">
        <f t="shared" si="1"/>
        <v>20 dari 31 (65%)</v>
      </c>
    </row>
    <row r="123" ht="22.5" customHeight="1">
      <c r="A123" s="10">
        <v>122.0</v>
      </c>
      <c r="B123" s="11"/>
      <c r="C123" s="20">
        <v>61248.0</v>
      </c>
      <c r="D123" s="12" t="s">
        <v>54</v>
      </c>
      <c r="E123" s="12" t="s">
        <v>76</v>
      </c>
      <c r="F123" s="13"/>
      <c r="G123" s="6" t="b">
        <v>1</v>
      </c>
      <c r="H123" s="6" t="b">
        <v>1</v>
      </c>
      <c r="I123" s="6" t="b">
        <v>1</v>
      </c>
      <c r="J123" s="6" t="b">
        <v>0</v>
      </c>
      <c r="K123" s="6" t="b">
        <v>1</v>
      </c>
      <c r="L123" s="6" t="b">
        <v>1</v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1</v>
      </c>
      <c r="S123" s="6" t="b">
        <v>1</v>
      </c>
      <c r="T123" s="6" t="b">
        <v>1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1</v>
      </c>
      <c r="AJ123" s="6" t="b">
        <v>0</v>
      </c>
      <c r="AK123" s="6" t="b">
        <v>0</v>
      </c>
      <c r="AL123" s="17" t="str">
        <f t="shared" si="1"/>
        <v>14 dari 31 (45%)</v>
      </c>
    </row>
    <row r="124" ht="22.5" customHeight="1">
      <c r="A124" s="2">
        <v>123.0</v>
      </c>
      <c r="B124" s="11"/>
      <c r="C124" s="20">
        <v>61249.0</v>
      </c>
      <c r="D124" s="12" t="s">
        <v>161</v>
      </c>
      <c r="E124" s="12" t="s">
        <v>162</v>
      </c>
      <c r="F124" s="15" t="s">
        <v>50</v>
      </c>
      <c r="G124" s="6" t="b">
        <v>1</v>
      </c>
      <c r="H124" s="6" t="b">
        <v>0</v>
      </c>
      <c r="I124" s="6" t="b">
        <v>0</v>
      </c>
      <c r="J124" s="6" t="b">
        <v>0</v>
      </c>
      <c r="K124" s="6" t="b">
        <v>0</v>
      </c>
      <c r="L124" s="6" t="b">
        <v>0</v>
      </c>
      <c r="M124" s="6" t="b">
        <v>0</v>
      </c>
      <c r="N124" s="6" t="b">
        <v>0</v>
      </c>
      <c r="O124" s="6" t="b">
        <v>0</v>
      </c>
      <c r="P124" s="6" t="b">
        <v>0</v>
      </c>
      <c r="Q124" s="6" t="b">
        <v>0</v>
      </c>
      <c r="R124" s="6" t="b">
        <v>0</v>
      </c>
      <c r="S124" s="6" t="b">
        <v>0</v>
      </c>
      <c r="T124" s="6" t="b">
        <v>0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0</v>
      </c>
      <c r="AJ124" s="6" t="b">
        <v>0</v>
      </c>
      <c r="AK124" s="6" t="b">
        <v>0</v>
      </c>
      <c r="AL124" s="9" t="str">
        <f t="shared" si="1"/>
        <v>1 dari 31 (3%)</v>
      </c>
    </row>
    <row r="125" ht="22.5" customHeight="1">
      <c r="A125" s="10">
        <v>124.0</v>
      </c>
      <c r="B125" s="11"/>
      <c r="C125" s="20">
        <v>32549.0</v>
      </c>
      <c r="D125" s="12" t="s">
        <v>63</v>
      </c>
      <c r="E125" s="12" t="s">
        <v>64</v>
      </c>
      <c r="F125" s="13"/>
      <c r="G125" s="6" t="b">
        <v>1</v>
      </c>
      <c r="H125" s="6" t="b">
        <v>1</v>
      </c>
      <c r="I125" s="6" t="b">
        <v>1</v>
      </c>
      <c r="J125" s="6" t="b">
        <v>1</v>
      </c>
      <c r="K125" s="6" t="b">
        <v>1</v>
      </c>
      <c r="L125" s="6" t="b">
        <v>1</v>
      </c>
      <c r="M125" s="6" t="b">
        <v>1</v>
      </c>
      <c r="N125" s="6" t="b">
        <v>1</v>
      </c>
      <c r="O125" s="6" t="b">
        <v>1</v>
      </c>
      <c r="P125" s="6" t="b">
        <v>1</v>
      </c>
      <c r="Q125" s="6" t="b">
        <v>1</v>
      </c>
      <c r="R125" s="6" t="b">
        <v>1</v>
      </c>
      <c r="S125" s="6" t="b">
        <v>1</v>
      </c>
      <c r="T125" s="6" t="b">
        <v>1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0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1</v>
      </c>
      <c r="AJ125" s="6" t="b">
        <v>0</v>
      </c>
      <c r="AK125" s="6" t="b">
        <v>0</v>
      </c>
      <c r="AL125" s="9" t="str">
        <f t="shared" si="1"/>
        <v>15 dari 31 (48%)</v>
      </c>
    </row>
    <row r="126" ht="22.5" customHeight="1">
      <c r="A126" s="10">
        <v>125.0</v>
      </c>
      <c r="B126" s="11"/>
      <c r="C126" s="20">
        <v>30488.0</v>
      </c>
      <c r="D126" s="12" t="s">
        <v>40</v>
      </c>
      <c r="E126" s="12" t="s">
        <v>43</v>
      </c>
      <c r="F126" s="13"/>
      <c r="G126" s="6" t="b">
        <v>1</v>
      </c>
      <c r="H126" s="6" t="b">
        <v>1</v>
      </c>
      <c r="I126" s="6" t="b">
        <v>1</v>
      </c>
      <c r="J126" s="6" t="b">
        <v>1</v>
      </c>
      <c r="K126" s="6" t="b">
        <v>1</v>
      </c>
      <c r="L126" s="6" t="b">
        <v>1</v>
      </c>
      <c r="M126" s="6" t="b">
        <v>1</v>
      </c>
      <c r="N126" s="6" t="b">
        <v>1</v>
      </c>
      <c r="O126" s="6" t="b">
        <v>1</v>
      </c>
      <c r="P126" s="6" t="b">
        <v>1</v>
      </c>
      <c r="Q126" s="6" t="b">
        <v>1</v>
      </c>
      <c r="R126" s="6" t="b">
        <v>1</v>
      </c>
      <c r="S126" s="6" t="b">
        <v>1</v>
      </c>
      <c r="T126" s="6" t="b">
        <v>1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1</v>
      </c>
      <c r="AJ126" s="6" t="b">
        <v>0</v>
      </c>
      <c r="AK126" s="6" t="b">
        <v>0</v>
      </c>
      <c r="AL126" s="17" t="str">
        <f t="shared" si="1"/>
        <v>15 dari 31 (48%)</v>
      </c>
    </row>
    <row r="127" ht="22.5" customHeight="1">
      <c r="A127" s="2">
        <v>126.0</v>
      </c>
      <c r="B127" s="11"/>
      <c r="C127" s="22">
        <v>61250.0</v>
      </c>
      <c r="D127" s="12" t="s">
        <v>51</v>
      </c>
      <c r="E127" s="12" t="s">
        <v>61</v>
      </c>
      <c r="F127" s="15" t="s">
        <v>50</v>
      </c>
      <c r="G127" s="6" t="b">
        <v>1</v>
      </c>
      <c r="H127" s="6" t="b">
        <v>0</v>
      </c>
      <c r="I127" s="6" t="b">
        <v>0</v>
      </c>
      <c r="J127" s="6" t="b">
        <v>1</v>
      </c>
      <c r="K127" s="6" t="b">
        <v>1</v>
      </c>
      <c r="L127" s="6" t="b">
        <v>1</v>
      </c>
      <c r="M127" s="6" t="b">
        <v>1</v>
      </c>
      <c r="N127" s="6" t="b">
        <v>1</v>
      </c>
      <c r="O127" s="6" t="b">
        <v>1</v>
      </c>
      <c r="P127" s="6" t="b">
        <v>1</v>
      </c>
      <c r="Q127" s="6" t="b">
        <v>1</v>
      </c>
      <c r="R127" s="6" t="b">
        <v>1</v>
      </c>
      <c r="S127" s="6" t="b">
        <v>1</v>
      </c>
      <c r="T127" s="6" t="b">
        <v>1</v>
      </c>
      <c r="U127" s="6" t="b">
        <v>0</v>
      </c>
      <c r="V127" s="6" t="b">
        <v>0</v>
      </c>
      <c r="W127" s="6" t="b">
        <v>1</v>
      </c>
      <c r="X127" s="6" t="b">
        <v>1</v>
      </c>
      <c r="Y127" s="6" t="b">
        <v>1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1</v>
      </c>
      <c r="AJ127" s="6" t="b">
        <v>0</v>
      </c>
      <c r="AK127" s="6" t="b">
        <v>0</v>
      </c>
      <c r="AL127" s="9" t="str">
        <f t="shared" si="1"/>
        <v>16 dari 31 (52%)</v>
      </c>
    </row>
    <row r="128" ht="22.5" customHeight="1">
      <c r="A128" s="10">
        <v>127.0</v>
      </c>
      <c r="B128" s="11"/>
      <c r="C128" s="22">
        <v>60563.0</v>
      </c>
      <c r="D128" s="56" t="s">
        <v>40</v>
      </c>
      <c r="E128" s="56" t="s">
        <v>49</v>
      </c>
      <c r="F128" s="57"/>
      <c r="G128" s="6" t="b">
        <v>1</v>
      </c>
      <c r="H128" s="6" t="b">
        <v>1</v>
      </c>
      <c r="I128" s="6" t="b">
        <v>1</v>
      </c>
      <c r="J128" s="6" t="b">
        <v>1</v>
      </c>
      <c r="K128" s="6" t="b">
        <v>1</v>
      </c>
      <c r="L128" s="6" t="b">
        <v>1</v>
      </c>
      <c r="M128" s="6" t="b">
        <v>1</v>
      </c>
      <c r="N128" s="6" t="b">
        <v>1</v>
      </c>
      <c r="O128" s="6" t="b">
        <v>1</v>
      </c>
      <c r="P128" s="6" t="b">
        <v>1</v>
      </c>
      <c r="Q128" s="6" t="b">
        <v>1</v>
      </c>
      <c r="R128" s="6" t="b">
        <v>1</v>
      </c>
      <c r="S128" s="6" t="b">
        <v>1</v>
      </c>
      <c r="T128" s="6" t="b">
        <v>1</v>
      </c>
      <c r="U128" s="6" t="b">
        <v>0</v>
      </c>
      <c r="V128" s="6" t="b">
        <v>0</v>
      </c>
      <c r="W128" s="6" t="b">
        <v>0</v>
      </c>
      <c r="X128" s="6" t="b">
        <v>0</v>
      </c>
      <c r="Y128" s="6" t="b">
        <v>0</v>
      </c>
      <c r="Z128" s="6" t="b">
        <v>0</v>
      </c>
      <c r="AA128" s="6" t="b">
        <v>0</v>
      </c>
      <c r="AB128" s="6" t="b">
        <v>0</v>
      </c>
      <c r="AC128" s="6" t="b">
        <v>0</v>
      </c>
      <c r="AD128" s="6" t="b">
        <v>0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1</v>
      </c>
      <c r="AJ128" s="6" t="b">
        <v>0</v>
      </c>
      <c r="AK128" s="6" t="b">
        <v>0</v>
      </c>
      <c r="AL128" s="9" t="str">
        <f t="shared" si="1"/>
        <v>15 dari 31 (48%)</v>
      </c>
    </row>
    <row r="129" ht="22.5" customHeight="1">
      <c r="A129" s="10">
        <v>128.0</v>
      </c>
      <c r="B129" s="11"/>
      <c r="C129" s="22">
        <v>56654.0</v>
      </c>
      <c r="D129" s="12" t="s">
        <v>40</v>
      </c>
      <c r="E129" s="12" t="s">
        <v>43</v>
      </c>
      <c r="F129" s="13"/>
      <c r="G129" s="6" t="b">
        <v>1</v>
      </c>
      <c r="H129" s="6" t="b">
        <v>1</v>
      </c>
      <c r="I129" s="6" t="b">
        <v>1</v>
      </c>
      <c r="J129" s="6" t="b">
        <v>1</v>
      </c>
      <c r="K129" s="6" t="b">
        <v>1</v>
      </c>
      <c r="L129" s="6" t="b">
        <v>1</v>
      </c>
      <c r="M129" s="6" t="b">
        <v>1</v>
      </c>
      <c r="N129" s="6" t="b">
        <v>1</v>
      </c>
      <c r="O129" s="6" t="b">
        <v>1</v>
      </c>
      <c r="P129" s="6" t="b">
        <v>1</v>
      </c>
      <c r="Q129" s="6" t="b">
        <v>1</v>
      </c>
      <c r="R129" s="6" t="b">
        <v>1</v>
      </c>
      <c r="S129" s="6" t="b">
        <v>1</v>
      </c>
      <c r="T129" s="6" t="b">
        <v>1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1</v>
      </c>
      <c r="AJ129" s="6" t="b">
        <v>0</v>
      </c>
      <c r="AK129" s="6" t="b">
        <v>0</v>
      </c>
      <c r="AL129" s="17" t="str">
        <f t="shared" si="1"/>
        <v>15 dari 31 (48%)</v>
      </c>
    </row>
    <row r="130" ht="22.5" customHeight="1">
      <c r="A130" s="2">
        <v>129.0</v>
      </c>
      <c r="B130" s="11"/>
      <c r="C130" s="22">
        <v>26768.0</v>
      </c>
      <c r="D130" s="12" t="s">
        <v>40</v>
      </c>
      <c r="E130" s="12" t="s">
        <v>49</v>
      </c>
      <c r="F130" s="13"/>
      <c r="G130" s="6" t="b">
        <v>1</v>
      </c>
      <c r="H130" s="6" t="b">
        <v>1</v>
      </c>
      <c r="I130" s="6" t="b">
        <v>1</v>
      </c>
      <c r="J130" s="6" t="b">
        <v>1</v>
      </c>
      <c r="K130" s="6" t="b">
        <v>1</v>
      </c>
      <c r="L130" s="6" t="b">
        <v>1</v>
      </c>
      <c r="M130" s="6" t="b">
        <v>1</v>
      </c>
      <c r="N130" s="6" t="b">
        <v>1</v>
      </c>
      <c r="O130" s="6" t="b">
        <v>1</v>
      </c>
      <c r="P130" s="6" t="b">
        <v>1</v>
      </c>
      <c r="Q130" s="6" t="b">
        <v>1</v>
      </c>
      <c r="R130" s="6" t="b">
        <v>1</v>
      </c>
      <c r="S130" s="6" t="b">
        <v>1</v>
      </c>
      <c r="T130" s="6" t="b">
        <v>1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1</v>
      </c>
      <c r="AJ130" s="6" t="b">
        <v>0</v>
      </c>
      <c r="AK130" s="6" t="b">
        <v>0</v>
      </c>
      <c r="AL130" s="9" t="str">
        <f t="shared" si="1"/>
        <v>15 dari 31 (48%)</v>
      </c>
    </row>
    <row r="131" ht="22.5" customHeight="1">
      <c r="A131" s="61">
        <v>130.0</v>
      </c>
      <c r="B131" s="62"/>
      <c r="C131" s="32">
        <v>61251.0</v>
      </c>
      <c r="D131" s="51" t="s">
        <v>54</v>
      </c>
      <c r="E131" s="51" t="s">
        <v>76</v>
      </c>
      <c r="F131" s="136" t="s">
        <v>105</v>
      </c>
      <c r="G131" s="35" t="b">
        <v>0</v>
      </c>
      <c r="H131" s="35" t="b">
        <v>0</v>
      </c>
      <c r="I131" s="35" t="b">
        <v>0</v>
      </c>
      <c r="J131" s="35" t="b">
        <v>0</v>
      </c>
      <c r="K131" s="35" t="b">
        <v>0</v>
      </c>
      <c r="L131" s="35" t="b">
        <v>0</v>
      </c>
      <c r="M131" s="35" t="b">
        <v>0</v>
      </c>
      <c r="N131" s="35" t="b">
        <v>0</v>
      </c>
      <c r="O131" s="35" t="b">
        <v>0</v>
      </c>
      <c r="P131" s="35" t="b">
        <v>0</v>
      </c>
      <c r="Q131" s="35" t="b">
        <v>0</v>
      </c>
      <c r="R131" s="35" t="b">
        <v>0</v>
      </c>
      <c r="S131" s="35" t="b">
        <v>0</v>
      </c>
      <c r="T131" s="35" t="b">
        <v>0</v>
      </c>
      <c r="U131" s="35" t="b">
        <v>0</v>
      </c>
      <c r="V131" s="35" t="b">
        <v>0</v>
      </c>
      <c r="W131" s="35" t="b">
        <v>0</v>
      </c>
      <c r="X131" s="35" t="b">
        <v>0</v>
      </c>
      <c r="Y131" s="35" t="b">
        <v>0</v>
      </c>
      <c r="Z131" s="35" t="b">
        <v>0</v>
      </c>
      <c r="AA131" s="35" t="b">
        <v>0</v>
      </c>
      <c r="AB131" s="35" t="b">
        <v>0</v>
      </c>
      <c r="AC131" s="35" t="b">
        <v>0</v>
      </c>
      <c r="AD131" s="35" t="b">
        <v>0</v>
      </c>
      <c r="AE131" s="35" t="b">
        <v>0</v>
      </c>
      <c r="AF131" s="35" t="b">
        <v>0</v>
      </c>
      <c r="AG131" s="35" t="b">
        <v>0</v>
      </c>
      <c r="AH131" s="35" t="b">
        <v>0</v>
      </c>
      <c r="AI131" s="35" t="b">
        <v>0</v>
      </c>
      <c r="AJ131" s="35" t="b">
        <v>0</v>
      </c>
      <c r="AK131" s="35" t="b">
        <v>0</v>
      </c>
      <c r="AL131" s="38" t="str">
        <f t="shared" si="1"/>
        <v>0 dari 31 (0%)</v>
      </c>
    </row>
    <row r="132" ht="22.5" customHeight="1">
      <c r="A132" s="10">
        <v>131.0</v>
      </c>
      <c r="B132" s="11"/>
      <c r="C132" s="20">
        <v>60496.0</v>
      </c>
      <c r="D132" s="12" t="s">
        <v>51</v>
      </c>
      <c r="E132" s="12" t="s">
        <v>61</v>
      </c>
      <c r="F132" s="13"/>
      <c r="G132" s="6" t="b">
        <v>1</v>
      </c>
      <c r="H132" s="6" t="b">
        <v>1</v>
      </c>
      <c r="I132" s="6" t="b">
        <v>0</v>
      </c>
      <c r="J132" s="6" t="b">
        <v>1</v>
      </c>
      <c r="K132" s="6" t="b">
        <v>1</v>
      </c>
      <c r="L132" s="6" t="b">
        <v>1</v>
      </c>
      <c r="M132" s="6" t="b">
        <v>1</v>
      </c>
      <c r="N132" s="6" t="b">
        <v>1</v>
      </c>
      <c r="O132" s="6" t="b">
        <v>1</v>
      </c>
      <c r="P132" s="6" t="b">
        <v>1</v>
      </c>
      <c r="Q132" s="6" t="b">
        <v>1</v>
      </c>
      <c r="R132" s="6" t="b">
        <v>1</v>
      </c>
      <c r="S132" s="6" t="b">
        <v>1</v>
      </c>
      <c r="T132" s="6" t="b">
        <v>0</v>
      </c>
      <c r="U132" s="6" t="b">
        <v>0</v>
      </c>
      <c r="V132" s="6" t="b">
        <v>0</v>
      </c>
      <c r="W132" s="6" t="b">
        <v>1</v>
      </c>
      <c r="X132" s="6" t="b">
        <v>1</v>
      </c>
      <c r="Y132" s="6" t="b">
        <v>1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17" t="str">
        <f t="shared" si="1"/>
        <v>15 dari 31 (48%)</v>
      </c>
    </row>
    <row r="133" ht="22.5" customHeight="1">
      <c r="A133" s="2">
        <v>132.0</v>
      </c>
      <c r="B133" s="11"/>
      <c r="C133" s="20">
        <v>25651.0</v>
      </c>
      <c r="D133" s="12" t="s">
        <v>63</v>
      </c>
      <c r="E133" s="12" t="s">
        <v>64</v>
      </c>
      <c r="F133" s="13"/>
      <c r="G133" s="6" t="b">
        <v>1</v>
      </c>
      <c r="H133" s="6" t="b">
        <v>1</v>
      </c>
      <c r="I133" s="6" t="b">
        <v>1</v>
      </c>
      <c r="J133" s="6" t="b">
        <v>1</v>
      </c>
      <c r="K133" s="6" t="b">
        <v>1</v>
      </c>
      <c r="L133" s="6" t="b">
        <v>1</v>
      </c>
      <c r="M133" s="6" t="b">
        <v>1</v>
      </c>
      <c r="N133" s="6" t="b">
        <v>1</v>
      </c>
      <c r="O133" s="6" t="b">
        <v>1</v>
      </c>
      <c r="P133" s="6" t="b">
        <v>1</v>
      </c>
      <c r="Q133" s="6" t="b">
        <v>1</v>
      </c>
      <c r="R133" s="6" t="b">
        <v>1</v>
      </c>
      <c r="S133" s="6" t="b">
        <v>1</v>
      </c>
      <c r="T133" s="6" t="b">
        <v>1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0</v>
      </c>
      <c r="AJ133" s="6" t="b">
        <v>0</v>
      </c>
      <c r="AK133" s="6" t="b">
        <v>0</v>
      </c>
      <c r="AL133" s="9" t="str">
        <f t="shared" si="1"/>
        <v>14 dari 31 (45%)</v>
      </c>
    </row>
    <row r="134" ht="22.5" customHeight="1">
      <c r="A134" s="10">
        <v>133.0</v>
      </c>
      <c r="B134" s="11"/>
      <c r="C134" s="20">
        <v>61253.0</v>
      </c>
      <c r="D134" s="12" t="s">
        <v>63</v>
      </c>
      <c r="E134" s="12" t="s">
        <v>87</v>
      </c>
      <c r="F134" s="13"/>
      <c r="G134" s="6" t="b">
        <v>1</v>
      </c>
      <c r="H134" s="6" t="b">
        <v>1</v>
      </c>
      <c r="I134" s="6" t="b">
        <v>1</v>
      </c>
      <c r="J134" s="6" t="b">
        <v>1</v>
      </c>
      <c r="K134" s="6" t="b">
        <v>1</v>
      </c>
      <c r="L134" s="6" t="b">
        <v>1</v>
      </c>
      <c r="M134" s="6" t="b">
        <v>1</v>
      </c>
      <c r="N134" s="6" t="b">
        <v>1</v>
      </c>
      <c r="O134" s="6" t="b">
        <v>1</v>
      </c>
      <c r="P134" s="6" t="b">
        <v>1</v>
      </c>
      <c r="Q134" s="6" t="b">
        <v>1</v>
      </c>
      <c r="R134" s="6" t="b">
        <v>1</v>
      </c>
      <c r="S134" s="6" t="b">
        <v>1</v>
      </c>
      <c r="T134" s="6" t="b">
        <v>1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1</v>
      </c>
      <c r="AJ134" s="6" t="b">
        <v>0</v>
      </c>
      <c r="AK134" s="6" t="b">
        <v>0</v>
      </c>
      <c r="AL134" s="9" t="str">
        <f t="shared" si="1"/>
        <v>15 dari 31 (48%)</v>
      </c>
    </row>
    <row r="135" ht="22.5" customHeight="1">
      <c r="A135" s="10">
        <v>134.0</v>
      </c>
      <c r="B135" s="11"/>
      <c r="C135" s="20">
        <v>60288.0</v>
      </c>
      <c r="D135" s="12" t="s">
        <v>51</v>
      </c>
      <c r="E135" s="12" t="s">
        <v>61</v>
      </c>
      <c r="F135" s="13"/>
      <c r="G135" s="6" t="b">
        <v>1</v>
      </c>
      <c r="H135" s="6" t="b">
        <v>1</v>
      </c>
      <c r="I135" s="6" t="b">
        <v>0</v>
      </c>
      <c r="J135" s="6" t="b">
        <v>1</v>
      </c>
      <c r="K135" s="6" t="b">
        <v>1</v>
      </c>
      <c r="L135" s="6" t="b">
        <v>1</v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1</v>
      </c>
      <c r="S135" s="6" t="b">
        <v>1</v>
      </c>
      <c r="T135" s="6" t="b">
        <v>0</v>
      </c>
      <c r="U135" s="6" t="b">
        <v>0</v>
      </c>
      <c r="V135" s="6" t="b">
        <v>0</v>
      </c>
      <c r="W135" s="6" t="b">
        <v>1</v>
      </c>
      <c r="X135" s="6" t="b">
        <v>1</v>
      </c>
      <c r="Y135" s="6" t="b">
        <v>1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0</v>
      </c>
      <c r="AJ135" s="6" t="b">
        <v>0</v>
      </c>
      <c r="AK135" s="6" t="b">
        <v>0</v>
      </c>
      <c r="AL135" s="17" t="str">
        <f t="shared" si="1"/>
        <v>15 dari 31 (48%)</v>
      </c>
    </row>
    <row r="136" ht="22.5" customHeight="1">
      <c r="A136" s="2">
        <v>135.0</v>
      </c>
      <c r="B136" s="11"/>
      <c r="C136" s="20">
        <v>61254.0</v>
      </c>
      <c r="D136" s="12" t="s">
        <v>63</v>
      </c>
      <c r="E136" s="12" t="s">
        <v>87</v>
      </c>
      <c r="F136" s="13"/>
      <c r="G136" s="6" t="b">
        <v>1</v>
      </c>
      <c r="H136" s="6" t="b">
        <v>1</v>
      </c>
      <c r="I136" s="6" t="b">
        <v>1</v>
      </c>
      <c r="J136" s="6" t="b">
        <v>1</v>
      </c>
      <c r="K136" s="6" t="b">
        <v>1</v>
      </c>
      <c r="L136" s="6" t="b">
        <v>1</v>
      </c>
      <c r="M136" s="6" t="b">
        <v>1</v>
      </c>
      <c r="N136" s="6" t="b">
        <v>1</v>
      </c>
      <c r="O136" s="6" t="b">
        <v>1</v>
      </c>
      <c r="P136" s="6" t="b">
        <v>1</v>
      </c>
      <c r="Q136" s="6" t="b">
        <v>1</v>
      </c>
      <c r="R136" s="6" t="b">
        <v>1</v>
      </c>
      <c r="S136" s="6" t="b">
        <v>1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1</v>
      </c>
      <c r="AJ136" s="6" t="b">
        <v>0</v>
      </c>
      <c r="AK136" s="6" t="b">
        <v>0</v>
      </c>
      <c r="AL136" s="9" t="str">
        <f t="shared" si="1"/>
        <v>14 dari 31 (45%)</v>
      </c>
    </row>
    <row r="137" ht="22.5" customHeight="1">
      <c r="A137" s="10">
        <v>136.0</v>
      </c>
      <c r="B137" s="11"/>
      <c r="C137" s="22">
        <v>60122.0</v>
      </c>
      <c r="D137" s="12" t="s">
        <v>54</v>
      </c>
      <c r="E137" s="12" t="s">
        <v>76</v>
      </c>
      <c r="F137" s="15" t="s">
        <v>50</v>
      </c>
      <c r="G137" s="6" t="b">
        <v>1</v>
      </c>
      <c r="H137" s="6" t="b">
        <v>0</v>
      </c>
      <c r="I137" s="6" t="b">
        <v>0</v>
      </c>
      <c r="J137" s="6" t="b">
        <v>0</v>
      </c>
      <c r="K137" s="6" t="b">
        <v>0</v>
      </c>
      <c r="L137" s="6" t="b">
        <v>0</v>
      </c>
      <c r="M137" s="6" t="b">
        <v>0</v>
      </c>
      <c r="N137" s="6" t="b">
        <v>0</v>
      </c>
      <c r="O137" s="6" t="b">
        <v>0</v>
      </c>
      <c r="P137" s="6" t="b">
        <v>0</v>
      </c>
      <c r="Q137" s="6" t="b">
        <v>0</v>
      </c>
      <c r="R137" s="6" t="b">
        <v>0</v>
      </c>
      <c r="S137" s="6" t="b">
        <v>0</v>
      </c>
      <c r="T137" s="6" t="b">
        <v>0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1</v>
      </c>
      <c r="AJ137" s="6" t="b">
        <v>0</v>
      </c>
      <c r="AK137" s="6" t="b">
        <v>0</v>
      </c>
      <c r="AL137" s="9" t="str">
        <f t="shared" si="1"/>
        <v>2 dari 31 (6%)</v>
      </c>
    </row>
    <row r="138" ht="22.5" customHeight="1">
      <c r="A138" s="10">
        <v>137.0</v>
      </c>
      <c r="B138" s="11"/>
      <c r="C138" s="22">
        <v>41741.0</v>
      </c>
      <c r="D138" s="12" t="s">
        <v>40</v>
      </c>
      <c r="E138" s="12" t="s">
        <v>49</v>
      </c>
      <c r="F138" s="13"/>
      <c r="G138" s="6" t="b">
        <v>1</v>
      </c>
      <c r="H138" s="6" t="b">
        <v>1</v>
      </c>
      <c r="I138" s="6" t="b">
        <v>1</v>
      </c>
      <c r="J138" s="6" t="b">
        <v>1</v>
      </c>
      <c r="K138" s="6" t="b">
        <v>1</v>
      </c>
      <c r="L138" s="6" t="b">
        <v>1</v>
      </c>
      <c r="M138" s="6" t="b">
        <v>1</v>
      </c>
      <c r="N138" s="6" t="b">
        <v>1</v>
      </c>
      <c r="O138" s="6" t="b">
        <v>1</v>
      </c>
      <c r="P138" s="6" t="b">
        <v>1</v>
      </c>
      <c r="Q138" s="6" t="b">
        <v>1</v>
      </c>
      <c r="R138" s="6" t="b">
        <v>1</v>
      </c>
      <c r="S138" s="6" t="b">
        <v>1</v>
      </c>
      <c r="T138" s="6" t="b">
        <v>1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1</v>
      </c>
      <c r="AJ138" s="6" t="b">
        <v>0</v>
      </c>
      <c r="AK138" s="6" t="b">
        <v>0</v>
      </c>
      <c r="AL138" s="17" t="str">
        <f t="shared" si="1"/>
        <v>15 dari 31 (48%)</v>
      </c>
    </row>
    <row r="139" ht="22.5" customHeight="1">
      <c r="A139" s="2">
        <v>138.0</v>
      </c>
      <c r="B139" s="11"/>
      <c r="C139" s="22">
        <v>60848.0</v>
      </c>
      <c r="D139" s="12" t="s">
        <v>39</v>
      </c>
      <c r="E139" s="12" t="s">
        <v>42</v>
      </c>
      <c r="F139" s="13"/>
      <c r="G139" s="6" t="b">
        <v>1</v>
      </c>
      <c r="H139" s="6" t="b">
        <v>1</v>
      </c>
      <c r="I139" s="6" t="b">
        <v>1</v>
      </c>
      <c r="J139" s="6" t="b">
        <v>1</v>
      </c>
      <c r="K139" s="6" t="b">
        <v>1</v>
      </c>
      <c r="L139" s="6" t="b">
        <v>1</v>
      </c>
      <c r="M139" s="6" t="b">
        <v>1</v>
      </c>
      <c r="N139" s="6" t="b">
        <v>1</v>
      </c>
      <c r="O139" s="6" t="b">
        <v>1</v>
      </c>
      <c r="P139" s="6" t="b">
        <v>1</v>
      </c>
      <c r="Q139" s="6" t="b">
        <v>1</v>
      </c>
      <c r="R139" s="6" t="b">
        <v>1</v>
      </c>
      <c r="S139" s="6" t="b">
        <v>1</v>
      </c>
      <c r="T139" s="6" t="b">
        <v>1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1</v>
      </c>
      <c r="AJ139" s="6" t="b">
        <v>0</v>
      </c>
      <c r="AK139" s="6" t="b">
        <v>0</v>
      </c>
      <c r="AL139" s="9" t="str">
        <f t="shared" si="1"/>
        <v>15 dari 31 (48%)</v>
      </c>
    </row>
    <row r="140" ht="22.5" customHeight="1">
      <c r="A140" s="10">
        <v>139.0</v>
      </c>
      <c r="B140" s="11"/>
      <c r="C140" s="22">
        <v>53534.0</v>
      </c>
      <c r="D140" s="12" t="s">
        <v>40</v>
      </c>
      <c r="E140" s="12" t="s">
        <v>49</v>
      </c>
      <c r="F140" s="13"/>
      <c r="G140" s="6" t="b">
        <v>1</v>
      </c>
      <c r="H140" s="6" t="b">
        <v>1</v>
      </c>
      <c r="I140" s="6" t="b">
        <v>1</v>
      </c>
      <c r="J140" s="6" t="b">
        <v>1</v>
      </c>
      <c r="K140" s="6" t="b">
        <v>1</v>
      </c>
      <c r="L140" s="6" t="b">
        <v>1</v>
      </c>
      <c r="M140" s="6" t="b">
        <v>1</v>
      </c>
      <c r="N140" s="6" t="b">
        <v>1</v>
      </c>
      <c r="O140" s="6" t="b">
        <v>0</v>
      </c>
      <c r="P140" s="6" t="b">
        <v>1</v>
      </c>
      <c r="Q140" s="6" t="b">
        <v>1</v>
      </c>
      <c r="R140" s="6" t="b">
        <v>1</v>
      </c>
      <c r="S140" s="6" t="b">
        <v>1</v>
      </c>
      <c r="T140" s="6" t="b">
        <v>0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1</v>
      </c>
      <c r="AJ140" s="6" t="b">
        <v>0</v>
      </c>
      <c r="AK140" s="6" t="b">
        <v>0</v>
      </c>
      <c r="AL140" s="9" t="str">
        <f t="shared" si="1"/>
        <v>13 dari 31 (42%)</v>
      </c>
    </row>
    <row r="141" ht="22.5" customHeight="1">
      <c r="A141" s="10">
        <v>140.0</v>
      </c>
      <c r="B141" s="11"/>
      <c r="C141" s="22">
        <v>58813.0</v>
      </c>
      <c r="D141" s="12" t="s">
        <v>85</v>
      </c>
      <c r="E141" s="12" t="s">
        <v>91</v>
      </c>
      <c r="F141" s="13"/>
      <c r="G141" s="6" t="b">
        <v>1</v>
      </c>
      <c r="H141" s="6" t="b">
        <v>1</v>
      </c>
      <c r="I141" s="6" t="b">
        <v>1</v>
      </c>
      <c r="J141" s="6" t="b">
        <v>1</v>
      </c>
      <c r="K141" s="6" t="b">
        <v>1</v>
      </c>
      <c r="L141" s="6" t="b">
        <v>1</v>
      </c>
      <c r="M141" s="6" t="b">
        <v>1</v>
      </c>
      <c r="N141" s="6" t="b">
        <v>1</v>
      </c>
      <c r="O141" s="6" t="b">
        <v>1</v>
      </c>
      <c r="P141" s="6" t="b">
        <v>1</v>
      </c>
      <c r="Q141" s="6" t="b">
        <v>1</v>
      </c>
      <c r="R141" s="6" t="b">
        <v>1</v>
      </c>
      <c r="S141" s="6" t="b">
        <v>1</v>
      </c>
      <c r="T141" s="6" t="b">
        <v>1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1</v>
      </c>
      <c r="AJ141" s="6" t="b">
        <v>0</v>
      </c>
      <c r="AK141" s="6" t="b">
        <v>0</v>
      </c>
      <c r="AL141" s="17" t="str">
        <f t="shared" si="1"/>
        <v>15 dari 31 (48%)</v>
      </c>
    </row>
    <row r="142" ht="22.5" customHeight="1">
      <c r="A142" s="100">
        <v>141.0</v>
      </c>
      <c r="B142" s="110"/>
      <c r="C142" s="102">
        <v>57942.0</v>
      </c>
      <c r="D142" s="103" t="s">
        <v>51</v>
      </c>
      <c r="E142" s="103" t="s">
        <v>61</v>
      </c>
      <c r="F142" s="104"/>
      <c r="G142" s="105" t="b">
        <v>1</v>
      </c>
      <c r="H142" s="105" t="b">
        <v>1</v>
      </c>
      <c r="I142" s="105" t="b">
        <v>1</v>
      </c>
      <c r="J142" s="105" t="b">
        <v>0</v>
      </c>
      <c r="K142" s="105" t="b">
        <v>1</v>
      </c>
      <c r="L142" s="105" t="b">
        <v>0</v>
      </c>
      <c r="M142" s="105" t="b">
        <v>1</v>
      </c>
      <c r="N142" s="105" t="b">
        <v>1</v>
      </c>
      <c r="O142" s="105" t="b">
        <v>1</v>
      </c>
      <c r="P142" s="105" t="b">
        <v>1</v>
      </c>
      <c r="Q142" s="105" t="b">
        <v>1</v>
      </c>
      <c r="R142" s="105" t="b">
        <v>1</v>
      </c>
      <c r="S142" s="105" t="b">
        <v>1</v>
      </c>
      <c r="T142" s="105" t="b">
        <v>0</v>
      </c>
      <c r="U142" s="105" t="b">
        <v>0</v>
      </c>
      <c r="V142" s="105" t="b">
        <v>0</v>
      </c>
      <c r="W142" s="105" t="b">
        <v>0</v>
      </c>
      <c r="X142" s="105" t="b">
        <v>0</v>
      </c>
      <c r="Y142" s="105" t="b">
        <v>0</v>
      </c>
      <c r="Z142" s="105" t="b">
        <v>0</v>
      </c>
      <c r="AA142" s="105" t="b">
        <v>0</v>
      </c>
      <c r="AB142" s="105" t="b">
        <v>0</v>
      </c>
      <c r="AC142" s="105" t="b">
        <v>0</v>
      </c>
      <c r="AD142" s="105" t="b">
        <v>0</v>
      </c>
      <c r="AE142" s="105" t="b">
        <v>0</v>
      </c>
      <c r="AF142" s="105" t="b">
        <v>0</v>
      </c>
      <c r="AG142" s="105" t="b">
        <v>0</v>
      </c>
      <c r="AH142" s="105" t="b">
        <v>0</v>
      </c>
      <c r="AI142" s="105" t="b">
        <v>1</v>
      </c>
      <c r="AJ142" s="105" t="b">
        <v>0</v>
      </c>
      <c r="AK142" s="105" t="b">
        <v>0</v>
      </c>
      <c r="AL142" s="106" t="str">
        <f t="shared" si="1"/>
        <v>12 dari 31 (39%)</v>
      </c>
    </row>
    <row r="143" ht="22.5" customHeight="1">
      <c r="A143" s="10">
        <v>142.0</v>
      </c>
      <c r="B143" s="11"/>
      <c r="C143" s="22">
        <v>53534.0</v>
      </c>
      <c r="D143" s="12" t="s">
        <v>85</v>
      </c>
      <c r="E143" s="12" t="s">
        <v>91</v>
      </c>
      <c r="F143" s="13"/>
      <c r="G143" s="6" t="b">
        <v>1</v>
      </c>
      <c r="H143" s="6" t="b">
        <v>1</v>
      </c>
      <c r="I143" s="6" t="b">
        <v>1</v>
      </c>
      <c r="J143" s="6" t="b">
        <v>1</v>
      </c>
      <c r="K143" s="6" t="b">
        <v>1</v>
      </c>
      <c r="L143" s="6" t="b">
        <v>1</v>
      </c>
      <c r="M143" s="6" t="b">
        <v>1</v>
      </c>
      <c r="N143" s="6" t="b">
        <v>1</v>
      </c>
      <c r="O143" s="6" t="b">
        <v>0</v>
      </c>
      <c r="P143" s="6" t="b">
        <v>1</v>
      </c>
      <c r="Q143" s="6" t="b">
        <v>1</v>
      </c>
      <c r="R143" s="6" t="b">
        <v>1</v>
      </c>
      <c r="S143" s="6" t="b">
        <v>1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1</v>
      </c>
      <c r="AJ143" s="6" t="b">
        <v>0</v>
      </c>
      <c r="AK143" s="6" t="b">
        <v>0</v>
      </c>
      <c r="AL143" s="9" t="str">
        <f t="shared" si="1"/>
        <v>13 dari 31 (42%)</v>
      </c>
    </row>
    <row r="144" ht="22.5" customHeight="1">
      <c r="A144" s="10">
        <v>143.0</v>
      </c>
      <c r="B144" s="11"/>
      <c r="C144" s="22">
        <v>60497.0</v>
      </c>
      <c r="D144" s="12" t="s">
        <v>63</v>
      </c>
      <c r="E144" s="12" t="s">
        <v>64</v>
      </c>
      <c r="F144" s="13"/>
      <c r="G144" s="6" t="b">
        <v>1</v>
      </c>
      <c r="H144" s="6" t="b">
        <v>1</v>
      </c>
      <c r="I144" s="6" t="b">
        <v>1</v>
      </c>
      <c r="J144" s="6" t="b">
        <v>1</v>
      </c>
      <c r="K144" s="6" t="b">
        <v>1</v>
      </c>
      <c r="L144" s="6" t="b">
        <v>1</v>
      </c>
      <c r="M144" s="6" t="b">
        <v>1</v>
      </c>
      <c r="N144" s="6" t="b">
        <v>1</v>
      </c>
      <c r="O144" s="6" t="b">
        <v>1</v>
      </c>
      <c r="P144" s="6" t="b">
        <v>1</v>
      </c>
      <c r="Q144" s="6" t="b">
        <v>1</v>
      </c>
      <c r="R144" s="6" t="b">
        <v>1</v>
      </c>
      <c r="S144" s="6" t="b">
        <v>1</v>
      </c>
      <c r="T144" s="6" t="b">
        <v>1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1</v>
      </c>
      <c r="AJ144" s="6" t="b">
        <v>0</v>
      </c>
      <c r="AK144" s="6" t="b">
        <v>0</v>
      </c>
      <c r="AL144" s="17" t="str">
        <f t="shared" si="1"/>
        <v>15 dari 31 (48%)</v>
      </c>
    </row>
    <row r="145" ht="22.5" customHeight="1">
      <c r="A145" s="2">
        <v>144.0</v>
      </c>
      <c r="B145" s="11"/>
      <c r="C145" s="22">
        <v>61256.0</v>
      </c>
      <c r="D145" s="12" t="s">
        <v>63</v>
      </c>
      <c r="E145" s="12" t="s">
        <v>64</v>
      </c>
      <c r="F145" s="13"/>
      <c r="G145" s="6" t="b">
        <v>1</v>
      </c>
      <c r="H145" s="6" t="b">
        <v>1</v>
      </c>
      <c r="I145" s="6" t="b">
        <v>1</v>
      </c>
      <c r="J145" s="6" t="b">
        <v>1</v>
      </c>
      <c r="K145" s="6" t="b">
        <v>1</v>
      </c>
      <c r="L145" s="6" t="b">
        <v>1</v>
      </c>
      <c r="M145" s="6" t="b">
        <v>1</v>
      </c>
      <c r="N145" s="6" t="b">
        <v>1</v>
      </c>
      <c r="O145" s="6" t="b">
        <v>1</v>
      </c>
      <c r="P145" s="6" t="b">
        <v>1</v>
      </c>
      <c r="Q145" s="6" t="b">
        <v>1</v>
      </c>
      <c r="R145" s="6" t="b">
        <v>1</v>
      </c>
      <c r="S145" s="6" t="b">
        <v>1</v>
      </c>
      <c r="T145" s="6" t="b">
        <v>1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1</v>
      </c>
      <c r="AJ145" s="6" t="b">
        <v>0</v>
      </c>
      <c r="AK145" s="6" t="b">
        <v>0</v>
      </c>
      <c r="AL145" s="9" t="str">
        <f t="shared" si="1"/>
        <v>15 dari 31 (48%)</v>
      </c>
    </row>
    <row r="146" ht="22.5" customHeight="1">
      <c r="A146" s="61">
        <v>145.0</v>
      </c>
      <c r="B146" s="62"/>
      <c r="C146" s="32">
        <v>61255.0</v>
      </c>
      <c r="D146" s="51" t="s">
        <v>39</v>
      </c>
      <c r="E146" s="51" t="s">
        <v>42</v>
      </c>
      <c r="F146" s="53"/>
      <c r="G146" s="35" t="b">
        <v>0</v>
      </c>
      <c r="H146" s="35" t="b">
        <v>0</v>
      </c>
      <c r="I146" s="35" t="b">
        <v>0</v>
      </c>
      <c r="J146" s="35" t="b">
        <v>0</v>
      </c>
      <c r="K146" s="35" t="b">
        <v>0</v>
      </c>
      <c r="L146" s="35" t="b">
        <v>0</v>
      </c>
      <c r="M146" s="35" t="b">
        <v>0</v>
      </c>
      <c r="N146" s="35" t="b">
        <v>0</v>
      </c>
      <c r="O146" s="35" t="b">
        <v>0</v>
      </c>
      <c r="P146" s="35" t="b">
        <v>0</v>
      </c>
      <c r="Q146" s="35" t="b">
        <v>0</v>
      </c>
      <c r="R146" s="35" t="b">
        <v>0</v>
      </c>
      <c r="S146" s="35" t="b">
        <v>0</v>
      </c>
      <c r="T146" s="35" t="b">
        <v>0</v>
      </c>
      <c r="U146" s="35" t="b">
        <v>0</v>
      </c>
      <c r="V146" s="35" t="b">
        <v>0</v>
      </c>
      <c r="W146" s="35" t="b">
        <v>0</v>
      </c>
      <c r="X146" s="35" t="b">
        <v>0</v>
      </c>
      <c r="Y146" s="35" t="b">
        <v>0</v>
      </c>
      <c r="Z146" s="35" t="b">
        <v>0</v>
      </c>
      <c r="AA146" s="35" t="b">
        <v>0</v>
      </c>
      <c r="AB146" s="35" t="b">
        <v>0</v>
      </c>
      <c r="AC146" s="35" t="b">
        <v>0</v>
      </c>
      <c r="AD146" s="35" t="b">
        <v>0</v>
      </c>
      <c r="AE146" s="35" t="b">
        <v>0</v>
      </c>
      <c r="AF146" s="35" t="b">
        <v>0</v>
      </c>
      <c r="AG146" s="35" t="b">
        <v>0</v>
      </c>
      <c r="AH146" s="35" t="b">
        <v>0</v>
      </c>
      <c r="AI146" s="35" t="b">
        <v>0</v>
      </c>
      <c r="AJ146" s="35" t="b">
        <v>0</v>
      </c>
      <c r="AK146" s="35" t="b">
        <v>0</v>
      </c>
      <c r="AL146" s="38" t="str">
        <f t="shared" si="1"/>
        <v>0 dari 31 (0%)</v>
      </c>
    </row>
    <row r="147" ht="22.5" customHeight="1">
      <c r="A147" s="10">
        <v>146.0</v>
      </c>
      <c r="B147" s="11"/>
      <c r="C147" s="20">
        <v>61249.0</v>
      </c>
      <c r="D147" s="12" t="s">
        <v>39</v>
      </c>
      <c r="E147" s="12" t="s">
        <v>42</v>
      </c>
      <c r="F147" s="13"/>
      <c r="G147" s="6" t="b">
        <v>1</v>
      </c>
      <c r="H147" s="6" t="b">
        <v>1</v>
      </c>
      <c r="I147" s="6" t="b">
        <v>0</v>
      </c>
      <c r="J147" s="6" t="b">
        <v>1</v>
      </c>
      <c r="K147" s="6" t="b">
        <v>1</v>
      </c>
      <c r="L147" s="6" t="b">
        <v>1</v>
      </c>
      <c r="M147" s="6" t="b">
        <v>1</v>
      </c>
      <c r="N147" s="6" t="b">
        <v>1</v>
      </c>
      <c r="O147" s="6" t="b">
        <v>1</v>
      </c>
      <c r="P147" s="6" t="b">
        <v>1</v>
      </c>
      <c r="Q147" s="6" t="b">
        <v>1</v>
      </c>
      <c r="R147" s="6" t="b">
        <v>1</v>
      </c>
      <c r="S147" s="6" t="b">
        <v>1</v>
      </c>
      <c r="T147" s="6" t="b">
        <v>1</v>
      </c>
      <c r="U147" s="6" t="b">
        <v>0</v>
      </c>
      <c r="V147" s="6" t="b">
        <v>0</v>
      </c>
      <c r="W147" s="6" t="b">
        <v>1</v>
      </c>
      <c r="X147" s="6" t="b">
        <v>1</v>
      </c>
      <c r="Y147" s="6" t="b">
        <v>1</v>
      </c>
      <c r="Z147" s="6" t="b">
        <v>1</v>
      </c>
      <c r="AA147" s="6" t="b">
        <v>1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0</v>
      </c>
      <c r="AJ147" s="6" t="b">
        <v>0</v>
      </c>
      <c r="AK147" s="6" t="b">
        <v>0</v>
      </c>
      <c r="AL147" s="17" t="str">
        <f t="shared" si="1"/>
        <v>18 dari 31 (58%)</v>
      </c>
    </row>
    <row r="148" ht="22.5" customHeight="1">
      <c r="A148" s="2">
        <v>147.0</v>
      </c>
      <c r="B148" s="11"/>
      <c r="C148" s="22">
        <v>30488.0</v>
      </c>
      <c r="D148" s="12" t="s">
        <v>85</v>
      </c>
      <c r="E148" s="12" t="s">
        <v>69</v>
      </c>
      <c r="F148" s="13"/>
      <c r="G148" s="6" t="b">
        <v>1</v>
      </c>
      <c r="H148" s="6" t="b">
        <v>1</v>
      </c>
      <c r="I148" s="6" t="b">
        <v>1</v>
      </c>
      <c r="J148" s="6" t="b">
        <v>1</v>
      </c>
      <c r="K148" s="6" t="b">
        <v>1</v>
      </c>
      <c r="L148" s="6" t="b">
        <v>1</v>
      </c>
      <c r="M148" s="6" t="b">
        <v>1</v>
      </c>
      <c r="N148" s="6" t="b">
        <v>1</v>
      </c>
      <c r="O148" s="6" t="b">
        <v>1</v>
      </c>
      <c r="P148" s="6" t="b">
        <v>1</v>
      </c>
      <c r="Q148" s="6" t="b">
        <v>1</v>
      </c>
      <c r="R148" s="6" t="b">
        <v>1</v>
      </c>
      <c r="S148" s="6" t="b">
        <v>1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1</v>
      </c>
      <c r="AJ148" s="6" t="b">
        <v>0</v>
      </c>
      <c r="AK148" s="6" t="b">
        <v>0</v>
      </c>
      <c r="AL148" s="9" t="str">
        <f t="shared" si="1"/>
        <v>14 dari 31 (45%)</v>
      </c>
    </row>
    <row r="149" ht="22.5" customHeight="1">
      <c r="A149" s="10">
        <v>148.0</v>
      </c>
      <c r="B149" s="11"/>
      <c r="C149" s="22">
        <v>43222.0</v>
      </c>
      <c r="D149" s="12" t="s">
        <v>63</v>
      </c>
      <c r="E149" s="12" t="s">
        <v>64</v>
      </c>
      <c r="F149" s="13"/>
      <c r="G149" s="6" t="b">
        <v>1</v>
      </c>
      <c r="H149" s="6" t="b">
        <v>1</v>
      </c>
      <c r="I149" s="6" t="b">
        <v>1</v>
      </c>
      <c r="J149" s="6" t="b">
        <v>1</v>
      </c>
      <c r="K149" s="6" t="b">
        <v>1</v>
      </c>
      <c r="L149" s="6" t="b">
        <v>1</v>
      </c>
      <c r="M149" s="6" t="b">
        <v>1</v>
      </c>
      <c r="N149" s="6" t="b">
        <v>1</v>
      </c>
      <c r="O149" s="6" t="b">
        <v>1</v>
      </c>
      <c r="P149" s="6" t="b">
        <v>0</v>
      </c>
      <c r="Q149" s="6" t="b">
        <v>0</v>
      </c>
      <c r="R149" s="6" t="b">
        <v>0</v>
      </c>
      <c r="S149" s="6" t="b">
        <v>1</v>
      </c>
      <c r="T149" s="6" t="b">
        <v>1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1</v>
      </c>
      <c r="AJ149" s="6" t="b">
        <v>0</v>
      </c>
      <c r="AK149" s="6" t="b">
        <v>0</v>
      </c>
      <c r="AL149" s="9" t="str">
        <f t="shared" si="1"/>
        <v>12 dari 31 (39%)</v>
      </c>
    </row>
    <row r="150" ht="22.5" customHeight="1">
      <c r="A150" s="10">
        <v>149.0</v>
      </c>
      <c r="B150" s="11"/>
      <c r="C150" s="22">
        <v>37944.0</v>
      </c>
      <c r="D150" s="12" t="s">
        <v>85</v>
      </c>
      <c r="E150" s="12" t="s">
        <v>60</v>
      </c>
      <c r="F150" s="13"/>
      <c r="G150" s="6" t="b">
        <v>1</v>
      </c>
      <c r="H150" s="6" t="b">
        <v>1</v>
      </c>
      <c r="I150" s="6" t="b">
        <v>1</v>
      </c>
      <c r="J150" s="6" t="b">
        <v>1</v>
      </c>
      <c r="K150" s="6" t="b">
        <v>1</v>
      </c>
      <c r="L150" s="6" t="b">
        <v>1</v>
      </c>
      <c r="M150" s="6" t="b">
        <v>1</v>
      </c>
      <c r="N150" s="6" t="b">
        <v>1</v>
      </c>
      <c r="O150" s="6" t="b">
        <v>1</v>
      </c>
      <c r="P150" s="6" t="b">
        <v>1</v>
      </c>
      <c r="Q150" s="6" t="b">
        <v>1</v>
      </c>
      <c r="R150" s="6" t="b">
        <v>1</v>
      </c>
      <c r="S150" s="6" t="b">
        <v>1</v>
      </c>
      <c r="T150" s="6" t="b">
        <v>0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1</v>
      </c>
      <c r="AJ150" s="6" t="b">
        <v>0</v>
      </c>
      <c r="AK150" s="6" t="b">
        <v>0</v>
      </c>
      <c r="AL150" s="17" t="str">
        <f t="shared" si="1"/>
        <v>14 dari 31 (45%)</v>
      </c>
    </row>
    <row r="151" ht="22.5" customHeight="1">
      <c r="A151" s="2">
        <v>150.0</v>
      </c>
      <c r="B151" s="11"/>
      <c r="C151" s="22">
        <v>61257.0</v>
      </c>
      <c r="D151" s="12" t="s">
        <v>63</v>
      </c>
      <c r="E151" s="12" t="s">
        <v>87</v>
      </c>
      <c r="F151" s="13"/>
      <c r="G151" s="6" t="b">
        <v>1</v>
      </c>
      <c r="H151" s="6" t="b">
        <v>1</v>
      </c>
      <c r="I151" s="6" t="b">
        <v>1</v>
      </c>
      <c r="J151" s="6" t="b">
        <v>1</v>
      </c>
      <c r="K151" s="6" t="b">
        <v>1</v>
      </c>
      <c r="L151" s="6" t="b">
        <v>1</v>
      </c>
      <c r="M151" s="6" t="b">
        <v>1</v>
      </c>
      <c r="N151" s="6" t="b">
        <v>1</v>
      </c>
      <c r="O151" s="6" t="b">
        <v>1</v>
      </c>
      <c r="P151" s="6" t="b">
        <v>1</v>
      </c>
      <c r="Q151" s="6" t="b">
        <v>1</v>
      </c>
      <c r="R151" s="6" t="b">
        <v>1</v>
      </c>
      <c r="S151" s="6" t="b">
        <v>1</v>
      </c>
      <c r="T151" s="6" t="b">
        <v>1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0</v>
      </c>
      <c r="AF151" s="6" t="b">
        <v>0</v>
      </c>
      <c r="AG151" s="6" t="b">
        <v>0</v>
      </c>
      <c r="AH151" s="6" t="b">
        <v>0</v>
      </c>
      <c r="AI151" s="6" t="b">
        <v>1</v>
      </c>
      <c r="AJ151" s="6" t="b">
        <v>0</v>
      </c>
      <c r="AK151" s="6" t="b">
        <v>0</v>
      </c>
      <c r="AL151" s="9" t="str">
        <f t="shared" si="1"/>
        <v>15 dari 31 (48%)</v>
      </c>
    </row>
    <row r="152" ht="22.5" customHeight="1">
      <c r="A152" s="10">
        <v>151.0</v>
      </c>
      <c r="B152" s="11"/>
      <c r="C152" s="20">
        <v>58813.0</v>
      </c>
      <c r="D152" s="12" t="s">
        <v>68</v>
      </c>
      <c r="E152" s="12" t="s">
        <v>109</v>
      </c>
      <c r="F152" s="13"/>
      <c r="G152" s="6" t="b">
        <v>1</v>
      </c>
      <c r="H152" s="6" t="b">
        <v>1</v>
      </c>
      <c r="I152" s="6" t="b">
        <v>1</v>
      </c>
      <c r="J152" s="6" t="b">
        <v>1</v>
      </c>
      <c r="K152" s="6" t="b">
        <v>1</v>
      </c>
      <c r="L152" s="6" t="b">
        <v>1</v>
      </c>
      <c r="M152" s="6" t="b">
        <v>1</v>
      </c>
      <c r="N152" s="6" t="b">
        <v>1</v>
      </c>
      <c r="O152" s="6" t="b">
        <v>1</v>
      </c>
      <c r="P152" s="6" t="b">
        <v>1</v>
      </c>
      <c r="Q152" s="6" t="b">
        <v>1</v>
      </c>
      <c r="R152" s="6" t="b">
        <v>1</v>
      </c>
      <c r="S152" s="6" t="b">
        <v>1</v>
      </c>
      <c r="T152" s="6" t="b">
        <v>1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0</v>
      </c>
      <c r="Z152" s="6" t="b">
        <v>0</v>
      </c>
      <c r="AA152" s="6" t="b">
        <v>0</v>
      </c>
      <c r="AB152" s="6" t="b">
        <v>0</v>
      </c>
      <c r="AC152" s="6" t="b">
        <v>0</v>
      </c>
      <c r="AD152" s="6" t="b">
        <v>0</v>
      </c>
      <c r="AE152" s="6" t="b">
        <v>0</v>
      </c>
      <c r="AF152" s="6" t="b">
        <v>0</v>
      </c>
      <c r="AG152" s="6" t="b">
        <v>0</v>
      </c>
      <c r="AH152" s="6" t="b">
        <v>0</v>
      </c>
      <c r="AI152" s="6" t="b">
        <v>1</v>
      </c>
      <c r="AJ152" s="6" t="b">
        <v>0</v>
      </c>
      <c r="AK152" s="6" t="b">
        <v>0</v>
      </c>
      <c r="AL152" s="9" t="str">
        <f t="shared" si="1"/>
        <v>15 dari 31 (48%)</v>
      </c>
    </row>
    <row r="153" ht="22.5" customHeight="1">
      <c r="A153" s="10">
        <v>152.0</v>
      </c>
      <c r="B153" s="11"/>
      <c r="C153" s="20">
        <v>46182.0</v>
      </c>
      <c r="D153" s="12" t="s">
        <v>40</v>
      </c>
      <c r="E153" s="12" t="s">
        <v>43</v>
      </c>
      <c r="F153" s="15" t="s">
        <v>50</v>
      </c>
      <c r="G153" s="112" t="b">
        <v>1</v>
      </c>
      <c r="H153" s="112" t="b">
        <v>0</v>
      </c>
      <c r="I153" s="112" t="b">
        <v>0</v>
      </c>
      <c r="J153" s="112" t="b">
        <v>0</v>
      </c>
      <c r="K153" s="112" t="b">
        <v>0</v>
      </c>
      <c r="L153" s="112" t="b">
        <v>0</v>
      </c>
      <c r="M153" s="112" t="b">
        <v>0</v>
      </c>
      <c r="N153" s="112" t="b">
        <v>0</v>
      </c>
      <c r="O153" s="112" t="b">
        <v>0</v>
      </c>
      <c r="P153" s="112" t="b">
        <v>0</v>
      </c>
      <c r="Q153" s="112" t="b">
        <v>0</v>
      </c>
      <c r="R153" s="112" t="b">
        <v>0</v>
      </c>
      <c r="S153" s="112" t="b">
        <v>0</v>
      </c>
      <c r="T153" s="112" t="b">
        <v>0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0</v>
      </c>
      <c r="AA153" s="112" t="b">
        <v>0</v>
      </c>
      <c r="AB153" s="112" t="b">
        <v>0</v>
      </c>
      <c r="AC153" s="112" t="b">
        <v>0</v>
      </c>
      <c r="AD153" s="112" t="b">
        <v>0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0</v>
      </c>
      <c r="AJ153" s="112" t="b">
        <v>0</v>
      </c>
      <c r="AK153" s="112" t="b">
        <v>0</v>
      </c>
      <c r="AL153" s="113" t="str">
        <f t="shared" si="1"/>
        <v>1 dari 31 (3%)</v>
      </c>
    </row>
    <row r="154" ht="22.5" customHeight="1">
      <c r="A154" s="2">
        <v>153.0</v>
      </c>
      <c r="B154" s="11"/>
      <c r="C154" s="20">
        <v>60608.0</v>
      </c>
      <c r="D154" s="12" t="s">
        <v>63</v>
      </c>
      <c r="E154" s="12" t="s">
        <v>58</v>
      </c>
      <c r="F154" s="135"/>
      <c r="G154" s="114" t="b">
        <v>1</v>
      </c>
      <c r="H154" s="114" t="b">
        <v>1</v>
      </c>
      <c r="I154" s="114" t="b">
        <v>0</v>
      </c>
      <c r="J154" s="114" t="b">
        <v>1</v>
      </c>
      <c r="K154" s="114" t="b">
        <v>1</v>
      </c>
      <c r="L154" s="114" t="b">
        <v>1</v>
      </c>
      <c r="M154" s="114" t="b">
        <v>1</v>
      </c>
      <c r="N154" s="114" t="b">
        <v>1</v>
      </c>
      <c r="O154" s="114" t="b">
        <v>1</v>
      </c>
      <c r="P154" s="114" t="b">
        <v>1</v>
      </c>
      <c r="Q154" s="114" t="b">
        <v>1</v>
      </c>
      <c r="R154" s="114" t="b">
        <v>1</v>
      </c>
      <c r="S154" s="114" t="b">
        <v>1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0</v>
      </c>
      <c r="AJ154" s="114" t="b">
        <v>0</v>
      </c>
      <c r="AK154" s="114" t="b">
        <v>0</v>
      </c>
      <c r="AL154" s="115" t="str">
        <f t="shared" si="1"/>
        <v>12 dari 31 (39%)</v>
      </c>
    </row>
    <row r="155" ht="22.5" customHeight="1">
      <c r="A155" s="10">
        <v>154.0</v>
      </c>
      <c r="B155" s="11"/>
      <c r="C155" s="20">
        <v>59632.0</v>
      </c>
      <c r="D155" s="12" t="s">
        <v>63</v>
      </c>
      <c r="E155" s="12" t="s">
        <v>58</v>
      </c>
      <c r="F155" s="13"/>
      <c r="G155" s="114" t="b">
        <v>1</v>
      </c>
      <c r="H155" s="114" t="b">
        <v>1</v>
      </c>
      <c r="I155" s="114" t="b">
        <v>0</v>
      </c>
      <c r="J155" s="114" t="b">
        <v>1</v>
      </c>
      <c r="K155" s="114" t="b">
        <v>1</v>
      </c>
      <c r="L155" s="114" t="b">
        <v>1</v>
      </c>
      <c r="M155" s="114" t="b">
        <v>1</v>
      </c>
      <c r="N155" s="114" t="b">
        <v>1</v>
      </c>
      <c r="O155" s="114" t="b">
        <v>1</v>
      </c>
      <c r="P155" s="114" t="b">
        <v>1</v>
      </c>
      <c r="Q155" s="114" t="b">
        <v>1</v>
      </c>
      <c r="R155" s="114" t="b">
        <v>1</v>
      </c>
      <c r="S155" s="114" t="b">
        <v>1</v>
      </c>
      <c r="T155" s="114" t="b">
        <v>0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5" t="str">
        <f t="shared" si="1"/>
        <v>12 dari 31 (39%)</v>
      </c>
    </row>
    <row r="156" ht="22.5" customHeight="1">
      <c r="A156" s="10">
        <v>155.0</v>
      </c>
      <c r="B156" s="11"/>
      <c r="C156" s="22">
        <v>61125.0</v>
      </c>
      <c r="D156" s="12" t="s">
        <v>63</v>
      </c>
      <c r="E156" s="12" t="s">
        <v>58</v>
      </c>
      <c r="F156" s="13"/>
      <c r="G156" s="114" t="b">
        <v>1</v>
      </c>
      <c r="H156" s="114" t="b">
        <v>1</v>
      </c>
      <c r="I156" s="114" t="b">
        <v>0</v>
      </c>
      <c r="J156" s="114" t="b">
        <v>1</v>
      </c>
      <c r="K156" s="114" t="b">
        <v>1</v>
      </c>
      <c r="L156" s="114" t="b">
        <v>1</v>
      </c>
      <c r="M156" s="114" t="b">
        <v>1</v>
      </c>
      <c r="N156" s="114" t="b">
        <v>1</v>
      </c>
      <c r="O156" s="114" t="b">
        <v>1</v>
      </c>
      <c r="P156" s="114" t="b">
        <v>1</v>
      </c>
      <c r="Q156" s="114" t="b">
        <v>1</v>
      </c>
      <c r="R156" s="114" t="b">
        <v>1</v>
      </c>
      <c r="S156" s="114" t="b">
        <v>1</v>
      </c>
      <c r="T156" s="114" t="b">
        <v>0</v>
      </c>
      <c r="U156" s="114" t="b">
        <v>0</v>
      </c>
      <c r="V156" s="114" t="b">
        <v>0</v>
      </c>
      <c r="W156" s="114" t="b">
        <v>0</v>
      </c>
      <c r="X156" s="114" t="b">
        <v>0</v>
      </c>
      <c r="Y156" s="114" t="b">
        <v>0</v>
      </c>
      <c r="Z156" s="114" t="b">
        <v>0</v>
      </c>
      <c r="AA156" s="114" t="b">
        <v>0</v>
      </c>
      <c r="AB156" s="114" t="b">
        <v>0</v>
      </c>
      <c r="AC156" s="114" t="b">
        <v>0</v>
      </c>
      <c r="AD156" s="114" t="b">
        <v>0</v>
      </c>
      <c r="AE156" s="114" t="b">
        <v>0</v>
      </c>
      <c r="AF156" s="114" t="b">
        <v>0</v>
      </c>
      <c r="AG156" s="114" t="b">
        <v>0</v>
      </c>
      <c r="AH156" s="114" t="b">
        <v>0</v>
      </c>
      <c r="AI156" s="114" t="b">
        <v>0</v>
      </c>
      <c r="AJ156" s="114" t="b">
        <v>0</v>
      </c>
      <c r="AK156" s="114" t="b">
        <v>0</v>
      </c>
      <c r="AL156" s="115" t="str">
        <f t="shared" si="1"/>
        <v>12 dari 31 (39%)</v>
      </c>
    </row>
    <row r="157" ht="22.5" customHeight="1">
      <c r="A157" s="2">
        <v>156.0</v>
      </c>
      <c r="B157" s="11"/>
      <c r="C157" s="22">
        <v>59737.0</v>
      </c>
      <c r="D157" s="12" t="s">
        <v>63</v>
      </c>
      <c r="E157" s="12" t="s">
        <v>58</v>
      </c>
      <c r="F157" s="15" t="s">
        <v>50</v>
      </c>
      <c r="G157" s="114" t="b">
        <v>1</v>
      </c>
      <c r="H157" s="114" t="b">
        <v>0</v>
      </c>
      <c r="I157" s="114" t="b">
        <v>0</v>
      </c>
      <c r="J157" s="114" t="b">
        <v>1</v>
      </c>
      <c r="K157" s="114" t="b">
        <v>1</v>
      </c>
      <c r="L157" s="114" t="b">
        <v>1</v>
      </c>
      <c r="M157" s="114" t="b">
        <v>1</v>
      </c>
      <c r="N157" s="114" t="b">
        <v>1</v>
      </c>
      <c r="O157" s="114" t="b">
        <v>1</v>
      </c>
      <c r="P157" s="114" t="b">
        <v>1</v>
      </c>
      <c r="Q157" s="114" t="b">
        <v>1</v>
      </c>
      <c r="R157" s="114" t="b">
        <v>1</v>
      </c>
      <c r="S157" s="114" t="b">
        <v>1</v>
      </c>
      <c r="T157" s="114" t="b">
        <v>0</v>
      </c>
      <c r="U157" s="114" t="b">
        <v>0</v>
      </c>
      <c r="V157" s="114" t="b">
        <v>0</v>
      </c>
      <c r="W157" s="114" t="b">
        <v>0</v>
      </c>
      <c r="X157" s="114" t="b">
        <v>0</v>
      </c>
      <c r="Y157" s="114" t="b">
        <v>0</v>
      </c>
      <c r="Z157" s="114" t="b">
        <v>0</v>
      </c>
      <c r="AA157" s="114" t="b">
        <v>0</v>
      </c>
      <c r="AB157" s="114" t="b">
        <v>0</v>
      </c>
      <c r="AC157" s="114" t="b">
        <v>0</v>
      </c>
      <c r="AD157" s="114" t="b">
        <v>0</v>
      </c>
      <c r="AE157" s="114" t="b">
        <v>0</v>
      </c>
      <c r="AF157" s="114" t="b">
        <v>0</v>
      </c>
      <c r="AG157" s="114" t="b">
        <v>0</v>
      </c>
      <c r="AH157" s="114" t="b">
        <v>0</v>
      </c>
      <c r="AI157" s="114" t="b">
        <v>0</v>
      </c>
      <c r="AJ157" s="114" t="b">
        <v>0</v>
      </c>
      <c r="AK157" s="114" t="b">
        <v>0</v>
      </c>
      <c r="AL157" s="115" t="str">
        <f t="shared" si="1"/>
        <v>11 dari 31 (35%)</v>
      </c>
    </row>
    <row r="158" ht="22.5" customHeight="1">
      <c r="A158" s="10">
        <v>157.0</v>
      </c>
      <c r="B158" s="11"/>
      <c r="C158" s="22">
        <v>60983.0</v>
      </c>
      <c r="D158" s="12" t="s">
        <v>63</v>
      </c>
      <c r="E158" s="12" t="s">
        <v>58</v>
      </c>
      <c r="F158" s="13"/>
      <c r="G158" s="114" t="b">
        <v>1</v>
      </c>
      <c r="H158" s="114" t="b">
        <v>1</v>
      </c>
      <c r="I158" s="114" t="b">
        <v>0</v>
      </c>
      <c r="J158" s="114" t="b">
        <v>1</v>
      </c>
      <c r="K158" s="114" t="b">
        <v>1</v>
      </c>
      <c r="L158" s="114" t="b">
        <v>1</v>
      </c>
      <c r="M158" s="114" t="b">
        <v>1</v>
      </c>
      <c r="N158" s="114" t="b">
        <v>1</v>
      </c>
      <c r="O158" s="114" t="b">
        <v>1</v>
      </c>
      <c r="P158" s="114" t="b">
        <v>1</v>
      </c>
      <c r="Q158" s="114" t="b">
        <v>1</v>
      </c>
      <c r="R158" s="114" t="b">
        <v>1</v>
      </c>
      <c r="S158" s="114" t="b">
        <v>1</v>
      </c>
      <c r="T158" s="114" t="b">
        <v>0</v>
      </c>
      <c r="U158" s="114" t="b">
        <v>0</v>
      </c>
      <c r="V158" s="114" t="b">
        <v>0</v>
      </c>
      <c r="W158" s="114" t="b">
        <v>0</v>
      </c>
      <c r="X158" s="114" t="b">
        <v>0</v>
      </c>
      <c r="Y158" s="114" t="b">
        <v>0</v>
      </c>
      <c r="Z158" s="114" t="b">
        <v>0</v>
      </c>
      <c r="AA158" s="114" t="b">
        <v>0</v>
      </c>
      <c r="AB158" s="114" t="b">
        <v>0</v>
      </c>
      <c r="AC158" s="114" t="b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 t="b">
        <v>0</v>
      </c>
      <c r="AI158" s="114" t="b">
        <v>0</v>
      </c>
      <c r="AJ158" s="114" t="b">
        <v>0</v>
      </c>
      <c r="AK158" s="114" t="b">
        <v>0</v>
      </c>
      <c r="AL158" s="115" t="str">
        <f t="shared" si="1"/>
        <v>12 dari 31 (39%)</v>
      </c>
    </row>
    <row r="159" ht="22.5" customHeight="1">
      <c r="A159" s="10">
        <v>158.0</v>
      </c>
      <c r="B159" s="11"/>
      <c r="C159" s="22">
        <v>37611.0</v>
      </c>
      <c r="D159" s="12" t="s">
        <v>63</v>
      </c>
      <c r="E159" s="12" t="s">
        <v>58</v>
      </c>
      <c r="F159" s="13"/>
      <c r="G159" s="114" t="b">
        <v>1</v>
      </c>
      <c r="H159" s="114" t="b">
        <v>1</v>
      </c>
      <c r="I159" s="114" t="b">
        <v>0</v>
      </c>
      <c r="J159" s="114" t="b">
        <v>1</v>
      </c>
      <c r="K159" s="114" t="b">
        <v>1</v>
      </c>
      <c r="L159" s="114" t="b">
        <v>1</v>
      </c>
      <c r="M159" s="114" t="b">
        <v>1</v>
      </c>
      <c r="N159" s="114" t="b">
        <v>1</v>
      </c>
      <c r="O159" s="114" t="b">
        <v>1</v>
      </c>
      <c r="P159" s="114" t="b">
        <v>1</v>
      </c>
      <c r="Q159" s="114" t="b">
        <v>1</v>
      </c>
      <c r="R159" s="114" t="b">
        <v>1</v>
      </c>
      <c r="S159" s="114" t="b">
        <v>1</v>
      </c>
      <c r="T159" s="114" t="b">
        <v>0</v>
      </c>
      <c r="U159" s="114" t="b">
        <v>0</v>
      </c>
      <c r="V159" s="114" t="b">
        <v>0</v>
      </c>
      <c r="W159" s="114" t="b">
        <v>0</v>
      </c>
      <c r="X159" s="114" t="b">
        <v>0</v>
      </c>
      <c r="Y159" s="114" t="b">
        <v>0</v>
      </c>
      <c r="Z159" s="114" t="b">
        <v>0</v>
      </c>
      <c r="AA159" s="114" t="b">
        <v>0</v>
      </c>
      <c r="AB159" s="114" t="b">
        <v>0</v>
      </c>
      <c r="AC159" s="114" t="b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 t="b">
        <v>0</v>
      </c>
      <c r="AI159" s="114" t="b">
        <v>0</v>
      </c>
      <c r="AJ159" s="114" t="b">
        <v>0</v>
      </c>
      <c r="AK159" s="114" t="b">
        <v>0</v>
      </c>
      <c r="AL159" s="115" t="str">
        <f t="shared" si="1"/>
        <v>12 dari 31 (39%)</v>
      </c>
    </row>
    <row r="160" ht="22.5" customHeight="1">
      <c r="A160" s="2">
        <v>159.0</v>
      </c>
      <c r="B160" s="11"/>
      <c r="C160" s="22">
        <v>59468.0</v>
      </c>
      <c r="D160" s="12" t="s">
        <v>63</v>
      </c>
      <c r="E160" s="12" t="s">
        <v>58</v>
      </c>
      <c r="F160" s="13"/>
      <c r="G160" s="114" t="b">
        <v>1</v>
      </c>
      <c r="H160" s="114" t="b">
        <v>1</v>
      </c>
      <c r="I160" s="114" t="b">
        <v>0</v>
      </c>
      <c r="J160" s="114" t="b">
        <v>1</v>
      </c>
      <c r="K160" s="114" t="b">
        <v>1</v>
      </c>
      <c r="L160" s="114" t="b">
        <v>1</v>
      </c>
      <c r="M160" s="114" t="b">
        <v>1</v>
      </c>
      <c r="N160" s="114" t="b">
        <v>1</v>
      </c>
      <c r="O160" s="114" t="b">
        <v>1</v>
      </c>
      <c r="P160" s="114" t="b">
        <v>1</v>
      </c>
      <c r="Q160" s="114" t="b">
        <v>1</v>
      </c>
      <c r="R160" s="114" t="b">
        <v>1</v>
      </c>
      <c r="S160" s="114" t="b">
        <v>1</v>
      </c>
      <c r="T160" s="114" t="b">
        <v>0</v>
      </c>
      <c r="U160" s="114" t="b">
        <v>0</v>
      </c>
      <c r="V160" s="114" t="b">
        <v>0</v>
      </c>
      <c r="W160" s="114" t="b">
        <v>0</v>
      </c>
      <c r="X160" s="114" t="b">
        <v>0</v>
      </c>
      <c r="Y160" s="114" t="b">
        <v>0</v>
      </c>
      <c r="Z160" s="114" t="b">
        <v>0</v>
      </c>
      <c r="AA160" s="114" t="b">
        <v>0</v>
      </c>
      <c r="AB160" s="114" t="b">
        <v>0</v>
      </c>
      <c r="AC160" s="114" t="b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 t="b">
        <v>0</v>
      </c>
      <c r="AI160" s="114" t="b">
        <v>0</v>
      </c>
      <c r="AJ160" s="114" t="b">
        <v>0</v>
      </c>
      <c r="AK160" s="114" t="b">
        <v>0</v>
      </c>
      <c r="AL160" s="115" t="str">
        <f t="shared" si="1"/>
        <v>12 dari 31 (39%)</v>
      </c>
    </row>
    <row r="161" ht="22.5" customHeight="1">
      <c r="A161" s="10">
        <v>160.0</v>
      </c>
      <c r="B161" s="11"/>
      <c r="C161" s="22">
        <v>60074.0</v>
      </c>
      <c r="D161" s="12" t="s">
        <v>63</v>
      </c>
      <c r="E161" s="12" t="s">
        <v>58</v>
      </c>
      <c r="F161" s="13"/>
      <c r="G161" s="114" t="b">
        <v>1</v>
      </c>
      <c r="H161" s="114" t="b">
        <v>1</v>
      </c>
      <c r="I161" s="114" t="b">
        <v>0</v>
      </c>
      <c r="J161" s="114" t="b">
        <v>1</v>
      </c>
      <c r="K161" s="114" t="b">
        <v>1</v>
      </c>
      <c r="L161" s="114" t="b">
        <v>1</v>
      </c>
      <c r="M161" s="114" t="b">
        <v>1</v>
      </c>
      <c r="N161" s="114" t="b">
        <v>1</v>
      </c>
      <c r="O161" s="114" t="b">
        <v>1</v>
      </c>
      <c r="P161" s="114" t="b">
        <v>1</v>
      </c>
      <c r="Q161" s="114" t="b">
        <v>1</v>
      </c>
      <c r="R161" s="114" t="b">
        <v>1</v>
      </c>
      <c r="S161" s="114" t="b">
        <v>1</v>
      </c>
      <c r="T161" s="114" t="b">
        <v>0</v>
      </c>
      <c r="U161" s="114" t="b">
        <v>0</v>
      </c>
      <c r="V161" s="114" t="b">
        <v>0</v>
      </c>
      <c r="W161" s="114" t="b">
        <v>0</v>
      </c>
      <c r="X161" s="114" t="b">
        <v>0</v>
      </c>
      <c r="Y161" s="114" t="b">
        <v>0</v>
      </c>
      <c r="Z161" s="114" t="b">
        <v>0</v>
      </c>
      <c r="AA161" s="114" t="b">
        <v>0</v>
      </c>
      <c r="AB161" s="114" t="b">
        <v>0</v>
      </c>
      <c r="AC161" s="114" t="b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 t="b">
        <v>0</v>
      </c>
      <c r="AI161" s="114" t="b">
        <v>0</v>
      </c>
      <c r="AJ161" s="114" t="b">
        <v>0</v>
      </c>
      <c r="AK161" s="114" t="b">
        <v>0</v>
      </c>
      <c r="AL161" s="115" t="str">
        <f t="shared" si="1"/>
        <v>12 dari 31 (39%)</v>
      </c>
    </row>
    <row r="162" ht="22.5" customHeight="1">
      <c r="A162" s="10">
        <v>161.0</v>
      </c>
      <c r="B162" s="11"/>
      <c r="C162" s="20">
        <v>58035.0</v>
      </c>
      <c r="D162" s="12" t="s">
        <v>63</v>
      </c>
      <c r="E162" s="12" t="s">
        <v>58</v>
      </c>
      <c r="F162" s="13"/>
      <c r="G162" s="114" t="b">
        <v>1</v>
      </c>
      <c r="H162" s="114" t="b">
        <v>1</v>
      </c>
      <c r="I162" s="114" t="b">
        <v>0</v>
      </c>
      <c r="J162" s="114" t="b">
        <v>1</v>
      </c>
      <c r="K162" s="114" t="b">
        <v>1</v>
      </c>
      <c r="L162" s="114" t="b">
        <v>1</v>
      </c>
      <c r="M162" s="114" t="b">
        <v>1</v>
      </c>
      <c r="N162" s="114" t="b">
        <v>1</v>
      </c>
      <c r="O162" s="114" t="b">
        <v>1</v>
      </c>
      <c r="P162" s="114" t="b">
        <v>1</v>
      </c>
      <c r="Q162" s="114" t="b">
        <v>1</v>
      </c>
      <c r="R162" s="114" t="b">
        <v>1</v>
      </c>
      <c r="S162" s="114" t="b">
        <v>1</v>
      </c>
      <c r="T162" s="114" t="b">
        <v>0</v>
      </c>
      <c r="U162" s="114" t="b">
        <v>0</v>
      </c>
      <c r="V162" s="114" t="b">
        <v>0</v>
      </c>
      <c r="W162" s="114" t="b">
        <v>0</v>
      </c>
      <c r="X162" s="114" t="b">
        <v>0</v>
      </c>
      <c r="Y162" s="114" t="b">
        <v>0</v>
      </c>
      <c r="Z162" s="114" t="b">
        <v>0</v>
      </c>
      <c r="AA162" s="114" t="b">
        <v>0</v>
      </c>
      <c r="AB162" s="114" t="b">
        <v>0</v>
      </c>
      <c r="AC162" s="114" t="b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 t="b">
        <v>0</v>
      </c>
      <c r="AI162" s="114" t="b">
        <v>0</v>
      </c>
      <c r="AJ162" s="114" t="b">
        <v>0</v>
      </c>
      <c r="AK162" s="114" t="b">
        <v>0</v>
      </c>
      <c r="AL162" s="115" t="str">
        <f t="shared" si="1"/>
        <v>12 dari 31 (39%)</v>
      </c>
    </row>
    <row r="163" ht="22.5" customHeight="1">
      <c r="A163" s="2">
        <v>162.0</v>
      </c>
      <c r="B163" s="11"/>
      <c r="C163" s="20">
        <v>61065.0</v>
      </c>
      <c r="D163" s="12" t="s">
        <v>63</v>
      </c>
      <c r="E163" s="12" t="s">
        <v>58</v>
      </c>
      <c r="F163" s="13"/>
      <c r="G163" s="114" t="b">
        <v>1</v>
      </c>
      <c r="H163" s="114" t="b">
        <v>1</v>
      </c>
      <c r="I163" s="114" t="b">
        <v>0</v>
      </c>
      <c r="J163" s="114" t="b">
        <v>1</v>
      </c>
      <c r="K163" s="114" t="b">
        <v>1</v>
      </c>
      <c r="L163" s="114" t="b">
        <v>1</v>
      </c>
      <c r="M163" s="114" t="b">
        <v>1</v>
      </c>
      <c r="N163" s="114" t="b">
        <v>1</v>
      </c>
      <c r="O163" s="114" t="b">
        <v>1</v>
      </c>
      <c r="P163" s="114" t="b">
        <v>1</v>
      </c>
      <c r="Q163" s="114" t="b">
        <v>1</v>
      </c>
      <c r="R163" s="114" t="b">
        <v>1</v>
      </c>
      <c r="S163" s="114" t="b">
        <v>1</v>
      </c>
      <c r="T163" s="114" t="b">
        <v>0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0</v>
      </c>
      <c r="AJ163" s="114" t="b">
        <v>0</v>
      </c>
      <c r="AK163" s="114" t="b">
        <v>0</v>
      </c>
      <c r="AL163" s="115" t="str">
        <f t="shared" si="1"/>
        <v>12 dari 31 (39%)</v>
      </c>
    </row>
    <row r="164" ht="22.5" customHeight="1">
      <c r="A164" s="10">
        <v>163.0</v>
      </c>
      <c r="B164" s="11"/>
      <c r="C164" s="20">
        <v>60044.0</v>
      </c>
      <c r="D164" s="12" t="s">
        <v>63</v>
      </c>
      <c r="E164" s="12" t="s">
        <v>58</v>
      </c>
      <c r="F164" s="13"/>
      <c r="G164" s="114" t="b">
        <v>1</v>
      </c>
      <c r="H164" s="114" t="b">
        <v>1</v>
      </c>
      <c r="I164" s="114" t="b">
        <v>1</v>
      </c>
      <c r="J164" s="114" t="b">
        <v>1</v>
      </c>
      <c r="K164" s="114" t="b">
        <v>1</v>
      </c>
      <c r="L164" s="114" t="b">
        <v>1</v>
      </c>
      <c r="M164" s="114" t="b">
        <v>1</v>
      </c>
      <c r="N164" s="114" t="b">
        <v>1</v>
      </c>
      <c r="O164" s="114" t="b">
        <v>1</v>
      </c>
      <c r="P164" s="114" t="b">
        <v>1</v>
      </c>
      <c r="Q164" s="114" t="b">
        <v>1</v>
      </c>
      <c r="R164" s="114" t="b">
        <v>1</v>
      </c>
      <c r="S164" s="114" t="b">
        <v>1</v>
      </c>
      <c r="T164" s="114" t="b">
        <v>0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1</v>
      </c>
      <c r="AJ164" s="114" t="b">
        <v>0</v>
      </c>
      <c r="AK164" s="114" t="b">
        <v>0</v>
      </c>
      <c r="AL164" s="115" t="str">
        <f t="shared" si="1"/>
        <v>14 dari 31 (45%)</v>
      </c>
    </row>
    <row r="165" ht="22.5" customHeight="1">
      <c r="A165" s="10">
        <v>164.0</v>
      </c>
      <c r="B165" s="11"/>
      <c r="C165" s="20">
        <v>60945.0</v>
      </c>
      <c r="D165" s="12" t="s">
        <v>63</v>
      </c>
      <c r="E165" s="12" t="s">
        <v>58</v>
      </c>
      <c r="F165" s="13"/>
      <c r="G165" s="114" t="b">
        <v>1</v>
      </c>
      <c r="H165" s="114" t="b">
        <v>1</v>
      </c>
      <c r="I165" s="114" t="b">
        <v>0</v>
      </c>
      <c r="J165" s="114" t="b">
        <v>1</v>
      </c>
      <c r="K165" s="114" t="b">
        <v>1</v>
      </c>
      <c r="L165" s="114" t="b">
        <v>1</v>
      </c>
      <c r="M165" s="114" t="b">
        <v>1</v>
      </c>
      <c r="N165" s="114" t="b">
        <v>1</v>
      </c>
      <c r="O165" s="114" t="b">
        <v>1</v>
      </c>
      <c r="P165" s="114" t="b">
        <v>1</v>
      </c>
      <c r="Q165" s="114" t="b">
        <v>1</v>
      </c>
      <c r="R165" s="114" t="b">
        <v>1</v>
      </c>
      <c r="S165" s="114" t="b">
        <v>1</v>
      </c>
      <c r="T165" s="114" t="b">
        <v>0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0</v>
      </c>
      <c r="AA165" s="114" t="b">
        <v>0</v>
      </c>
      <c r="AB165" s="114" t="b">
        <v>0</v>
      </c>
      <c r="AC165" s="114" t="b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0</v>
      </c>
      <c r="AJ165" s="114" t="b">
        <v>0</v>
      </c>
      <c r="AK165" s="114" t="b">
        <v>0</v>
      </c>
      <c r="AL165" s="115" t="str">
        <f t="shared" si="1"/>
        <v>12 dari 31 (39%)</v>
      </c>
    </row>
    <row r="166" ht="22.5" customHeight="1">
      <c r="A166" s="2">
        <v>165.0</v>
      </c>
      <c r="B166" s="11"/>
      <c r="C166" s="20">
        <v>59553.0</v>
      </c>
      <c r="D166" s="12" t="s">
        <v>63</v>
      </c>
      <c r="E166" s="12" t="s">
        <v>58</v>
      </c>
      <c r="F166" s="13"/>
      <c r="G166" s="114" t="b">
        <v>1</v>
      </c>
      <c r="H166" s="114" t="b">
        <v>1</v>
      </c>
      <c r="I166" s="114" t="b">
        <v>0</v>
      </c>
      <c r="J166" s="114" t="b">
        <v>1</v>
      </c>
      <c r="K166" s="114" t="b">
        <v>1</v>
      </c>
      <c r="L166" s="114" t="b">
        <v>1</v>
      </c>
      <c r="M166" s="114" t="b">
        <v>1</v>
      </c>
      <c r="N166" s="114" t="b">
        <v>1</v>
      </c>
      <c r="O166" s="114" t="b">
        <v>1</v>
      </c>
      <c r="P166" s="114" t="b">
        <v>1</v>
      </c>
      <c r="Q166" s="114" t="b">
        <v>1</v>
      </c>
      <c r="R166" s="114" t="b">
        <v>1</v>
      </c>
      <c r="S166" s="114" t="b">
        <v>1</v>
      </c>
      <c r="T166" s="114" t="b">
        <v>1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0</v>
      </c>
      <c r="AJ166" s="114" t="b">
        <v>0</v>
      </c>
      <c r="AK166" s="114" t="b">
        <v>0</v>
      </c>
      <c r="AL166" s="115" t="str">
        <f t="shared" si="1"/>
        <v>13 dari 31 (42%)</v>
      </c>
    </row>
    <row r="167" ht="22.5" customHeight="1">
      <c r="A167" s="10">
        <v>166.0</v>
      </c>
      <c r="B167" s="11"/>
      <c r="C167" s="22">
        <v>60945.0</v>
      </c>
      <c r="D167" s="12" t="s">
        <v>63</v>
      </c>
      <c r="E167" s="12" t="s">
        <v>58</v>
      </c>
      <c r="F167" s="13"/>
      <c r="G167" s="114" t="b">
        <v>1</v>
      </c>
      <c r="H167" s="114" t="b">
        <v>1</v>
      </c>
      <c r="I167" s="114" t="b">
        <v>0</v>
      </c>
      <c r="J167" s="114" t="b">
        <v>1</v>
      </c>
      <c r="K167" s="114" t="b">
        <v>1</v>
      </c>
      <c r="L167" s="114" t="b">
        <v>1</v>
      </c>
      <c r="M167" s="114" t="b">
        <v>1</v>
      </c>
      <c r="N167" s="114" t="b">
        <v>1</v>
      </c>
      <c r="O167" s="114" t="b">
        <v>1</v>
      </c>
      <c r="P167" s="114" t="b">
        <v>1</v>
      </c>
      <c r="Q167" s="114" t="b">
        <v>1</v>
      </c>
      <c r="R167" s="114" t="b">
        <v>1</v>
      </c>
      <c r="S167" s="114" t="b">
        <v>1</v>
      </c>
      <c r="T167" s="114" t="b">
        <v>1</v>
      </c>
      <c r="U167" s="114" t="b">
        <v>0</v>
      </c>
      <c r="V167" s="114" t="b">
        <v>0</v>
      </c>
      <c r="W167" s="114" t="b">
        <v>0</v>
      </c>
      <c r="X167" s="114" t="b">
        <v>0</v>
      </c>
      <c r="Y167" s="114" t="b">
        <v>0</v>
      </c>
      <c r="Z167" s="114" t="b">
        <v>1</v>
      </c>
      <c r="AA167" s="114" t="b">
        <v>1</v>
      </c>
      <c r="AB167" s="114" t="b">
        <v>1</v>
      </c>
      <c r="AC167" s="114" t="b">
        <v>1</v>
      </c>
      <c r="AD167" s="114" t="b">
        <v>1</v>
      </c>
      <c r="AE167" s="114" t="b">
        <v>0</v>
      </c>
      <c r="AF167" s="114" t="b">
        <v>0</v>
      </c>
      <c r="AG167" s="114" t="b">
        <v>0</v>
      </c>
      <c r="AH167" s="114" t="b">
        <v>0</v>
      </c>
      <c r="AI167" s="114" t="b">
        <v>0</v>
      </c>
      <c r="AJ167" s="114" t="b">
        <v>0</v>
      </c>
      <c r="AK167" s="114" t="b">
        <v>0</v>
      </c>
      <c r="AL167" s="115" t="str">
        <f t="shared" si="1"/>
        <v>18 dari 31 (58%)</v>
      </c>
    </row>
    <row r="168" ht="22.5" customHeight="1">
      <c r="A168" s="10">
        <v>167.0</v>
      </c>
      <c r="B168" s="11"/>
      <c r="C168" s="22">
        <v>61259.0</v>
      </c>
      <c r="D168" s="12" t="s">
        <v>63</v>
      </c>
      <c r="E168" s="12" t="s">
        <v>58</v>
      </c>
      <c r="F168" s="13"/>
      <c r="G168" s="114" t="b">
        <v>1</v>
      </c>
      <c r="H168" s="114" t="b">
        <v>1</v>
      </c>
      <c r="I168" s="114" t="b">
        <v>0</v>
      </c>
      <c r="J168" s="114" t="b">
        <v>1</v>
      </c>
      <c r="K168" s="114" t="b">
        <v>1</v>
      </c>
      <c r="L168" s="114" t="b">
        <v>1</v>
      </c>
      <c r="M168" s="114" t="b">
        <v>1</v>
      </c>
      <c r="N168" s="114" t="b">
        <v>1</v>
      </c>
      <c r="O168" s="114" t="b">
        <v>1</v>
      </c>
      <c r="P168" s="114" t="b">
        <v>1</v>
      </c>
      <c r="Q168" s="114" t="b">
        <v>1</v>
      </c>
      <c r="R168" s="114" t="b">
        <v>1</v>
      </c>
      <c r="S168" s="114" t="b">
        <v>1</v>
      </c>
      <c r="T168" s="114" t="b">
        <v>0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0</v>
      </c>
      <c r="AJ168" s="114" t="b">
        <v>0</v>
      </c>
      <c r="AK168" s="114" t="b">
        <v>0</v>
      </c>
      <c r="AL168" s="115" t="str">
        <f t="shared" si="1"/>
        <v>12 dari 31 (39%)</v>
      </c>
    </row>
    <row r="169" ht="22.5" customHeight="1">
      <c r="A169" s="2">
        <v>168.0</v>
      </c>
      <c r="B169" s="11"/>
      <c r="C169" s="22">
        <v>61260.0</v>
      </c>
      <c r="D169" s="12" t="s">
        <v>63</v>
      </c>
      <c r="E169" s="12" t="s">
        <v>58</v>
      </c>
      <c r="F169" s="13"/>
      <c r="G169" s="114" t="b">
        <v>1</v>
      </c>
      <c r="H169" s="114" t="b">
        <v>1</v>
      </c>
      <c r="I169" s="114" t="b">
        <v>0</v>
      </c>
      <c r="J169" s="114" t="b">
        <v>1</v>
      </c>
      <c r="K169" s="114" t="b">
        <v>1</v>
      </c>
      <c r="L169" s="114" t="b">
        <v>1</v>
      </c>
      <c r="M169" s="114" t="b">
        <v>1</v>
      </c>
      <c r="N169" s="114" t="b">
        <v>1</v>
      </c>
      <c r="O169" s="114" t="b">
        <v>1</v>
      </c>
      <c r="P169" s="114" t="b">
        <v>1</v>
      </c>
      <c r="Q169" s="114" t="b">
        <v>1</v>
      </c>
      <c r="R169" s="114" t="b">
        <v>1</v>
      </c>
      <c r="S169" s="114" t="b">
        <v>1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0</v>
      </c>
      <c r="AJ169" s="114" t="b">
        <v>0</v>
      </c>
      <c r="AK169" s="114" t="b">
        <v>0</v>
      </c>
      <c r="AL169" s="115" t="str">
        <f t="shared" si="1"/>
        <v>12 dari 31 (39%)</v>
      </c>
    </row>
    <row r="170" ht="22.5" customHeight="1">
      <c r="A170" s="10">
        <v>169.0</v>
      </c>
      <c r="B170" s="11"/>
      <c r="C170" s="22">
        <v>61262.0</v>
      </c>
      <c r="D170" s="12" t="s">
        <v>63</v>
      </c>
      <c r="E170" s="12" t="s">
        <v>58</v>
      </c>
      <c r="F170" s="14" t="s">
        <v>50</v>
      </c>
      <c r="G170" s="114" t="b">
        <v>1</v>
      </c>
      <c r="H170" s="114" t="b">
        <v>0</v>
      </c>
      <c r="I170" s="114" t="b">
        <v>0</v>
      </c>
      <c r="J170" s="114" t="b">
        <v>1</v>
      </c>
      <c r="K170" s="114" t="b">
        <v>1</v>
      </c>
      <c r="L170" s="114" t="b">
        <v>1</v>
      </c>
      <c r="M170" s="114" t="b">
        <v>1</v>
      </c>
      <c r="N170" s="114" t="b">
        <v>1</v>
      </c>
      <c r="O170" s="114" t="b">
        <v>1</v>
      </c>
      <c r="P170" s="114" t="b">
        <v>1</v>
      </c>
      <c r="Q170" s="114" t="b">
        <v>1</v>
      </c>
      <c r="R170" s="114" t="b">
        <v>1</v>
      </c>
      <c r="S170" s="114" t="b">
        <v>1</v>
      </c>
      <c r="T170" s="114" t="b">
        <v>0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0</v>
      </c>
      <c r="AA170" s="114" t="b">
        <v>0</v>
      </c>
      <c r="AB170" s="114" t="b">
        <v>0</v>
      </c>
      <c r="AC170" s="114" t="b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0</v>
      </c>
      <c r="AJ170" s="114" t="b">
        <v>0</v>
      </c>
      <c r="AK170" s="114" t="b">
        <v>0</v>
      </c>
      <c r="AL170" s="115" t="str">
        <f t="shared" si="1"/>
        <v>11 dari 31 (35%)</v>
      </c>
    </row>
    <row r="171" ht="22.5" customHeight="1">
      <c r="A171" s="10">
        <v>170.0</v>
      </c>
      <c r="B171" s="11"/>
      <c r="C171" s="22">
        <v>61261.0</v>
      </c>
      <c r="D171" s="21" t="s">
        <v>89</v>
      </c>
      <c r="E171" s="21" t="s">
        <v>95</v>
      </c>
      <c r="F171" s="14" t="s">
        <v>50</v>
      </c>
      <c r="G171" s="114" t="b">
        <v>1</v>
      </c>
      <c r="H171" s="114" t="b">
        <v>0</v>
      </c>
      <c r="I171" s="114" t="b">
        <v>0</v>
      </c>
      <c r="J171" s="114" t="b">
        <v>0</v>
      </c>
      <c r="K171" s="114" t="b">
        <v>0</v>
      </c>
      <c r="L171" s="114" t="b">
        <v>0</v>
      </c>
      <c r="M171" s="114" t="b">
        <v>0</v>
      </c>
      <c r="N171" s="114" t="b">
        <v>0</v>
      </c>
      <c r="O171" s="114" t="b">
        <v>0</v>
      </c>
      <c r="P171" s="114" t="b">
        <v>0</v>
      </c>
      <c r="Q171" s="114" t="b">
        <v>0</v>
      </c>
      <c r="R171" s="114" t="b">
        <v>0</v>
      </c>
      <c r="S171" s="114" t="b">
        <v>0</v>
      </c>
      <c r="T171" s="114" t="b">
        <v>0</v>
      </c>
      <c r="U171" s="114" t="b">
        <v>0</v>
      </c>
      <c r="V171" s="114" t="b">
        <v>0</v>
      </c>
      <c r="W171" s="114" t="b">
        <v>0</v>
      </c>
      <c r="X171" s="114" t="b">
        <v>0</v>
      </c>
      <c r="Y171" s="114" t="b">
        <v>0</v>
      </c>
      <c r="Z171" s="114" t="b">
        <v>0</v>
      </c>
      <c r="AA171" s="114" t="b">
        <v>0</v>
      </c>
      <c r="AB171" s="114" t="b">
        <v>0</v>
      </c>
      <c r="AC171" s="114" t="b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 t="b">
        <v>0</v>
      </c>
      <c r="AI171" s="114" t="b">
        <v>0</v>
      </c>
      <c r="AJ171" s="114" t="b">
        <v>0</v>
      </c>
      <c r="AK171" s="114" t="b">
        <v>0</v>
      </c>
      <c r="AL171" s="115" t="str">
        <f t="shared" si="1"/>
        <v>1 dari 31 (3%)</v>
      </c>
    </row>
    <row r="172" ht="22.5" customHeight="1">
      <c r="A172" s="2">
        <v>171.0</v>
      </c>
      <c r="B172" s="11"/>
      <c r="C172" s="20">
        <v>61263.0</v>
      </c>
      <c r="D172" s="21" t="s">
        <v>89</v>
      </c>
      <c r="E172" s="21" t="s">
        <v>95</v>
      </c>
      <c r="F172" s="14" t="s">
        <v>50</v>
      </c>
      <c r="G172" s="114" t="b">
        <v>1</v>
      </c>
      <c r="H172" s="114" t="b">
        <v>0</v>
      </c>
      <c r="I172" s="114" t="b">
        <v>0</v>
      </c>
      <c r="J172" s="114" t="b">
        <v>0</v>
      </c>
      <c r="K172" s="114" t="b">
        <v>0</v>
      </c>
      <c r="L172" s="114" t="b">
        <v>0</v>
      </c>
      <c r="M172" s="114" t="b">
        <v>0</v>
      </c>
      <c r="N172" s="114" t="b">
        <v>0</v>
      </c>
      <c r="O172" s="114" t="b">
        <v>0</v>
      </c>
      <c r="P172" s="114" t="b">
        <v>0</v>
      </c>
      <c r="Q172" s="114" t="b">
        <v>0</v>
      </c>
      <c r="R172" s="114" t="b">
        <v>0</v>
      </c>
      <c r="S172" s="114" t="b">
        <v>0</v>
      </c>
      <c r="T172" s="114" t="b">
        <v>0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0</v>
      </c>
      <c r="AJ172" s="114" t="b">
        <v>0</v>
      </c>
      <c r="AK172" s="114" t="b">
        <v>0</v>
      </c>
      <c r="AL172" s="115" t="str">
        <f t="shared" si="1"/>
        <v>1 dari 31 (3%)</v>
      </c>
    </row>
    <row r="173" ht="22.5" customHeight="1">
      <c r="A173" s="10">
        <v>172.0</v>
      </c>
      <c r="B173" s="11"/>
      <c r="C173" s="20">
        <v>61264.0</v>
      </c>
      <c r="D173" s="21" t="s">
        <v>89</v>
      </c>
      <c r="E173" s="21" t="s">
        <v>95</v>
      </c>
      <c r="F173" s="14" t="s">
        <v>50</v>
      </c>
      <c r="G173" s="114" t="b">
        <v>1</v>
      </c>
      <c r="H173" s="114" t="b">
        <v>0</v>
      </c>
      <c r="I173" s="114" t="b">
        <v>0</v>
      </c>
      <c r="J173" s="114" t="b">
        <v>0</v>
      </c>
      <c r="K173" s="114" t="b">
        <v>0</v>
      </c>
      <c r="L173" s="114" t="b">
        <v>0</v>
      </c>
      <c r="M173" s="114" t="b">
        <v>0</v>
      </c>
      <c r="N173" s="114" t="b">
        <v>0</v>
      </c>
      <c r="O173" s="114" t="b">
        <v>0</v>
      </c>
      <c r="P173" s="114" t="b">
        <v>0</v>
      </c>
      <c r="Q173" s="114" t="b">
        <v>0</v>
      </c>
      <c r="R173" s="114" t="b">
        <v>0</v>
      </c>
      <c r="S173" s="114" t="b">
        <v>0</v>
      </c>
      <c r="T173" s="114" t="b">
        <v>0</v>
      </c>
      <c r="U173" s="114" t="b">
        <v>0</v>
      </c>
      <c r="V173" s="114" t="b">
        <v>0</v>
      </c>
      <c r="W173" s="114" t="b">
        <v>0</v>
      </c>
      <c r="X173" s="114" t="b">
        <v>0</v>
      </c>
      <c r="Y173" s="114" t="b">
        <v>0</v>
      </c>
      <c r="Z173" s="114" t="b">
        <v>0</v>
      </c>
      <c r="AA173" s="114" t="b">
        <v>0</v>
      </c>
      <c r="AB173" s="114" t="b">
        <v>0</v>
      </c>
      <c r="AC173" s="114" t="b">
        <v>0</v>
      </c>
      <c r="AD173" s="114" t="b">
        <v>0</v>
      </c>
      <c r="AE173" s="114" t="b">
        <v>0</v>
      </c>
      <c r="AF173" s="114" t="b">
        <v>0</v>
      </c>
      <c r="AG173" s="114" t="b">
        <v>0</v>
      </c>
      <c r="AH173" s="114" t="b">
        <v>0</v>
      </c>
      <c r="AI173" s="114" t="b">
        <v>0</v>
      </c>
      <c r="AJ173" s="114" t="b">
        <v>0</v>
      </c>
      <c r="AK173" s="114" t="b">
        <v>0</v>
      </c>
      <c r="AL173" s="115" t="str">
        <f t="shared" si="1"/>
        <v>1 dari 31 (3%)</v>
      </c>
    </row>
    <row r="174" ht="22.5" customHeight="1">
      <c r="A174" s="10">
        <v>173.0</v>
      </c>
      <c r="B174" s="11"/>
      <c r="C174" s="20">
        <v>61252.0</v>
      </c>
      <c r="D174" s="21" t="s">
        <v>89</v>
      </c>
      <c r="E174" s="21" t="s">
        <v>95</v>
      </c>
      <c r="F174" s="14" t="s">
        <v>50</v>
      </c>
      <c r="G174" s="114" t="b">
        <v>1</v>
      </c>
      <c r="H174" s="114" t="b">
        <v>0</v>
      </c>
      <c r="I174" s="114" t="b">
        <v>0</v>
      </c>
      <c r="J174" s="114" t="b">
        <v>0</v>
      </c>
      <c r="K174" s="114" t="b">
        <v>0</v>
      </c>
      <c r="L174" s="114" t="b">
        <v>0</v>
      </c>
      <c r="M174" s="114" t="b">
        <v>0</v>
      </c>
      <c r="N174" s="114" t="b">
        <v>0</v>
      </c>
      <c r="O174" s="114" t="b">
        <v>0</v>
      </c>
      <c r="P174" s="114" t="b">
        <v>0</v>
      </c>
      <c r="Q174" s="114" t="b">
        <v>0</v>
      </c>
      <c r="R174" s="114" t="b">
        <v>0</v>
      </c>
      <c r="S174" s="114" t="b">
        <v>0</v>
      </c>
      <c r="T174" s="114" t="b">
        <v>0</v>
      </c>
      <c r="U174" s="114" t="b">
        <v>0</v>
      </c>
      <c r="V174" s="114" t="b">
        <v>0</v>
      </c>
      <c r="W174" s="114" t="b">
        <v>0</v>
      </c>
      <c r="X174" s="114" t="b">
        <v>0</v>
      </c>
      <c r="Y174" s="114" t="b">
        <v>0</v>
      </c>
      <c r="Z174" s="114" t="b">
        <v>0</v>
      </c>
      <c r="AA174" s="114" t="b">
        <v>0</v>
      </c>
      <c r="AB174" s="114" t="b">
        <v>0</v>
      </c>
      <c r="AC174" s="114" t="b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 t="b">
        <v>0</v>
      </c>
      <c r="AI174" s="114" t="b">
        <v>0</v>
      </c>
      <c r="AJ174" s="114" t="b">
        <v>0</v>
      </c>
      <c r="AK174" s="114" t="b">
        <v>0</v>
      </c>
      <c r="AL174" s="115" t="str">
        <f t="shared" si="1"/>
        <v>1 dari 31 (3%)</v>
      </c>
    </row>
    <row r="175" ht="22.5" customHeight="1">
      <c r="A175" s="2">
        <v>174.0</v>
      </c>
      <c r="B175" s="11"/>
      <c r="C175" s="20">
        <v>61258.0</v>
      </c>
      <c r="D175" s="21" t="s">
        <v>89</v>
      </c>
      <c r="E175" s="21" t="s">
        <v>95</v>
      </c>
      <c r="F175" s="14" t="s">
        <v>50</v>
      </c>
      <c r="G175" s="114" t="b">
        <v>1</v>
      </c>
      <c r="H175" s="114" t="b">
        <v>0</v>
      </c>
      <c r="I175" s="114" t="b">
        <v>0</v>
      </c>
      <c r="J175" s="114" t="b">
        <v>0</v>
      </c>
      <c r="K175" s="114" t="b">
        <v>0</v>
      </c>
      <c r="L175" s="114" t="b">
        <v>0</v>
      </c>
      <c r="M175" s="114" t="b">
        <v>0</v>
      </c>
      <c r="N175" s="114" t="b">
        <v>0</v>
      </c>
      <c r="O175" s="114" t="b">
        <v>0</v>
      </c>
      <c r="P175" s="114" t="b">
        <v>0</v>
      </c>
      <c r="Q175" s="114" t="b">
        <v>0</v>
      </c>
      <c r="R175" s="114" t="b">
        <v>0</v>
      </c>
      <c r="S175" s="114" t="b">
        <v>0</v>
      </c>
      <c r="T175" s="114" t="b">
        <v>0</v>
      </c>
      <c r="U175" s="114" t="b">
        <v>0</v>
      </c>
      <c r="V175" s="114" t="b">
        <v>0</v>
      </c>
      <c r="W175" s="114" t="b">
        <v>0</v>
      </c>
      <c r="X175" s="114" t="b">
        <v>0</v>
      </c>
      <c r="Y175" s="114" t="b">
        <v>0</v>
      </c>
      <c r="Z175" s="114" t="b">
        <v>0</v>
      </c>
      <c r="AA175" s="114" t="b">
        <v>0</v>
      </c>
      <c r="AB175" s="114" t="b">
        <v>0</v>
      </c>
      <c r="AC175" s="114" t="b">
        <v>0</v>
      </c>
      <c r="AD175" s="114" t="b">
        <v>0</v>
      </c>
      <c r="AE175" s="114" t="b">
        <v>0</v>
      </c>
      <c r="AF175" s="114" t="b">
        <v>0</v>
      </c>
      <c r="AG175" s="114" t="b">
        <v>0</v>
      </c>
      <c r="AH175" s="114" t="b">
        <v>0</v>
      </c>
      <c r="AI175" s="114" t="b">
        <v>0</v>
      </c>
      <c r="AJ175" s="114" t="b">
        <v>0</v>
      </c>
      <c r="AK175" s="114" t="b">
        <v>0</v>
      </c>
      <c r="AL175" s="115" t="str">
        <f t="shared" si="1"/>
        <v>1 dari 31 (3%)</v>
      </c>
    </row>
    <row r="177">
      <c r="B177" s="71" t="s">
        <v>38</v>
      </c>
      <c r="C177" s="72"/>
      <c r="D177" s="72"/>
      <c r="E177" s="72"/>
      <c r="F177" s="73"/>
      <c r="G177" s="74">
        <f>COUNTIF(JULI_13[ID Encounter], TRUE)</f>
        <v>166</v>
      </c>
      <c r="H177" s="74">
        <f>COUNTIF(JULI_13[ID Condition], TRUE)</f>
        <v>139</v>
      </c>
      <c r="I177" s="74">
        <f>COUNTIF(JULI_13[ID Clinical Impression], TRUE)</f>
        <v>112</v>
      </c>
      <c r="J177" s="74">
        <f>COUNTIF(JULI_13[ID Observation Tensi], TRUE)</f>
        <v>147</v>
      </c>
      <c r="K177" s="74">
        <f>COUNTIF(JULI_13[ID Observation Nadi], TRUE)</f>
        <v>150</v>
      </c>
      <c r="L177" s="74">
        <f>COUNTIF(JULI_13[ID Observation RR], TRUE)</f>
        <v>149</v>
      </c>
      <c r="M177" s="74">
        <f>COUNTIF(JULI_13[ID Observation Suhu], TRUE)</f>
        <v>150</v>
      </c>
      <c r="N177" s="74">
        <f>COUNTIF(JULI_13[ID Observation SPO2], TRUE)</f>
        <v>149</v>
      </c>
      <c r="O177" s="74">
        <f>COUNTIF(JULI_13[ID Observation GCS], TRUE)</f>
        <v>147</v>
      </c>
      <c r="P177" s="74">
        <f>COUNTIF(JULI_13[ID Observation Tinggi], TRUE)</f>
        <v>149</v>
      </c>
      <c r="Q177" s="74">
        <f>COUNTIF(JULI_13[ID Observation Berat], TRUE)</f>
        <v>149</v>
      </c>
      <c r="R177" s="74">
        <f>COUNTIF(JULI_13[ID Observation Perut], TRUE)</f>
        <v>142</v>
      </c>
      <c r="S177" s="74">
        <f>COUNTIF(JULI_13[ID Observation Kesadaran], TRUE)</f>
        <v>151</v>
      </c>
      <c r="T177" s="74">
        <f>COUNTIF(JULI_13[ID Procedure], TRUE)</f>
        <v>108</v>
      </c>
      <c r="U177" s="74">
        <f>COUNTIF(JULI_13[ID Composition], TRUE)</f>
        <v>0</v>
      </c>
      <c r="V177" s="74">
        <f>COUNTIF(JULI_13[ID Vaksin/Imunisasi], TRUE)</f>
        <v>0</v>
      </c>
      <c r="W177" s="74">
        <f>COUNTIF(JULI_13[ID Medication Request], TRUE)</f>
        <v>6</v>
      </c>
      <c r="X177" s="74">
        <f>COUNTIF(JULI_13[ID Medication Dispense], TRUE)</f>
        <v>6</v>
      </c>
      <c r="Y177" s="74">
        <f>COUNTIF(JULI_13[ID Medication Statement], TRUE)</f>
        <v>7</v>
      </c>
      <c r="Z177" s="74">
        <f>COUNTIF(JULI_13[ID Service Request Radiologi], TRUE)</f>
        <v>6</v>
      </c>
      <c r="AA177" s="74">
        <f>COUNTIF(JULI_13[ID Specimen Radiologi], TRUE)</f>
        <v>5</v>
      </c>
      <c r="AB177" s="74">
        <f>COUNTIF(JULI_13[ID Observation Radiologi], TRUE)</f>
        <v>4</v>
      </c>
      <c r="AC177" s="74">
        <f>COUNTIF(JULI_13[ID Diagnostic Report Radiologi], TRUE)</f>
        <v>4</v>
      </c>
      <c r="AD177" s="74">
        <f>COUNTIF(JULI_13[Image Study], TRUE)</f>
        <v>3</v>
      </c>
      <c r="AE177" s="74">
        <f>COUNTIF(JULI_13[ID Service Request Lab PK], TRUE)</f>
        <v>0</v>
      </c>
      <c r="AF177" s="74">
        <f>COUNTIF(JULI_13[ID Specimen Lab PK], TRUE)</f>
        <v>0</v>
      </c>
      <c r="AG177" s="74">
        <f>COUNTIF(JULI_13[ID Observation Lab PK], TRUE)</f>
        <v>0</v>
      </c>
      <c r="AH177" s="74">
        <f>COUNTIF(JULI_13[ID Diagnostic Report Lab PK], TRUE)</f>
        <v>0</v>
      </c>
      <c r="AI177" s="74">
        <f>COUNTIF(JULI_13[ID Care Plan], TRUE)</f>
        <v>118</v>
      </c>
      <c r="AJ177" s="74">
        <f>COUNTIF(JULI_13[ID Allergy], TRUE)</f>
        <v>0</v>
      </c>
      <c r="AK177" s="74">
        <f>COUNTIF(JULI_13[ID Questionnaire], TRUE)</f>
        <v>0</v>
      </c>
      <c r="AL177" s="75" t="str">
        <f>COUNTIF(JULI_13[[ID Encounter]:[ID Questionnaire]], TRUE()) &amp; " dari " &amp; (ROWS(JULI_13[[ID Encounter]:[ID Questionnaire]])*COLUMNS(JULI_13[[ID Encounter]:[ID Questionnaire]])) &amp; " (" &amp; TEXT(COUNTIF(JULI_13[[ID Encounter]:[ID Questionnaire]], TRUE())/(ROWS(JULI_13[[ID Encounter]:[ID Questionnaire]])*COLUMNS(JULI_13[[ID Encounter]:[ID Questionnaire]])),"0%") &amp; ")"</f>
        <v>2167 dari 5394 (40%)</v>
      </c>
    </row>
    <row r="178">
      <c r="B178" s="76"/>
      <c r="C178" s="77"/>
      <c r="D178" s="77"/>
      <c r="E178" s="77"/>
      <c r="F178" s="78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</row>
  </sheetData>
  <mergeCells count="33">
    <mergeCell ref="B177:F178"/>
    <mergeCell ref="G177:G178"/>
    <mergeCell ref="H177:H178"/>
    <mergeCell ref="I177:I178"/>
    <mergeCell ref="J177:J178"/>
    <mergeCell ref="K177:K178"/>
    <mergeCell ref="L177:L178"/>
    <mergeCell ref="M177:M178"/>
    <mergeCell ref="N177:N178"/>
    <mergeCell ref="O177:O178"/>
    <mergeCell ref="P177:P178"/>
    <mergeCell ref="Q177:Q178"/>
    <mergeCell ref="R177:R178"/>
    <mergeCell ref="S177:S178"/>
    <mergeCell ref="T177:T178"/>
    <mergeCell ref="U177:U178"/>
    <mergeCell ref="V177:V178"/>
    <mergeCell ref="W177:W178"/>
    <mergeCell ref="X177:X178"/>
    <mergeCell ref="Y177:Y178"/>
    <mergeCell ref="Z177:Z178"/>
    <mergeCell ref="AH177:AH178"/>
    <mergeCell ref="AI177:AI178"/>
    <mergeCell ref="AJ177:AJ178"/>
    <mergeCell ref="AK177:AK178"/>
    <mergeCell ref="AL177:AL178"/>
    <mergeCell ref="AA177:AA178"/>
    <mergeCell ref="AB177:AB178"/>
    <mergeCell ref="AC177:AC178"/>
    <mergeCell ref="AD177:AD178"/>
    <mergeCell ref="AE177:AE178"/>
    <mergeCell ref="AF177:AF178"/>
    <mergeCell ref="AG177:AG178"/>
  </mergeCell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3" max="23" width="22.38"/>
    <col customWidth="1" min="24" max="24" width="23.13"/>
    <col customWidth="1" min="25" max="25" width="24.0"/>
    <col customWidth="1" min="26" max="26" width="27.13"/>
    <col customWidth="1" min="27" max="27" width="22.38"/>
    <col customWidth="1" min="28" max="28" width="24.0"/>
    <col customWidth="1" min="29" max="29" width="28.38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46217.0</v>
      </c>
      <c r="C2" s="22">
        <v>60742.0</v>
      </c>
      <c r="D2" s="12" t="s">
        <v>41</v>
      </c>
      <c r="E2" s="12" t="s">
        <v>136</v>
      </c>
      <c r="F2" s="13"/>
      <c r="G2" s="6" t="b">
        <v>1</v>
      </c>
      <c r="H2" s="6" t="b">
        <v>1</v>
      </c>
      <c r="I2" s="6" t="b">
        <v>0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1</v>
      </c>
      <c r="AA2" s="6" t="b">
        <v>1</v>
      </c>
      <c r="AB2" s="6" t="b">
        <v>0</v>
      </c>
      <c r="AC2" s="6" t="b">
        <v>0</v>
      </c>
      <c r="AD2" s="6" t="b">
        <v>1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271" si="1">COUNTIF(G2:AK2, TRUE()) &amp; " dari " &amp; COLUMNS(G2:AK2) &amp; " (" &amp; TEXT(COUNTIF(G2:AK2, TRUE())/COLUMNS(G2:AK2),"0%") &amp; ")"</f>
        <v>16 dari 31 (52%)</v>
      </c>
    </row>
    <row r="3" ht="22.5" customHeight="1">
      <c r="A3" s="10">
        <v>2.0</v>
      </c>
      <c r="B3" s="11"/>
      <c r="C3" s="22">
        <v>61093.0</v>
      </c>
      <c r="D3" s="12" t="s">
        <v>41</v>
      </c>
      <c r="E3" s="12" t="s">
        <v>125</v>
      </c>
      <c r="F3" s="13"/>
      <c r="G3" s="16" t="b">
        <v>1</v>
      </c>
      <c r="H3" s="16" t="b">
        <v>1</v>
      </c>
      <c r="I3" s="16" t="b">
        <v>0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0</v>
      </c>
      <c r="R3" s="16" t="b">
        <v>1</v>
      </c>
      <c r="S3" s="16" t="b">
        <v>1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11 dari 31 (35%)</v>
      </c>
    </row>
    <row r="4" ht="22.5" customHeight="1">
      <c r="A4" s="2">
        <v>3.0</v>
      </c>
      <c r="B4" s="18"/>
      <c r="C4" s="22">
        <v>59399.0</v>
      </c>
      <c r="D4" s="12" t="s">
        <v>39</v>
      </c>
      <c r="E4" s="12" t="s">
        <v>57</v>
      </c>
      <c r="F4" s="13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14 dari 31 (45%)</v>
      </c>
    </row>
    <row r="5" ht="22.5" customHeight="1">
      <c r="A5" s="10">
        <v>4.0</v>
      </c>
      <c r="B5" s="11"/>
      <c r="C5" s="22">
        <v>59629.0</v>
      </c>
      <c r="D5" s="12" t="s">
        <v>39</v>
      </c>
      <c r="E5" s="12" t="s">
        <v>57</v>
      </c>
      <c r="F5" s="13"/>
      <c r="G5" s="16" t="b">
        <v>1</v>
      </c>
      <c r="H5" s="16" t="b">
        <v>1</v>
      </c>
      <c r="I5" s="16" t="b">
        <v>1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15 dari 31 (48%)</v>
      </c>
    </row>
    <row r="6" ht="22.5" customHeight="1">
      <c r="A6" s="2">
        <v>5.0</v>
      </c>
      <c r="B6" s="18"/>
      <c r="C6" s="20">
        <v>57764.0</v>
      </c>
      <c r="D6" s="12" t="s">
        <v>39</v>
      </c>
      <c r="E6" s="12" t="s">
        <v>57</v>
      </c>
      <c r="F6" s="13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0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14 dari 31 (45%)</v>
      </c>
    </row>
    <row r="7" ht="22.5" customHeight="1">
      <c r="A7" s="10">
        <v>6.0</v>
      </c>
      <c r="B7" s="11"/>
      <c r="C7" s="20">
        <v>60671.0</v>
      </c>
      <c r="D7" s="12" t="s">
        <v>39</v>
      </c>
      <c r="E7" s="12" t="s">
        <v>42</v>
      </c>
      <c r="F7" s="13"/>
      <c r="G7" s="16" t="b">
        <v>1</v>
      </c>
      <c r="H7" s="16" t="b">
        <v>1</v>
      </c>
      <c r="I7" s="16" t="b">
        <v>1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1</v>
      </c>
      <c r="X7" s="16" t="b">
        <v>1</v>
      </c>
      <c r="Y7" s="16" t="b">
        <v>1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18 dari 31 (58%)</v>
      </c>
    </row>
    <row r="8" ht="22.5" customHeight="1">
      <c r="A8" s="2">
        <v>7.0</v>
      </c>
      <c r="B8" s="18"/>
      <c r="C8" s="20">
        <v>60942.0</v>
      </c>
      <c r="D8" s="12" t="s">
        <v>39</v>
      </c>
      <c r="E8" s="12" t="s">
        <v>42</v>
      </c>
      <c r="F8" s="14" t="s">
        <v>50</v>
      </c>
      <c r="G8" s="6" t="b">
        <v>1</v>
      </c>
      <c r="H8" s="6" t="b">
        <v>0</v>
      </c>
      <c r="I8" s="6" t="b">
        <v>0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1</v>
      </c>
      <c r="AJ8" s="6" t="b">
        <v>0</v>
      </c>
      <c r="AK8" s="6" t="b">
        <v>0</v>
      </c>
      <c r="AL8" s="9" t="str">
        <f t="shared" si="1"/>
        <v>13 dari 31 (42%)</v>
      </c>
    </row>
    <row r="9" ht="22.5" customHeight="1">
      <c r="A9" s="10">
        <v>8.0</v>
      </c>
      <c r="B9" s="11"/>
      <c r="C9" s="22">
        <v>60520.0</v>
      </c>
      <c r="D9" s="12" t="s">
        <v>39</v>
      </c>
      <c r="E9" s="12" t="s">
        <v>42</v>
      </c>
      <c r="F9" s="13"/>
      <c r="G9" s="16" t="b">
        <v>1</v>
      </c>
      <c r="H9" s="16" t="b">
        <v>1</v>
      </c>
      <c r="I9" s="16" t="b">
        <v>1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14 dari 31 (45%)</v>
      </c>
    </row>
    <row r="10" ht="22.5" customHeight="1">
      <c r="A10" s="2">
        <v>9.0</v>
      </c>
      <c r="B10" s="18"/>
      <c r="C10" s="22">
        <v>60521.0</v>
      </c>
      <c r="D10" s="12" t="s">
        <v>39</v>
      </c>
      <c r="E10" s="12" t="s">
        <v>42</v>
      </c>
      <c r="F10" s="13"/>
      <c r="G10" s="6" t="b">
        <v>1</v>
      </c>
      <c r="H10" s="6" t="b">
        <v>1</v>
      </c>
      <c r="I10" s="6" t="b">
        <v>0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13 dari 31 (42%)</v>
      </c>
    </row>
    <row r="11" ht="22.5" customHeight="1">
      <c r="A11" s="10">
        <v>10.0</v>
      </c>
      <c r="B11" s="11"/>
      <c r="C11" s="22">
        <v>61115.0</v>
      </c>
      <c r="D11" s="12" t="s">
        <v>39</v>
      </c>
      <c r="E11" s="12" t="s">
        <v>42</v>
      </c>
      <c r="F11" s="13"/>
      <c r="G11" s="16" t="b">
        <v>1</v>
      </c>
      <c r="H11" s="16" t="b">
        <v>1</v>
      </c>
      <c r="I11" s="16" t="b">
        <v>0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14 dari 31 (45%)</v>
      </c>
    </row>
    <row r="12" ht="22.5" customHeight="1">
      <c r="A12" s="2">
        <v>11.0</v>
      </c>
      <c r="B12" s="18"/>
      <c r="C12" s="20">
        <v>60933.0</v>
      </c>
      <c r="D12" s="12" t="s">
        <v>39</v>
      </c>
      <c r="E12" s="12" t="s">
        <v>42</v>
      </c>
      <c r="F12" s="13"/>
      <c r="G12" s="6" t="b">
        <v>1</v>
      </c>
      <c r="H12" s="6" t="b">
        <v>1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1</v>
      </c>
      <c r="AJ12" s="6" t="b">
        <v>0</v>
      </c>
      <c r="AK12" s="6" t="b">
        <v>0</v>
      </c>
      <c r="AL12" s="9" t="str">
        <f t="shared" si="1"/>
        <v>15 dari 31 (48%)</v>
      </c>
    </row>
    <row r="13" ht="22.5" customHeight="1">
      <c r="A13" s="10">
        <v>12.0</v>
      </c>
      <c r="B13" s="11"/>
      <c r="C13" s="20">
        <v>60174.0</v>
      </c>
      <c r="D13" s="12" t="s">
        <v>54</v>
      </c>
      <c r="E13" s="12" t="s">
        <v>82</v>
      </c>
      <c r="F13" s="13"/>
      <c r="G13" s="16" t="b">
        <v>1</v>
      </c>
      <c r="H13" s="16" t="b">
        <v>1</v>
      </c>
      <c r="I13" s="16" t="b">
        <v>0</v>
      </c>
      <c r="J13" s="16" t="b">
        <v>0</v>
      </c>
      <c r="K13" s="16" t="b">
        <v>0</v>
      </c>
      <c r="L13" s="16" t="b">
        <v>0</v>
      </c>
      <c r="M13" s="16" t="b">
        <v>0</v>
      </c>
      <c r="N13" s="16" t="b">
        <v>0</v>
      </c>
      <c r="O13" s="16" t="b">
        <v>0</v>
      </c>
      <c r="P13" s="16" t="b">
        <v>0</v>
      </c>
      <c r="Q13" s="16" t="b">
        <v>0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7" t="str">
        <f t="shared" si="1"/>
        <v>5 dari 31 (16%)</v>
      </c>
    </row>
    <row r="14" ht="22.5" customHeight="1">
      <c r="A14" s="2">
        <v>13.0</v>
      </c>
      <c r="B14" s="18"/>
      <c r="C14" s="20">
        <v>60951.0</v>
      </c>
      <c r="D14" s="12" t="s">
        <v>54</v>
      </c>
      <c r="E14" s="12" t="s">
        <v>55</v>
      </c>
      <c r="F14" s="13"/>
      <c r="G14" s="6" t="b">
        <v>1</v>
      </c>
      <c r="H14" s="6" t="b">
        <v>1</v>
      </c>
      <c r="I14" s="6" t="b">
        <v>0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13 dari 31 (42%)</v>
      </c>
    </row>
    <row r="15" ht="22.5" customHeight="1">
      <c r="A15" s="10">
        <v>14.0</v>
      </c>
      <c r="B15" s="11"/>
      <c r="C15" s="20">
        <v>60987.0</v>
      </c>
      <c r="D15" s="12" t="s">
        <v>54</v>
      </c>
      <c r="E15" s="12" t="s">
        <v>55</v>
      </c>
      <c r="F15" s="13"/>
      <c r="G15" s="16" t="b">
        <v>1</v>
      </c>
      <c r="H15" s="16" t="b">
        <v>1</v>
      </c>
      <c r="I15" s="16" t="b">
        <v>0</v>
      </c>
      <c r="J15" s="6" t="b">
        <v>1</v>
      </c>
      <c r="K15" s="6" t="b">
        <v>1</v>
      </c>
      <c r="L15" s="6" t="b">
        <v>1</v>
      </c>
      <c r="M15" s="6" t="b">
        <v>1</v>
      </c>
      <c r="N15" s="6" t="b">
        <v>1</v>
      </c>
      <c r="O15" s="6" t="b">
        <v>1</v>
      </c>
      <c r="P15" s="6" t="b">
        <v>1</v>
      </c>
      <c r="Q15" s="6" t="b">
        <v>1</v>
      </c>
      <c r="R15" s="6" t="b">
        <v>1</v>
      </c>
      <c r="S15" s="6" t="b">
        <v>1</v>
      </c>
      <c r="T15" s="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13 dari 31 (42%)</v>
      </c>
    </row>
    <row r="16" ht="22.5" customHeight="1">
      <c r="A16" s="2">
        <v>15.0</v>
      </c>
      <c r="B16" s="18"/>
      <c r="C16" s="20">
        <v>61132.0</v>
      </c>
      <c r="D16" s="12" t="s">
        <v>54</v>
      </c>
      <c r="E16" s="12" t="s">
        <v>55</v>
      </c>
      <c r="F16" s="13"/>
      <c r="G16" s="6" t="b">
        <v>1</v>
      </c>
      <c r="H16" s="6" t="b">
        <v>1</v>
      </c>
      <c r="I16" s="6" t="b">
        <v>0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13 dari 31 (42%)</v>
      </c>
    </row>
    <row r="17" ht="22.5" customHeight="1">
      <c r="A17" s="10">
        <v>16.0</v>
      </c>
      <c r="B17" s="11"/>
      <c r="C17" s="22">
        <v>60829.0</v>
      </c>
      <c r="D17" s="12" t="s">
        <v>54</v>
      </c>
      <c r="E17" s="12" t="s">
        <v>62</v>
      </c>
      <c r="F17" s="13"/>
      <c r="G17" s="16" t="b">
        <v>1</v>
      </c>
      <c r="H17" s="16" t="b">
        <v>1</v>
      </c>
      <c r="I17" s="16" t="b">
        <v>0</v>
      </c>
      <c r="J17" s="6" t="b">
        <v>1</v>
      </c>
      <c r="K17" s="6" t="b">
        <v>1</v>
      </c>
      <c r="L17" s="6" t="b">
        <v>1</v>
      </c>
      <c r="M17" s="6" t="b">
        <v>1</v>
      </c>
      <c r="N17" s="6" t="b">
        <v>1</v>
      </c>
      <c r="O17" s="6" t="b">
        <v>1</v>
      </c>
      <c r="P17" s="6" t="b">
        <v>1</v>
      </c>
      <c r="Q17" s="6" t="b">
        <v>1</v>
      </c>
      <c r="R17" s="6" t="b">
        <v>1</v>
      </c>
      <c r="S17" s="6" t="b">
        <v>1</v>
      </c>
      <c r="T17" s="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13 dari 31 (42%)</v>
      </c>
    </row>
    <row r="18" ht="22.5" customHeight="1">
      <c r="A18" s="2">
        <v>17.0</v>
      </c>
      <c r="B18" s="18"/>
      <c r="C18" s="20">
        <v>56610.0</v>
      </c>
      <c r="D18" s="12" t="s">
        <v>54</v>
      </c>
      <c r="E18" s="12" t="s">
        <v>55</v>
      </c>
      <c r="F18" s="13"/>
      <c r="G18" s="6" t="b">
        <v>1</v>
      </c>
      <c r="H18" s="6" t="b">
        <v>1</v>
      </c>
      <c r="I18" s="6" t="b">
        <v>0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1</v>
      </c>
      <c r="AA18" s="6" t="b">
        <v>1</v>
      </c>
      <c r="AB18" s="6" t="b">
        <v>1</v>
      </c>
      <c r="AC18" s="6" t="b">
        <v>1</v>
      </c>
      <c r="AD18" s="6" t="b">
        <v>1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18 dari 31 (58%)</v>
      </c>
    </row>
    <row r="19" ht="22.5" customHeight="1">
      <c r="A19" s="10">
        <v>18.0</v>
      </c>
      <c r="B19" s="11"/>
      <c r="C19" s="20">
        <v>59571.0</v>
      </c>
      <c r="D19" s="12" t="s">
        <v>54</v>
      </c>
      <c r="E19" s="12" t="s">
        <v>55</v>
      </c>
      <c r="F19" s="13"/>
      <c r="G19" s="16" t="b">
        <v>1</v>
      </c>
      <c r="H19" s="16" t="b">
        <v>1</v>
      </c>
      <c r="I19" s="16" t="b">
        <v>0</v>
      </c>
      <c r="J19" s="6" t="b">
        <v>1</v>
      </c>
      <c r="K19" s="6" t="b">
        <v>1</v>
      </c>
      <c r="L19" s="6" t="b">
        <v>1</v>
      </c>
      <c r="M19" s="6" t="b">
        <v>1</v>
      </c>
      <c r="N19" s="6" t="b">
        <v>1</v>
      </c>
      <c r="O19" s="6" t="b">
        <v>1</v>
      </c>
      <c r="P19" s="6" t="b">
        <v>1</v>
      </c>
      <c r="Q19" s="6" t="b">
        <v>1</v>
      </c>
      <c r="R19" s="6" t="b">
        <v>1</v>
      </c>
      <c r="S19" s="6" t="b">
        <v>1</v>
      </c>
      <c r="T19" s="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13 dari 31 (42%)</v>
      </c>
    </row>
    <row r="20" ht="22.5" customHeight="1">
      <c r="A20" s="2">
        <v>19.0</v>
      </c>
      <c r="B20" s="18"/>
      <c r="C20" s="20">
        <v>60315.0</v>
      </c>
      <c r="D20" s="12" t="s">
        <v>54</v>
      </c>
      <c r="E20" s="12" t="s">
        <v>55</v>
      </c>
      <c r="F20" s="13"/>
      <c r="G20" s="6" t="b">
        <v>1</v>
      </c>
      <c r="H20" s="6" t="b">
        <v>1</v>
      </c>
      <c r="I20" s="6" t="b">
        <v>0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9" t="str">
        <f t="shared" si="1"/>
        <v>13 dari 31 (42%)</v>
      </c>
    </row>
    <row r="21" ht="22.5" customHeight="1">
      <c r="A21" s="10">
        <v>20.0</v>
      </c>
      <c r="B21" s="11"/>
      <c r="C21" s="20">
        <v>60991.0</v>
      </c>
      <c r="D21" s="12" t="s">
        <v>54</v>
      </c>
      <c r="E21" s="12" t="s">
        <v>55</v>
      </c>
      <c r="F21" s="13"/>
      <c r="G21" s="16" t="b">
        <v>1</v>
      </c>
      <c r="H21" s="16" t="b">
        <v>1</v>
      </c>
      <c r="I21" s="16" t="b">
        <v>0</v>
      </c>
      <c r="J21" s="6" t="b">
        <v>1</v>
      </c>
      <c r="K21" s="6" t="b">
        <v>1</v>
      </c>
      <c r="L21" s="6" t="b">
        <v>1</v>
      </c>
      <c r="M21" s="6" t="b">
        <v>1</v>
      </c>
      <c r="N21" s="6" t="b">
        <v>1</v>
      </c>
      <c r="O21" s="6" t="b">
        <v>1</v>
      </c>
      <c r="P21" s="6" t="b">
        <v>1</v>
      </c>
      <c r="Q21" s="6" t="b">
        <v>1</v>
      </c>
      <c r="R21" s="6" t="b">
        <v>1</v>
      </c>
      <c r="S21" s="6" t="b">
        <v>1</v>
      </c>
      <c r="T21" s="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13 dari 31 (42%)</v>
      </c>
    </row>
    <row r="22" ht="22.5" customHeight="1">
      <c r="A22" s="2">
        <v>21.0</v>
      </c>
      <c r="B22" s="18"/>
      <c r="C22" s="20">
        <v>55526.0</v>
      </c>
      <c r="D22" s="12" t="s">
        <v>54</v>
      </c>
      <c r="E22" s="12" t="s">
        <v>62</v>
      </c>
      <c r="F22" s="13"/>
      <c r="G22" s="6" t="b">
        <v>1</v>
      </c>
      <c r="H22" s="6" t="b">
        <v>1</v>
      </c>
      <c r="I22" s="6" t="b">
        <v>0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1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13 dari 31 (42%)</v>
      </c>
    </row>
    <row r="23" ht="22.5" customHeight="1">
      <c r="A23" s="10">
        <v>22.0</v>
      </c>
      <c r="B23" s="11"/>
      <c r="C23" s="20">
        <v>60430.0</v>
      </c>
      <c r="D23" s="12" t="s">
        <v>54</v>
      </c>
      <c r="E23" s="12" t="s">
        <v>62</v>
      </c>
      <c r="F23" s="13"/>
      <c r="G23" s="16" t="b">
        <v>1</v>
      </c>
      <c r="H23" s="16" t="b">
        <v>1</v>
      </c>
      <c r="I23" s="16" t="b">
        <v>0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13 dari 31 (42%)</v>
      </c>
    </row>
    <row r="24" ht="22.5" customHeight="1">
      <c r="A24" s="2">
        <v>23.0</v>
      </c>
      <c r="B24" s="18"/>
      <c r="C24" s="20">
        <v>45047.0</v>
      </c>
      <c r="D24" s="12" t="s">
        <v>54</v>
      </c>
      <c r="E24" s="12" t="s">
        <v>62</v>
      </c>
      <c r="F24" s="13"/>
      <c r="G24" s="6" t="b">
        <v>1</v>
      </c>
      <c r="H24" s="6" t="b">
        <v>1</v>
      </c>
      <c r="I24" s="6" t="b">
        <v>0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1</v>
      </c>
      <c r="AA24" s="6" t="b">
        <v>1</v>
      </c>
      <c r="AB24" s="6" t="b">
        <v>1</v>
      </c>
      <c r="AC24" s="6" t="b">
        <v>1</v>
      </c>
      <c r="AD24" s="6" t="b">
        <v>1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18 dari 31 (58%)</v>
      </c>
    </row>
    <row r="25" ht="22.5" customHeight="1">
      <c r="A25" s="10">
        <v>24.0</v>
      </c>
      <c r="B25" s="11"/>
      <c r="C25" s="20">
        <v>61050.0</v>
      </c>
      <c r="D25" s="12" t="s">
        <v>54</v>
      </c>
      <c r="E25" s="12" t="s">
        <v>62</v>
      </c>
      <c r="F25" s="13"/>
      <c r="G25" s="16" t="b">
        <v>1</v>
      </c>
      <c r="H25" s="16" t="b">
        <v>1</v>
      </c>
      <c r="I25" s="16" t="b">
        <v>0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13 dari 31 (42%)</v>
      </c>
    </row>
    <row r="26" ht="22.5" customHeight="1">
      <c r="A26" s="2">
        <v>25.0</v>
      </c>
      <c r="B26" s="18"/>
      <c r="C26" s="20">
        <v>61029.0</v>
      </c>
      <c r="D26" s="12" t="s">
        <v>54</v>
      </c>
      <c r="E26" s="12" t="s">
        <v>55</v>
      </c>
      <c r="F26" s="13"/>
      <c r="G26" s="6" t="b">
        <v>1</v>
      </c>
      <c r="H26" s="6" t="b">
        <v>1</v>
      </c>
      <c r="I26" s="6" t="b">
        <v>0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13 dari 31 (42%)</v>
      </c>
    </row>
    <row r="27" ht="22.5" customHeight="1">
      <c r="A27" s="10">
        <v>26.0</v>
      </c>
      <c r="B27" s="11"/>
      <c r="C27" s="22">
        <v>61055.0</v>
      </c>
      <c r="D27" s="12" t="s">
        <v>54</v>
      </c>
      <c r="E27" s="12" t="s">
        <v>62</v>
      </c>
      <c r="F27" s="13"/>
      <c r="G27" s="16" t="b">
        <v>1</v>
      </c>
      <c r="H27" s="16" t="b">
        <v>1</v>
      </c>
      <c r="I27" s="16" t="b">
        <v>0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13 dari 31 (42%)</v>
      </c>
    </row>
    <row r="28" ht="22.5" customHeight="1">
      <c r="A28" s="2">
        <v>27.0</v>
      </c>
      <c r="B28" s="18"/>
      <c r="C28" s="22">
        <v>57803.0</v>
      </c>
      <c r="D28" s="12" t="s">
        <v>54</v>
      </c>
      <c r="E28" s="12" t="s">
        <v>55</v>
      </c>
      <c r="F28" s="13"/>
      <c r="G28" s="6" t="b">
        <v>1</v>
      </c>
      <c r="H28" s="6" t="b">
        <v>1</v>
      </c>
      <c r="I28" s="6" t="b">
        <v>0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9" t="str">
        <f t="shared" si="1"/>
        <v>13 dari 31 (42%)</v>
      </c>
    </row>
    <row r="29" ht="22.5" customHeight="1">
      <c r="A29" s="10">
        <v>28.0</v>
      </c>
      <c r="B29" s="11"/>
      <c r="C29" s="22">
        <v>52820.0</v>
      </c>
      <c r="D29" s="12" t="s">
        <v>54</v>
      </c>
      <c r="E29" s="12" t="s">
        <v>62</v>
      </c>
      <c r="F29" s="13"/>
      <c r="G29" s="16" t="b">
        <v>1</v>
      </c>
      <c r="H29" s="16" t="b">
        <v>1</v>
      </c>
      <c r="I29" s="16" t="b">
        <v>0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13 dari 31 (42%)</v>
      </c>
    </row>
    <row r="30" ht="22.5" customHeight="1">
      <c r="A30" s="2">
        <v>29.0</v>
      </c>
      <c r="B30" s="18"/>
      <c r="C30" s="22">
        <v>60375.0</v>
      </c>
      <c r="D30" s="12" t="s">
        <v>51</v>
      </c>
      <c r="E30" s="12" t="s">
        <v>140</v>
      </c>
      <c r="F30" s="13"/>
      <c r="G30" s="6" t="b">
        <v>1</v>
      </c>
      <c r="H30" s="6" t="b">
        <v>1</v>
      </c>
      <c r="I30" s="6" t="b">
        <v>0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1"/>
        <v>13 dari 31 (42%)</v>
      </c>
    </row>
    <row r="31" ht="22.5" customHeight="1">
      <c r="A31" s="10">
        <v>30.0</v>
      </c>
      <c r="B31" s="11"/>
      <c r="C31" s="22">
        <v>61133.0</v>
      </c>
      <c r="D31" s="12" t="s">
        <v>51</v>
      </c>
      <c r="E31" s="12" t="s">
        <v>65</v>
      </c>
      <c r="F31" s="13"/>
      <c r="G31" s="16" t="b">
        <v>1</v>
      </c>
      <c r="H31" s="16" t="b">
        <v>1</v>
      </c>
      <c r="I31" s="16" t="b">
        <v>0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7" t="str">
        <f t="shared" si="1"/>
        <v>13 dari 31 (42%)</v>
      </c>
    </row>
    <row r="32" ht="22.5" customHeight="1">
      <c r="A32" s="2">
        <v>31.0</v>
      </c>
      <c r="B32" s="18"/>
      <c r="C32" s="20">
        <v>17382.0</v>
      </c>
      <c r="D32" s="12" t="s">
        <v>51</v>
      </c>
      <c r="E32" s="12" t="s">
        <v>65</v>
      </c>
      <c r="F32" s="13"/>
      <c r="G32" s="6" t="b">
        <v>1</v>
      </c>
      <c r="H32" s="6" t="b">
        <v>1</v>
      </c>
      <c r="I32" s="6" t="b">
        <v>0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13 dari 31 (42%)</v>
      </c>
    </row>
    <row r="33" ht="22.5" customHeight="1">
      <c r="A33" s="10">
        <v>32.0</v>
      </c>
      <c r="B33" s="11"/>
      <c r="C33" s="20">
        <v>34272.0</v>
      </c>
      <c r="D33" s="12" t="s">
        <v>85</v>
      </c>
      <c r="E33" s="12" t="s">
        <v>165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1</v>
      </c>
      <c r="AA33" s="16" t="b">
        <v>1</v>
      </c>
      <c r="AB33" s="16" t="b">
        <v>0</v>
      </c>
      <c r="AC33" s="16" t="b">
        <v>0</v>
      </c>
      <c r="AD33" s="16" t="b">
        <v>1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1"/>
        <v>18 dari 31 (58%)</v>
      </c>
    </row>
    <row r="34" ht="22.5" customHeight="1">
      <c r="A34" s="2">
        <v>33.0</v>
      </c>
      <c r="B34" s="18"/>
      <c r="C34" s="20">
        <v>60429.0</v>
      </c>
      <c r="D34" s="12" t="s">
        <v>39</v>
      </c>
      <c r="E34" s="12" t="s">
        <v>57</v>
      </c>
      <c r="F34" s="13"/>
      <c r="G34" s="6" t="b">
        <v>1</v>
      </c>
      <c r="H34" s="6" t="b">
        <v>1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1</v>
      </c>
      <c r="U34" s="6" t="b">
        <v>0</v>
      </c>
      <c r="V34" s="6" t="b">
        <v>0</v>
      </c>
      <c r="W34" s="6" t="b">
        <v>1</v>
      </c>
      <c r="X34" s="6" t="b">
        <v>1</v>
      </c>
      <c r="Y34" s="6" t="b">
        <v>1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1"/>
        <v>18 dari 31 (58%)</v>
      </c>
    </row>
    <row r="35" ht="22.5" customHeight="1">
      <c r="A35" s="10">
        <v>34.0</v>
      </c>
      <c r="B35" s="11"/>
      <c r="C35" s="20">
        <v>60783.0</v>
      </c>
      <c r="D35" s="12" t="s">
        <v>41</v>
      </c>
      <c r="E35" s="12" t="s">
        <v>125</v>
      </c>
      <c r="F35" s="13"/>
      <c r="G35" s="16" t="b">
        <v>1</v>
      </c>
      <c r="H35" s="16" t="b">
        <v>1</v>
      </c>
      <c r="I35" s="16" t="b">
        <v>1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1"/>
        <v>15 dari 31 (48%)</v>
      </c>
    </row>
    <row r="36" ht="22.5" customHeight="1">
      <c r="A36" s="2">
        <v>35.0</v>
      </c>
      <c r="B36" s="18"/>
      <c r="C36" s="20">
        <v>61266.0</v>
      </c>
      <c r="D36" s="12" t="s">
        <v>39</v>
      </c>
      <c r="E36" s="12" t="s">
        <v>57</v>
      </c>
      <c r="F36" s="13"/>
      <c r="G36" s="6" t="b">
        <v>1</v>
      </c>
      <c r="H36" s="6" t="b">
        <v>1</v>
      </c>
      <c r="I36" s="6" t="b">
        <v>1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1</v>
      </c>
      <c r="AA36" s="6" t="b">
        <v>1</v>
      </c>
      <c r="AB36" s="6" t="b">
        <v>0</v>
      </c>
      <c r="AC36" s="6" t="b">
        <v>0</v>
      </c>
      <c r="AD36" s="6" t="b">
        <v>1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18 dari 31 (58%)</v>
      </c>
    </row>
    <row r="37" ht="22.5" customHeight="1">
      <c r="A37" s="10">
        <v>36.0</v>
      </c>
      <c r="B37" s="11"/>
      <c r="C37" s="22">
        <v>61265.0</v>
      </c>
      <c r="D37" s="12" t="s">
        <v>68</v>
      </c>
      <c r="E37" s="12" t="s">
        <v>69</v>
      </c>
      <c r="F37" s="13"/>
      <c r="G37" s="16" t="b">
        <v>1</v>
      </c>
      <c r="H37" s="16" t="b">
        <v>1</v>
      </c>
      <c r="I37" s="16" t="b">
        <v>0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14 dari 31 (45%)</v>
      </c>
    </row>
    <row r="38" ht="22.5" customHeight="1">
      <c r="A38" s="2">
        <v>37.0</v>
      </c>
      <c r="B38" s="18"/>
      <c r="C38" s="22">
        <v>56666.0</v>
      </c>
      <c r="D38" s="12" t="s">
        <v>39</v>
      </c>
      <c r="E38" s="12" t="s">
        <v>57</v>
      </c>
      <c r="F38" s="13"/>
      <c r="G38" s="6" t="b">
        <v>1</v>
      </c>
      <c r="H38" s="6" t="b">
        <v>1</v>
      </c>
      <c r="I38" s="6" t="b">
        <v>0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1</v>
      </c>
      <c r="U38" s="6" t="b">
        <v>0</v>
      </c>
      <c r="V38" s="6" t="b">
        <v>0</v>
      </c>
      <c r="W38" s="6" t="b">
        <v>1</v>
      </c>
      <c r="X38" s="6" t="b">
        <v>1</v>
      </c>
      <c r="Y38" s="6" t="b">
        <v>1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1</v>
      </c>
      <c r="AJ38" s="6" t="b">
        <v>0</v>
      </c>
      <c r="AK38" s="6" t="b">
        <v>0</v>
      </c>
      <c r="AL38" s="9" t="str">
        <f t="shared" si="1"/>
        <v>17 dari 31 (55%)</v>
      </c>
    </row>
    <row r="39" ht="22.5" customHeight="1">
      <c r="A39" s="10">
        <v>38.0</v>
      </c>
      <c r="B39" s="11"/>
      <c r="C39" s="22">
        <v>61267.0</v>
      </c>
      <c r="D39" s="12" t="s">
        <v>141</v>
      </c>
      <c r="E39" s="12" t="s">
        <v>100</v>
      </c>
      <c r="F39" s="15" t="s">
        <v>50</v>
      </c>
      <c r="G39" s="16" t="b">
        <v>1</v>
      </c>
      <c r="H39" s="16" t="b">
        <v>0</v>
      </c>
      <c r="I39" s="16" t="b">
        <v>0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11 dari 31 (35%)</v>
      </c>
    </row>
    <row r="40" ht="22.5" customHeight="1">
      <c r="A40" s="2">
        <v>39.0</v>
      </c>
      <c r="B40" s="18"/>
      <c r="C40" s="22">
        <v>61270.0</v>
      </c>
      <c r="D40" s="12" t="s">
        <v>85</v>
      </c>
      <c r="E40" s="12" t="s">
        <v>139</v>
      </c>
      <c r="F40" s="15" t="s">
        <v>50</v>
      </c>
      <c r="G40" s="6" t="b">
        <v>1</v>
      </c>
      <c r="H40" s="6" t="b">
        <v>0</v>
      </c>
      <c r="I40" s="6" t="b">
        <v>0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0</v>
      </c>
      <c r="U40" s="6" t="b">
        <v>0</v>
      </c>
      <c r="V40" s="6" t="b">
        <v>0</v>
      </c>
      <c r="W40" s="6" t="b">
        <v>1</v>
      </c>
      <c r="X40" s="6" t="b">
        <v>1</v>
      </c>
      <c r="Y40" s="6" t="b">
        <v>1</v>
      </c>
      <c r="Z40" s="6" t="b">
        <v>1</v>
      </c>
      <c r="AA40" s="6" t="b">
        <v>1</v>
      </c>
      <c r="AB40" s="6" t="b">
        <v>0</v>
      </c>
      <c r="AC40" s="6" t="b">
        <v>0</v>
      </c>
      <c r="AD40" s="6" t="b">
        <v>1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18 dari 31 (58%)</v>
      </c>
    </row>
    <row r="41" ht="22.5" customHeight="1">
      <c r="A41" s="10">
        <v>40.0</v>
      </c>
      <c r="B41" s="11"/>
      <c r="C41" s="22">
        <v>34313.0</v>
      </c>
      <c r="D41" s="12" t="s">
        <v>98</v>
      </c>
      <c r="E41" s="12" t="s">
        <v>142</v>
      </c>
      <c r="F41" s="15" t="s">
        <v>50</v>
      </c>
      <c r="G41" s="16" t="b">
        <v>1</v>
      </c>
      <c r="H41" s="16" t="b">
        <v>0</v>
      </c>
      <c r="I41" s="16" t="b">
        <v>0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12 dari 31 (39%)</v>
      </c>
    </row>
    <row r="42" ht="22.5" customHeight="1">
      <c r="A42" s="2">
        <v>41.0</v>
      </c>
      <c r="B42" s="18"/>
      <c r="C42" s="20">
        <v>61182.0</v>
      </c>
      <c r="D42" s="12" t="s">
        <v>98</v>
      </c>
      <c r="E42" s="12" t="s">
        <v>142</v>
      </c>
      <c r="F42" s="15" t="s">
        <v>50</v>
      </c>
      <c r="G42" s="6" t="b">
        <v>1</v>
      </c>
      <c r="H42" s="6" t="b">
        <v>0</v>
      </c>
      <c r="I42" s="6" t="b">
        <v>0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11 dari 31 (35%)</v>
      </c>
    </row>
    <row r="43" ht="22.5" customHeight="1">
      <c r="A43" s="10">
        <v>42.0</v>
      </c>
      <c r="B43" s="11"/>
      <c r="C43" s="20">
        <v>45984.0</v>
      </c>
      <c r="D43" s="12" t="s">
        <v>98</v>
      </c>
      <c r="E43" s="12" t="s">
        <v>142</v>
      </c>
      <c r="F43" s="15" t="s">
        <v>50</v>
      </c>
      <c r="G43" s="16" t="b">
        <v>1</v>
      </c>
      <c r="H43" s="16" t="b">
        <v>0</v>
      </c>
      <c r="I43" s="16" t="b">
        <v>0</v>
      </c>
      <c r="J43" s="16" t="b">
        <v>0</v>
      </c>
      <c r="K43" s="16" t="b">
        <v>0</v>
      </c>
      <c r="L43" s="16" t="b">
        <v>0</v>
      </c>
      <c r="M43" s="16" t="b">
        <v>0</v>
      </c>
      <c r="N43" s="16" t="b">
        <v>0</v>
      </c>
      <c r="O43" s="16" t="b">
        <v>0</v>
      </c>
      <c r="P43" s="16" t="b">
        <v>0</v>
      </c>
      <c r="Q43" s="16" t="b">
        <v>0</v>
      </c>
      <c r="R43" s="16" t="b">
        <v>0</v>
      </c>
      <c r="S43" s="16" t="b">
        <v>0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1"/>
        <v>1 dari 31 (3%)</v>
      </c>
    </row>
    <row r="44" ht="22.5" customHeight="1">
      <c r="A44" s="2">
        <v>43.0</v>
      </c>
      <c r="B44" s="18"/>
      <c r="C44" s="20">
        <v>57968.0</v>
      </c>
      <c r="D44" s="12" t="s">
        <v>68</v>
      </c>
      <c r="E44" s="12" t="s">
        <v>69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1</v>
      </c>
      <c r="AJ44" s="6" t="b">
        <v>0</v>
      </c>
      <c r="AK44" s="6" t="b">
        <v>0</v>
      </c>
      <c r="AL44" s="9" t="str">
        <f t="shared" si="1"/>
        <v>15 dari 31 (48%)</v>
      </c>
    </row>
    <row r="45" ht="22.5" customHeight="1">
      <c r="A45" s="10">
        <v>44.0</v>
      </c>
      <c r="B45" s="11"/>
      <c r="C45" s="20">
        <v>57120.0</v>
      </c>
      <c r="D45" s="12" t="s">
        <v>80</v>
      </c>
      <c r="E45" s="12" t="s">
        <v>121</v>
      </c>
      <c r="F45" s="13"/>
      <c r="G45" s="16" t="b">
        <v>1</v>
      </c>
      <c r="H45" s="16" t="b">
        <v>1</v>
      </c>
      <c r="I45" s="16" t="b">
        <v>0</v>
      </c>
      <c r="J45" s="6" t="b">
        <v>1</v>
      </c>
      <c r="K45" s="6" t="b">
        <v>1</v>
      </c>
      <c r="L45" s="6" t="b">
        <v>1</v>
      </c>
      <c r="M45" s="6" t="b">
        <v>1</v>
      </c>
      <c r="N45" s="6" t="b">
        <v>1</v>
      </c>
      <c r="O45" s="6" t="b">
        <v>1</v>
      </c>
      <c r="P45" s="6" t="b">
        <v>1</v>
      </c>
      <c r="Q45" s="6" t="b">
        <v>1</v>
      </c>
      <c r="R45" s="6" t="b">
        <v>1</v>
      </c>
      <c r="S45" s="6" t="b">
        <v>1</v>
      </c>
      <c r="T45" s="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7" t="str">
        <f t="shared" si="1"/>
        <v>13 dari 31 (42%)</v>
      </c>
    </row>
    <row r="46" ht="22.5" customHeight="1">
      <c r="A46" s="2">
        <v>45.0</v>
      </c>
      <c r="B46" s="18"/>
      <c r="C46" s="20">
        <v>57542.0</v>
      </c>
      <c r="D46" s="12" t="s">
        <v>80</v>
      </c>
      <c r="E46" s="12" t="s">
        <v>43</v>
      </c>
      <c r="F46" s="13"/>
      <c r="G46" s="6" t="b">
        <v>1</v>
      </c>
      <c r="H46" s="6" t="b">
        <v>1</v>
      </c>
      <c r="I46" s="6" t="b">
        <v>0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1"/>
        <v>13 dari 31 (42%)</v>
      </c>
    </row>
    <row r="47" ht="22.5" customHeight="1">
      <c r="A47" s="10">
        <v>46.0</v>
      </c>
      <c r="B47" s="11"/>
      <c r="C47" s="22">
        <v>56033.0</v>
      </c>
      <c r="D47" s="12" t="s">
        <v>80</v>
      </c>
      <c r="E47" s="12" t="s">
        <v>91</v>
      </c>
      <c r="F47" s="15" t="s">
        <v>50</v>
      </c>
      <c r="G47" s="16" t="b">
        <v>1</v>
      </c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6" t="b">
        <v>0</v>
      </c>
      <c r="R47" s="16" t="b">
        <v>0</v>
      </c>
      <c r="S47" s="16" t="b">
        <v>0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7" t="str">
        <f t="shared" si="1"/>
        <v>1 dari 31 (3%)</v>
      </c>
    </row>
    <row r="48" ht="22.5" customHeight="1">
      <c r="A48" s="10">
        <v>47.0</v>
      </c>
      <c r="B48" s="18"/>
      <c r="C48" s="22">
        <v>57693.0</v>
      </c>
      <c r="D48" s="12" t="s">
        <v>80</v>
      </c>
      <c r="E48" s="12" t="s">
        <v>49</v>
      </c>
      <c r="F48" s="15" t="s">
        <v>50</v>
      </c>
      <c r="G48" s="6" t="b">
        <v>1</v>
      </c>
      <c r="H48" s="6" t="b">
        <v>0</v>
      </c>
      <c r="I48" s="6" t="b">
        <v>0</v>
      </c>
      <c r="J48" s="6" t="b">
        <v>0</v>
      </c>
      <c r="K48" s="6" t="b">
        <v>0</v>
      </c>
      <c r="L48" s="6" t="b">
        <v>0</v>
      </c>
      <c r="M48" s="6" t="b">
        <v>0</v>
      </c>
      <c r="N48" s="6" t="b">
        <v>0</v>
      </c>
      <c r="O48" s="6" t="b">
        <v>0</v>
      </c>
      <c r="P48" s="6" t="b">
        <v>0</v>
      </c>
      <c r="Q48" s="6" t="b">
        <v>0</v>
      </c>
      <c r="R48" s="6" t="b">
        <v>0</v>
      </c>
      <c r="S48" s="6" t="b">
        <v>0</v>
      </c>
      <c r="T48" s="6" t="b">
        <v>0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1 dari 31 (3%)</v>
      </c>
    </row>
    <row r="49" ht="22.5" customHeight="1">
      <c r="A49" s="2">
        <v>48.0</v>
      </c>
      <c r="B49" s="11"/>
      <c r="C49" s="22">
        <v>61243.0</v>
      </c>
      <c r="D49" s="12" t="s">
        <v>53</v>
      </c>
      <c r="E49" s="12" t="s">
        <v>48</v>
      </c>
      <c r="F49" s="15" t="s">
        <v>50</v>
      </c>
      <c r="G49" s="16" t="b">
        <v>1</v>
      </c>
      <c r="H49" s="16" t="b">
        <v>0</v>
      </c>
      <c r="I49" s="16" t="b">
        <v>0</v>
      </c>
      <c r="J49" s="16" t="b">
        <v>0</v>
      </c>
      <c r="K49" s="16" t="b">
        <v>0</v>
      </c>
      <c r="L49" s="16" t="b">
        <v>0</v>
      </c>
      <c r="M49" s="16" t="b">
        <v>0</v>
      </c>
      <c r="N49" s="16" t="b">
        <v>0</v>
      </c>
      <c r="O49" s="16" t="b">
        <v>0</v>
      </c>
      <c r="P49" s="16" t="b">
        <v>0</v>
      </c>
      <c r="Q49" s="16" t="b">
        <v>0</v>
      </c>
      <c r="R49" s="16" t="b">
        <v>0</v>
      </c>
      <c r="S49" s="16" t="b">
        <v>0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7" t="str">
        <f t="shared" si="1"/>
        <v>1 dari 31 (3%)</v>
      </c>
    </row>
    <row r="50" ht="22.5" customHeight="1">
      <c r="A50" s="10">
        <v>49.0</v>
      </c>
      <c r="B50" s="11"/>
      <c r="C50" s="22">
        <v>60241.0</v>
      </c>
      <c r="D50" s="12" t="s">
        <v>53</v>
      </c>
      <c r="E50" s="12" t="s">
        <v>48</v>
      </c>
      <c r="F50" s="15" t="s">
        <v>50</v>
      </c>
      <c r="G50" s="6" t="b">
        <v>1</v>
      </c>
      <c r="H50" s="6" t="b">
        <v>0</v>
      </c>
      <c r="I50" s="6" t="b">
        <v>0</v>
      </c>
      <c r="J50" s="6" t="b">
        <v>0</v>
      </c>
      <c r="K50" s="6" t="b">
        <v>0</v>
      </c>
      <c r="L50" s="6" t="b">
        <v>0</v>
      </c>
      <c r="M50" s="6" t="b">
        <v>0</v>
      </c>
      <c r="N50" s="6" t="b">
        <v>0</v>
      </c>
      <c r="O50" s="6" t="b">
        <v>0</v>
      </c>
      <c r="P50" s="6" t="b">
        <v>0</v>
      </c>
      <c r="Q50" s="6" t="b">
        <v>0</v>
      </c>
      <c r="R50" s="6" t="b">
        <v>0</v>
      </c>
      <c r="S50" s="6" t="b">
        <v>0</v>
      </c>
      <c r="T50" s="6" t="b">
        <v>0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0</v>
      </c>
      <c r="AJ50" s="6" t="b">
        <v>0</v>
      </c>
      <c r="AK50" s="6" t="b">
        <v>0</v>
      </c>
      <c r="AL50" s="9" t="str">
        <f t="shared" si="1"/>
        <v>1 dari 31 (3%)</v>
      </c>
    </row>
    <row r="51" ht="22.5" customHeight="1">
      <c r="A51" s="10">
        <v>50.0</v>
      </c>
      <c r="B51" s="11"/>
      <c r="C51" s="22">
        <v>56704.0</v>
      </c>
      <c r="D51" s="12" t="s">
        <v>53</v>
      </c>
      <c r="E51" s="12" t="s">
        <v>44</v>
      </c>
      <c r="F51" s="15" t="s">
        <v>50</v>
      </c>
      <c r="G51" s="6" t="b">
        <v>1</v>
      </c>
      <c r="H51" s="6" t="b">
        <v>0</v>
      </c>
      <c r="I51" s="6" t="b">
        <v>0</v>
      </c>
      <c r="J51" s="6" t="b">
        <v>0</v>
      </c>
      <c r="K51" s="6" t="b">
        <v>0</v>
      </c>
      <c r="L51" s="6" t="b">
        <v>0</v>
      </c>
      <c r="M51" s="6" t="b">
        <v>0</v>
      </c>
      <c r="N51" s="6" t="b">
        <v>0</v>
      </c>
      <c r="O51" s="6" t="b">
        <v>0</v>
      </c>
      <c r="P51" s="6" t="b">
        <v>0</v>
      </c>
      <c r="Q51" s="6" t="b">
        <v>0</v>
      </c>
      <c r="R51" s="6" t="b">
        <v>0</v>
      </c>
      <c r="S51" s="6" t="b">
        <v>0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1 dari 31 (3%)</v>
      </c>
    </row>
    <row r="52" ht="22.5" customHeight="1">
      <c r="A52" s="2">
        <v>51.0</v>
      </c>
      <c r="B52" s="11"/>
      <c r="C52" s="20">
        <v>52822.0</v>
      </c>
      <c r="D52" s="12" t="s">
        <v>53</v>
      </c>
      <c r="E52" s="12" t="s">
        <v>44</v>
      </c>
      <c r="F52" s="15" t="s">
        <v>50</v>
      </c>
      <c r="G52" s="6" t="b">
        <v>1</v>
      </c>
      <c r="H52" s="6" t="b">
        <v>0</v>
      </c>
      <c r="I52" s="6" t="b">
        <v>0</v>
      </c>
      <c r="J52" s="6" t="b">
        <v>0</v>
      </c>
      <c r="K52" s="6" t="b">
        <v>0</v>
      </c>
      <c r="L52" s="6" t="b">
        <v>0</v>
      </c>
      <c r="M52" s="6" t="b">
        <v>0</v>
      </c>
      <c r="N52" s="6" t="b">
        <v>0</v>
      </c>
      <c r="O52" s="6" t="b">
        <v>0</v>
      </c>
      <c r="P52" s="6" t="b">
        <v>0</v>
      </c>
      <c r="Q52" s="6" t="b">
        <v>0</v>
      </c>
      <c r="R52" s="6" t="b">
        <v>0</v>
      </c>
      <c r="S52" s="6" t="b">
        <v>0</v>
      </c>
      <c r="T52" s="6" t="b">
        <v>0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0</v>
      </c>
      <c r="AJ52" s="6" t="b">
        <v>0</v>
      </c>
      <c r="AK52" s="6" t="b">
        <v>0</v>
      </c>
      <c r="AL52" s="9" t="str">
        <f t="shared" si="1"/>
        <v>1 dari 31 (3%)</v>
      </c>
    </row>
    <row r="53" ht="22.5" customHeight="1">
      <c r="A53" s="10">
        <v>52.0</v>
      </c>
      <c r="B53" s="11"/>
      <c r="C53" s="20">
        <v>59724.0</v>
      </c>
      <c r="D53" s="12" t="s">
        <v>53</v>
      </c>
      <c r="E53" s="12" t="s">
        <v>44</v>
      </c>
      <c r="F53" s="15" t="s">
        <v>50</v>
      </c>
      <c r="G53" s="6" t="b">
        <v>1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  <c r="P53" s="6" t="b">
        <v>0</v>
      </c>
      <c r="Q53" s="6" t="b">
        <v>0</v>
      </c>
      <c r="R53" s="6" t="b">
        <v>0</v>
      </c>
      <c r="S53" s="6" t="b">
        <v>0</v>
      </c>
      <c r="T53" s="6" t="b">
        <v>0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1 dari 31 (3%)</v>
      </c>
    </row>
    <row r="54" ht="22.5" customHeight="1">
      <c r="A54" s="10">
        <v>53.0</v>
      </c>
      <c r="B54" s="11"/>
      <c r="C54" s="20">
        <v>60365.0</v>
      </c>
      <c r="D54" s="12" t="s">
        <v>85</v>
      </c>
      <c r="E54" s="12" t="s">
        <v>91</v>
      </c>
      <c r="F54" s="13"/>
      <c r="G54" s="6" t="b">
        <v>1</v>
      </c>
      <c r="H54" s="6" t="b">
        <v>1</v>
      </c>
      <c r="I54" s="6" t="b">
        <v>0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14 dari 31 (45%)</v>
      </c>
    </row>
    <row r="55" ht="22.5" customHeight="1">
      <c r="A55" s="2">
        <v>54.0</v>
      </c>
      <c r="B55" s="11"/>
      <c r="C55" s="20">
        <v>60489.0</v>
      </c>
      <c r="D55" s="12" t="s">
        <v>53</v>
      </c>
      <c r="E55" s="12" t="s">
        <v>44</v>
      </c>
      <c r="F55" s="15" t="s">
        <v>50</v>
      </c>
      <c r="G55" s="6" t="b">
        <v>1</v>
      </c>
      <c r="H55" s="6" t="b">
        <v>0</v>
      </c>
      <c r="I55" s="6" t="b">
        <v>0</v>
      </c>
      <c r="J55" s="6" t="b">
        <v>0</v>
      </c>
      <c r="K55" s="6" t="b">
        <v>0</v>
      </c>
      <c r="L55" s="6" t="b">
        <v>0</v>
      </c>
      <c r="M55" s="6" t="b">
        <v>0</v>
      </c>
      <c r="N55" s="6" t="b">
        <v>0</v>
      </c>
      <c r="O55" s="6" t="b">
        <v>0</v>
      </c>
      <c r="P55" s="6" t="b">
        <v>0</v>
      </c>
      <c r="Q55" s="6" t="b">
        <v>0</v>
      </c>
      <c r="R55" s="6" t="b">
        <v>0</v>
      </c>
      <c r="S55" s="6" t="b">
        <v>0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1</v>
      </c>
      <c r="AA55" s="6" t="b">
        <v>1</v>
      </c>
      <c r="AB55" s="6" t="b">
        <v>0</v>
      </c>
      <c r="AC55" s="6" t="b">
        <v>0</v>
      </c>
      <c r="AD55" s="6" t="b">
        <v>1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0</v>
      </c>
      <c r="AJ55" s="6" t="b">
        <v>0</v>
      </c>
      <c r="AK55" s="6" t="b">
        <v>0</v>
      </c>
      <c r="AL55" s="9" t="str">
        <f t="shared" si="1"/>
        <v>4 dari 31 (13%)</v>
      </c>
    </row>
    <row r="56" ht="22.5" customHeight="1">
      <c r="A56" s="10">
        <v>55.0</v>
      </c>
      <c r="B56" s="11"/>
      <c r="C56" s="20">
        <v>61269.0</v>
      </c>
      <c r="D56" s="12" t="s">
        <v>141</v>
      </c>
      <c r="E56" s="12" t="s">
        <v>100</v>
      </c>
      <c r="F56" s="15" t="s">
        <v>50</v>
      </c>
      <c r="G56" s="6" t="b">
        <v>1</v>
      </c>
      <c r="H56" s="6" t="b">
        <v>0</v>
      </c>
      <c r="I56" s="6" t="b">
        <v>0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0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0</v>
      </c>
      <c r="AJ56" s="6" t="b">
        <v>0</v>
      </c>
      <c r="AK56" s="6" t="b">
        <v>0</v>
      </c>
      <c r="AL56" s="9" t="str">
        <f t="shared" si="1"/>
        <v>11 dari 31 (35%)</v>
      </c>
    </row>
    <row r="57" ht="22.5" customHeight="1">
      <c r="A57" s="10">
        <v>56.0</v>
      </c>
      <c r="B57" s="11"/>
      <c r="C57" s="22">
        <v>61272.0</v>
      </c>
      <c r="D57" s="12" t="s">
        <v>85</v>
      </c>
      <c r="E57" s="12" t="s">
        <v>147</v>
      </c>
      <c r="F57" s="15" t="s">
        <v>50</v>
      </c>
      <c r="G57" s="6" t="b">
        <v>1</v>
      </c>
      <c r="H57" s="6" t="b">
        <v>0</v>
      </c>
      <c r="I57" s="6" t="b">
        <v>0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1</v>
      </c>
      <c r="AA57" s="6" t="b">
        <v>1</v>
      </c>
      <c r="AB57" s="6" t="b">
        <v>0</v>
      </c>
      <c r="AC57" s="6" t="b">
        <v>0</v>
      </c>
      <c r="AD57" s="6" t="b">
        <v>1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1</v>
      </c>
      <c r="AJ57" s="6" t="b">
        <v>0</v>
      </c>
      <c r="AK57" s="6" t="b">
        <v>0</v>
      </c>
      <c r="AL57" s="17" t="str">
        <f t="shared" si="1"/>
        <v>15 dari 31 (48%)</v>
      </c>
    </row>
    <row r="58" ht="22.5" customHeight="1">
      <c r="A58" s="2">
        <v>57.0</v>
      </c>
      <c r="B58" s="11"/>
      <c r="C58" s="22">
        <v>61271.0</v>
      </c>
      <c r="D58" s="12" t="s">
        <v>141</v>
      </c>
      <c r="E58" s="12" t="s">
        <v>100</v>
      </c>
      <c r="F58" s="15" t="s">
        <v>50</v>
      </c>
      <c r="G58" s="6" t="b">
        <v>1</v>
      </c>
      <c r="H58" s="6" t="b">
        <v>0</v>
      </c>
      <c r="I58" s="6" t="b">
        <v>0</v>
      </c>
      <c r="J58" s="6" t="b">
        <v>0</v>
      </c>
      <c r="K58" s="6" t="b">
        <v>0</v>
      </c>
      <c r="L58" s="6" t="b">
        <v>0</v>
      </c>
      <c r="M58" s="6" t="b">
        <v>0</v>
      </c>
      <c r="N58" s="6" t="b">
        <v>0</v>
      </c>
      <c r="O58" s="6" t="b">
        <v>0</v>
      </c>
      <c r="P58" s="6" t="b">
        <v>0</v>
      </c>
      <c r="Q58" s="6" t="b">
        <v>0</v>
      </c>
      <c r="R58" s="6" t="b">
        <v>0</v>
      </c>
      <c r="S58" s="6" t="b">
        <v>0</v>
      </c>
      <c r="T58" s="6" t="b">
        <v>0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1 dari 31 (3%)</v>
      </c>
    </row>
    <row r="59" ht="22.5" customHeight="1">
      <c r="A59" s="10">
        <v>58.0</v>
      </c>
      <c r="B59" s="11"/>
      <c r="C59" s="22">
        <v>60928.0</v>
      </c>
      <c r="D59" s="12" t="s">
        <v>39</v>
      </c>
      <c r="E59" s="12" t="s">
        <v>42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1</v>
      </c>
      <c r="AJ59" s="6" t="b">
        <v>0</v>
      </c>
      <c r="AK59" s="6" t="b">
        <v>0</v>
      </c>
      <c r="AL59" s="9" t="str">
        <f t="shared" si="1"/>
        <v>15 dari 31 (48%)</v>
      </c>
    </row>
    <row r="60" ht="22.5" customHeight="1">
      <c r="A60" s="10">
        <v>59.0</v>
      </c>
      <c r="B60" s="11"/>
      <c r="C60" s="22">
        <v>56784.0</v>
      </c>
      <c r="D60" s="12" t="s">
        <v>98</v>
      </c>
      <c r="E60" s="12" t="s">
        <v>100</v>
      </c>
      <c r="F60" s="15" t="s">
        <v>50</v>
      </c>
      <c r="G60" s="6" t="b">
        <v>1</v>
      </c>
      <c r="H60" s="6" t="b">
        <v>0</v>
      </c>
      <c r="I60" s="6" t="b">
        <v>0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11 dari 31 (35%)</v>
      </c>
    </row>
    <row r="61" ht="22.5" customHeight="1">
      <c r="A61" s="2">
        <v>60.0</v>
      </c>
      <c r="B61" s="11"/>
      <c r="C61" s="22">
        <v>57547.0</v>
      </c>
      <c r="D61" s="12" t="s">
        <v>80</v>
      </c>
      <c r="E61" s="12" t="s">
        <v>43</v>
      </c>
      <c r="F61" s="13"/>
      <c r="G61" s="6" t="b">
        <v>1</v>
      </c>
      <c r="H61" s="6" t="b">
        <v>1</v>
      </c>
      <c r="I61" s="6" t="b">
        <v>0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1"/>
        <v>13 dari 31 (42%)</v>
      </c>
    </row>
    <row r="62" ht="22.5" customHeight="1">
      <c r="A62" s="10">
        <v>61.0</v>
      </c>
      <c r="B62" s="11"/>
      <c r="C62" s="20">
        <v>58169.0</v>
      </c>
      <c r="D62" s="12" t="s">
        <v>80</v>
      </c>
      <c r="E62" s="12" t="s">
        <v>49</v>
      </c>
      <c r="F62" s="13"/>
      <c r="G62" s="6" t="b">
        <v>1</v>
      </c>
      <c r="H62" s="6" t="b">
        <v>1</v>
      </c>
      <c r="I62" s="6" t="b">
        <v>0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13 dari 31 (42%)</v>
      </c>
    </row>
    <row r="63" ht="22.5" customHeight="1">
      <c r="A63" s="10">
        <v>62.0</v>
      </c>
      <c r="B63" s="11"/>
      <c r="C63" s="20">
        <v>57213.0</v>
      </c>
      <c r="D63" s="12" t="s">
        <v>80</v>
      </c>
      <c r="E63" s="12" t="s">
        <v>49</v>
      </c>
      <c r="F63" s="13"/>
      <c r="G63" s="6" t="b">
        <v>1</v>
      </c>
      <c r="H63" s="6" t="b">
        <v>1</v>
      </c>
      <c r="I63" s="6" t="b">
        <v>0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13 dari 31 (42%)</v>
      </c>
    </row>
    <row r="64" ht="22.5" customHeight="1">
      <c r="A64" s="2">
        <v>63.0</v>
      </c>
      <c r="B64" s="11"/>
      <c r="C64" s="20">
        <v>57549.0</v>
      </c>
      <c r="D64" s="12" t="s">
        <v>80</v>
      </c>
      <c r="E64" s="12" t="s">
        <v>91</v>
      </c>
      <c r="F64" s="86" t="s">
        <v>67</v>
      </c>
      <c r="G64" s="6" t="b">
        <v>0</v>
      </c>
      <c r="H64" s="6" t="b">
        <v>0</v>
      </c>
      <c r="I64" s="6" t="b">
        <v>0</v>
      </c>
      <c r="J64" s="6" t="b">
        <v>0</v>
      </c>
      <c r="K64" s="6" t="b">
        <v>0</v>
      </c>
      <c r="L64" s="6" t="b">
        <v>0</v>
      </c>
      <c r="M64" s="6" t="b">
        <v>0</v>
      </c>
      <c r="N64" s="6" t="b">
        <v>0</v>
      </c>
      <c r="O64" s="6" t="b">
        <v>0</v>
      </c>
      <c r="P64" s="6" t="b">
        <v>0</v>
      </c>
      <c r="Q64" s="6" t="b">
        <v>0</v>
      </c>
      <c r="R64" s="6" t="b">
        <v>0</v>
      </c>
      <c r="S64" s="6" t="b">
        <v>0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1"/>
        <v>0 dari 31 (0%)</v>
      </c>
    </row>
    <row r="65" ht="22.5" customHeight="1">
      <c r="A65" s="10">
        <v>64.0</v>
      </c>
      <c r="B65" s="11"/>
      <c r="C65" s="20">
        <v>44852.0</v>
      </c>
      <c r="D65" s="12" t="s">
        <v>80</v>
      </c>
      <c r="E65" s="12" t="s">
        <v>43</v>
      </c>
      <c r="F65" s="13"/>
      <c r="G65" s="6" t="b">
        <v>1</v>
      </c>
      <c r="H65" s="6" t="b">
        <v>1</v>
      </c>
      <c r="I65" s="6" t="b">
        <v>0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1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1</v>
      </c>
      <c r="AJ65" s="6" t="b">
        <v>0</v>
      </c>
      <c r="AK65" s="6" t="b">
        <v>0</v>
      </c>
      <c r="AL65" s="9" t="str">
        <f t="shared" si="1"/>
        <v>14 dari 31 (45%)</v>
      </c>
    </row>
    <row r="66" ht="22.5" customHeight="1">
      <c r="A66" s="10">
        <v>65.0</v>
      </c>
      <c r="B66" s="11"/>
      <c r="C66" s="20">
        <v>61275.0</v>
      </c>
      <c r="D66" s="12" t="s">
        <v>39</v>
      </c>
      <c r="E66" s="12" t="s">
        <v>42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1</v>
      </c>
      <c r="AA66" s="6" t="b">
        <v>1</v>
      </c>
      <c r="AB66" s="6" t="b">
        <v>0</v>
      </c>
      <c r="AC66" s="6" t="b">
        <v>0</v>
      </c>
      <c r="AD66" s="6" t="b">
        <v>1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18 dari 31 (58%)</v>
      </c>
    </row>
    <row r="67" ht="22.5" customHeight="1">
      <c r="A67" s="2">
        <v>66.0</v>
      </c>
      <c r="B67" s="11"/>
      <c r="C67" s="22">
        <v>44002.0</v>
      </c>
      <c r="D67" s="12" t="s">
        <v>80</v>
      </c>
      <c r="E67" s="12" t="s">
        <v>121</v>
      </c>
      <c r="F67" s="13"/>
      <c r="G67" s="6" t="b">
        <v>1</v>
      </c>
      <c r="H67" s="6" t="b">
        <v>1</v>
      </c>
      <c r="I67" s="6" t="b">
        <v>0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1"/>
        <v>13 dari 31 (42%)</v>
      </c>
    </row>
    <row r="68" ht="22.5" customHeight="1">
      <c r="A68" s="10">
        <v>67.0</v>
      </c>
      <c r="B68" s="11"/>
      <c r="C68" s="22">
        <v>57859.0</v>
      </c>
      <c r="D68" s="12" t="s">
        <v>80</v>
      </c>
      <c r="E68" s="12" t="s">
        <v>121</v>
      </c>
      <c r="F68" s="13"/>
      <c r="G68" s="6" t="b">
        <v>1</v>
      </c>
      <c r="H68" s="6" t="b">
        <v>1</v>
      </c>
      <c r="I68" s="6" t="b">
        <v>0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13 dari 31 (42%)</v>
      </c>
    </row>
    <row r="69" ht="22.5" customHeight="1">
      <c r="A69" s="61">
        <v>68.0</v>
      </c>
      <c r="B69" s="62"/>
      <c r="C69" s="32">
        <v>61273.0</v>
      </c>
      <c r="D69" s="51" t="s">
        <v>141</v>
      </c>
      <c r="E69" s="51" t="s">
        <v>82</v>
      </c>
      <c r="F69" s="136" t="s">
        <v>105</v>
      </c>
      <c r="G69" s="35" t="b">
        <v>0</v>
      </c>
      <c r="H69" s="35" t="b">
        <v>0</v>
      </c>
      <c r="I69" s="35" t="b">
        <v>0</v>
      </c>
      <c r="J69" s="35" t="b">
        <v>0</v>
      </c>
      <c r="K69" s="35" t="b">
        <v>0</v>
      </c>
      <c r="L69" s="35" t="b">
        <v>0</v>
      </c>
      <c r="M69" s="35" t="b">
        <v>0</v>
      </c>
      <c r="N69" s="35" t="b">
        <v>0</v>
      </c>
      <c r="O69" s="35" t="b">
        <v>0</v>
      </c>
      <c r="P69" s="35" t="b">
        <v>0</v>
      </c>
      <c r="Q69" s="35" t="b">
        <v>0</v>
      </c>
      <c r="R69" s="35" t="b">
        <v>0</v>
      </c>
      <c r="S69" s="35" t="b">
        <v>0</v>
      </c>
      <c r="T69" s="35" t="b">
        <v>0</v>
      </c>
      <c r="U69" s="35" t="b">
        <v>0</v>
      </c>
      <c r="V69" s="35" t="b">
        <v>0</v>
      </c>
      <c r="W69" s="35" t="b">
        <v>0</v>
      </c>
      <c r="X69" s="35" t="b">
        <v>0</v>
      </c>
      <c r="Y69" s="35" t="b">
        <v>0</v>
      </c>
      <c r="Z69" s="35" t="b">
        <v>0</v>
      </c>
      <c r="AA69" s="35" t="b">
        <v>0</v>
      </c>
      <c r="AB69" s="35" t="b">
        <v>0</v>
      </c>
      <c r="AC69" s="35" t="b">
        <v>0</v>
      </c>
      <c r="AD69" s="35" t="b">
        <v>0</v>
      </c>
      <c r="AE69" s="35" t="b">
        <v>0</v>
      </c>
      <c r="AF69" s="35" t="b">
        <v>0</v>
      </c>
      <c r="AG69" s="35" t="b">
        <v>0</v>
      </c>
      <c r="AH69" s="35" t="b">
        <v>0</v>
      </c>
      <c r="AI69" s="35" t="b">
        <v>0</v>
      </c>
      <c r="AJ69" s="35" t="b">
        <v>0</v>
      </c>
      <c r="AK69" s="35" t="b">
        <v>0</v>
      </c>
      <c r="AL69" s="64" t="str">
        <f t="shared" si="1"/>
        <v>0 dari 31 (0%)</v>
      </c>
    </row>
    <row r="70" ht="22.5" customHeight="1">
      <c r="A70" s="2">
        <v>69.0</v>
      </c>
      <c r="B70" s="11"/>
      <c r="C70" s="22">
        <v>21887.0</v>
      </c>
      <c r="D70" s="12" t="s">
        <v>80</v>
      </c>
      <c r="E70" s="12" t="s">
        <v>121</v>
      </c>
      <c r="F70" s="15" t="s">
        <v>50</v>
      </c>
      <c r="G70" s="6" t="b">
        <v>1</v>
      </c>
      <c r="H70" s="6" t="b">
        <v>0</v>
      </c>
      <c r="I70" s="6" t="b">
        <v>0</v>
      </c>
      <c r="J70" s="6" t="b">
        <v>0</v>
      </c>
      <c r="K70" s="6" t="b">
        <v>0</v>
      </c>
      <c r="L70" s="6" t="b">
        <v>0</v>
      </c>
      <c r="M70" s="6" t="b">
        <v>0</v>
      </c>
      <c r="N70" s="6" t="b">
        <v>0</v>
      </c>
      <c r="O70" s="6" t="b">
        <v>0</v>
      </c>
      <c r="P70" s="6" t="b">
        <v>0</v>
      </c>
      <c r="Q70" s="6" t="b">
        <v>0</v>
      </c>
      <c r="R70" s="6" t="b">
        <v>0</v>
      </c>
      <c r="S70" s="6" t="b">
        <v>0</v>
      </c>
      <c r="T70" s="6" t="b">
        <v>0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1 dari 31 (3%)</v>
      </c>
    </row>
    <row r="71" ht="22.5" customHeight="1">
      <c r="A71" s="10">
        <v>70.0</v>
      </c>
      <c r="B71" s="11"/>
      <c r="C71" s="22">
        <v>58572.0</v>
      </c>
      <c r="D71" s="12" t="s">
        <v>80</v>
      </c>
      <c r="E71" s="12" t="s">
        <v>43</v>
      </c>
      <c r="F71" s="13"/>
      <c r="G71" s="6" t="b">
        <v>1</v>
      </c>
      <c r="H71" s="6" t="b">
        <v>1</v>
      </c>
      <c r="I71" s="6" t="b">
        <v>0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1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13 dari 31 (42%)</v>
      </c>
    </row>
    <row r="72" ht="22.5" customHeight="1">
      <c r="A72" s="10">
        <v>71.0</v>
      </c>
      <c r="B72" s="11"/>
      <c r="C72" s="20">
        <v>30305.0</v>
      </c>
      <c r="D72" s="12" t="s">
        <v>80</v>
      </c>
      <c r="E72" s="12" t="s">
        <v>91</v>
      </c>
      <c r="F72" s="13"/>
      <c r="G72" s="6" t="b">
        <v>1</v>
      </c>
      <c r="H72" s="6" t="b">
        <v>1</v>
      </c>
      <c r="I72" s="6" t="b">
        <v>0</v>
      </c>
      <c r="J72" s="6" t="b">
        <v>1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1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0</v>
      </c>
      <c r="AJ72" s="6" t="b">
        <v>0</v>
      </c>
      <c r="AK72" s="6" t="b">
        <v>0</v>
      </c>
      <c r="AL72" s="17" t="str">
        <f t="shared" si="1"/>
        <v>13 dari 31 (42%)</v>
      </c>
    </row>
    <row r="73" ht="22.5" customHeight="1">
      <c r="A73" s="2">
        <v>72.0</v>
      </c>
      <c r="B73" s="11"/>
      <c r="C73" s="20">
        <v>57679.0</v>
      </c>
      <c r="D73" s="12" t="s">
        <v>80</v>
      </c>
      <c r="E73" s="12" t="s">
        <v>49</v>
      </c>
      <c r="F73" s="13"/>
      <c r="G73" s="6" t="b">
        <v>1</v>
      </c>
      <c r="H73" s="6" t="b">
        <v>1</v>
      </c>
      <c r="I73" s="6" t="b">
        <v>0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13 dari 31 (42%)</v>
      </c>
    </row>
    <row r="74" ht="22.5" customHeight="1">
      <c r="A74" s="10">
        <v>73.0</v>
      </c>
      <c r="B74" s="11"/>
      <c r="C74" s="20">
        <v>51396.0</v>
      </c>
      <c r="D74" s="12" t="s">
        <v>68</v>
      </c>
      <c r="E74" s="12" t="s">
        <v>76</v>
      </c>
      <c r="F74" s="13"/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1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1</v>
      </c>
      <c r="AA74" s="6" t="b">
        <v>1</v>
      </c>
      <c r="AB74" s="6" t="b">
        <v>0</v>
      </c>
      <c r="AC74" s="6" t="b">
        <v>0</v>
      </c>
      <c r="AD74" s="6" t="b">
        <v>1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1</v>
      </c>
      <c r="AJ74" s="6" t="b">
        <v>0</v>
      </c>
      <c r="AK74" s="6" t="b">
        <v>0</v>
      </c>
      <c r="AL74" s="9" t="str">
        <f t="shared" si="1"/>
        <v>18 dari 31 (58%)</v>
      </c>
    </row>
    <row r="75" ht="22.5" customHeight="1">
      <c r="A75" s="10">
        <v>74.0</v>
      </c>
      <c r="B75" s="11"/>
      <c r="C75" s="20">
        <v>59323.0</v>
      </c>
      <c r="D75" s="12" t="s">
        <v>68</v>
      </c>
      <c r="E75" s="12" t="s">
        <v>82</v>
      </c>
      <c r="F75" s="13"/>
      <c r="G75" s="6" t="b">
        <v>1</v>
      </c>
      <c r="H75" s="6" t="b">
        <v>1</v>
      </c>
      <c r="I75" s="6" t="b">
        <v>1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1</v>
      </c>
      <c r="AJ75" s="6" t="b">
        <v>0</v>
      </c>
      <c r="AK75" s="6" t="b">
        <v>0</v>
      </c>
      <c r="AL75" s="17" t="str">
        <f t="shared" si="1"/>
        <v>15 dari 31 (48%)</v>
      </c>
    </row>
    <row r="76" ht="22.5" customHeight="1">
      <c r="A76" s="2">
        <v>75.0</v>
      </c>
      <c r="B76" s="11"/>
      <c r="C76" s="20">
        <v>60785.0</v>
      </c>
      <c r="D76" s="12" t="s">
        <v>68</v>
      </c>
      <c r="E76" s="12" t="s">
        <v>76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1</v>
      </c>
      <c r="AJ76" s="6" t="b">
        <v>0</v>
      </c>
      <c r="AK76" s="6" t="b">
        <v>0</v>
      </c>
      <c r="AL76" s="9" t="str">
        <f t="shared" si="1"/>
        <v>15 dari 31 (48%)</v>
      </c>
    </row>
    <row r="77" ht="22.5" customHeight="1">
      <c r="A77" s="10">
        <v>76.0</v>
      </c>
      <c r="B77" s="11"/>
      <c r="C77" s="22">
        <v>61148.0</v>
      </c>
      <c r="D77" s="12" t="s">
        <v>68</v>
      </c>
      <c r="E77" s="12" t="s">
        <v>69</v>
      </c>
      <c r="F77" s="13"/>
      <c r="G77" s="6" t="b">
        <v>1</v>
      </c>
      <c r="H77" s="6" t="b">
        <v>1</v>
      </c>
      <c r="I77" s="6" t="b">
        <v>1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1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1</v>
      </c>
      <c r="AJ77" s="6" t="b">
        <v>0</v>
      </c>
      <c r="AK77" s="6" t="b">
        <v>0</v>
      </c>
      <c r="AL77" s="9" t="str">
        <f t="shared" si="1"/>
        <v>15 dari 31 (48%)</v>
      </c>
    </row>
    <row r="78" ht="22.5" customHeight="1">
      <c r="A78" s="61">
        <v>77.0</v>
      </c>
      <c r="B78" s="62"/>
      <c r="C78" s="32">
        <v>59397.0</v>
      </c>
      <c r="D78" s="51" t="s">
        <v>68</v>
      </c>
      <c r="E78" s="51" t="s">
        <v>69</v>
      </c>
      <c r="F78" s="53"/>
      <c r="G78" s="35" t="b">
        <v>0</v>
      </c>
      <c r="H78" s="35" t="b">
        <v>0</v>
      </c>
      <c r="I78" s="35" t="b">
        <v>0</v>
      </c>
      <c r="J78" s="35" t="b">
        <v>0</v>
      </c>
      <c r="K78" s="35" t="b">
        <v>0</v>
      </c>
      <c r="L78" s="35" t="b">
        <v>0</v>
      </c>
      <c r="M78" s="35" t="b">
        <v>0</v>
      </c>
      <c r="N78" s="35" t="b">
        <v>0</v>
      </c>
      <c r="O78" s="35" t="b">
        <v>0</v>
      </c>
      <c r="P78" s="35" t="b">
        <v>0</v>
      </c>
      <c r="Q78" s="35" t="b">
        <v>0</v>
      </c>
      <c r="R78" s="35" t="b">
        <v>0</v>
      </c>
      <c r="S78" s="35" t="b">
        <v>0</v>
      </c>
      <c r="T78" s="35" t="b">
        <v>0</v>
      </c>
      <c r="U78" s="35" t="b">
        <v>0</v>
      </c>
      <c r="V78" s="35" t="b">
        <v>0</v>
      </c>
      <c r="W78" s="35" t="b">
        <v>0</v>
      </c>
      <c r="X78" s="35" t="b">
        <v>0</v>
      </c>
      <c r="Y78" s="35" t="b">
        <v>0</v>
      </c>
      <c r="Z78" s="35" t="b">
        <v>0</v>
      </c>
      <c r="AA78" s="35" t="b">
        <v>0</v>
      </c>
      <c r="AB78" s="35" t="b">
        <v>0</v>
      </c>
      <c r="AC78" s="35" t="b">
        <v>0</v>
      </c>
      <c r="AD78" s="35" t="b">
        <v>0</v>
      </c>
      <c r="AE78" s="35" t="b">
        <v>0</v>
      </c>
      <c r="AF78" s="35" t="b">
        <v>0</v>
      </c>
      <c r="AG78" s="35" t="b">
        <v>0</v>
      </c>
      <c r="AH78" s="35" t="b">
        <v>0</v>
      </c>
      <c r="AI78" s="35" t="b">
        <v>0</v>
      </c>
      <c r="AJ78" s="35" t="b">
        <v>0</v>
      </c>
      <c r="AK78" s="35" t="b">
        <v>0</v>
      </c>
      <c r="AL78" s="64" t="str">
        <f t="shared" si="1"/>
        <v>0 dari 31 (0%)</v>
      </c>
    </row>
    <row r="79" ht="22.5" customHeight="1">
      <c r="A79" s="2">
        <v>78.0</v>
      </c>
      <c r="B79" s="11"/>
      <c r="C79" s="22">
        <v>60823.0</v>
      </c>
      <c r="D79" s="12" t="s">
        <v>56</v>
      </c>
      <c r="E79" s="12" t="s">
        <v>64</v>
      </c>
      <c r="F79" s="13"/>
      <c r="G79" s="6" t="b">
        <v>1</v>
      </c>
      <c r="H79" s="6" t="b">
        <v>1</v>
      </c>
      <c r="I79" s="6" t="b">
        <v>1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0</v>
      </c>
      <c r="S79" s="6" t="b">
        <v>1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1</v>
      </c>
      <c r="AJ79" s="6" t="b">
        <v>0</v>
      </c>
      <c r="AK79" s="6" t="b">
        <v>0</v>
      </c>
      <c r="AL79" s="9" t="str">
        <f t="shared" si="1"/>
        <v>13 dari 31 (42%)</v>
      </c>
    </row>
    <row r="80" ht="22.5" customHeight="1">
      <c r="A80" s="10">
        <v>79.0</v>
      </c>
      <c r="B80" s="11"/>
      <c r="C80" s="22">
        <v>60400.0</v>
      </c>
      <c r="D80" s="12" t="s">
        <v>39</v>
      </c>
      <c r="E80" s="12" t="s">
        <v>57</v>
      </c>
      <c r="F80" s="13"/>
      <c r="G80" s="6" t="b">
        <v>1</v>
      </c>
      <c r="H80" s="6" t="b">
        <v>1</v>
      </c>
      <c r="I80" s="6" t="b">
        <v>1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1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1</v>
      </c>
      <c r="AJ80" s="6" t="b">
        <v>0</v>
      </c>
      <c r="AK80" s="6" t="b">
        <v>0</v>
      </c>
      <c r="AL80" s="9" t="str">
        <f t="shared" si="1"/>
        <v>15 dari 31 (48%)</v>
      </c>
    </row>
    <row r="81" ht="22.5" customHeight="1">
      <c r="A81" s="10">
        <v>80.0</v>
      </c>
      <c r="B81" s="11"/>
      <c r="C81" s="22">
        <v>58419.0</v>
      </c>
      <c r="D81" s="12" t="s">
        <v>56</v>
      </c>
      <c r="E81" s="12" t="s">
        <v>167</v>
      </c>
      <c r="F81" s="13"/>
      <c r="G81" s="6" t="b">
        <v>1</v>
      </c>
      <c r="H81" s="6" t="b">
        <v>1</v>
      </c>
      <c r="I81" s="6" t="b">
        <v>1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1</v>
      </c>
      <c r="AJ81" s="6" t="b">
        <v>0</v>
      </c>
      <c r="AK81" s="6" t="b">
        <v>0</v>
      </c>
      <c r="AL81" s="17" t="str">
        <f t="shared" si="1"/>
        <v>15 dari 31 (48%)</v>
      </c>
    </row>
    <row r="82" ht="22.5" customHeight="1">
      <c r="A82" s="2">
        <v>81.0</v>
      </c>
      <c r="B82" s="11"/>
      <c r="C82" s="20">
        <v>58455.0</v>
      </c>
      <c r="D82" s="12" t="s">
        <v>56</v>
      </c>
      <c r="E82" s="12" t="s">
        <v>64</v>
      </c>
      <c r="F82" s="13"/>
      <c r="G82" s="6" t="b">
        <v>1</v>
      </c>
      <c r="H82" s="6" t="b">
        <v>1</v>
      </c>
      <c r="I82" s="6" t="b">
        <v>1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0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1</v>
      </c>
      <c r="AJ82" s="6" t="b">
        <v>0</v>
      </c>
      <c r="AK82" s="6" t="b">
        <v>0</v>
      </c>
      <c r="AL82" s="9" t="str">
        <f t="shared" si="1"/>
        <v>14 dari 31 (45%)</v>
      </c>
    </row>
    <row r="83" ht="22.5" customHeight="1">
      <c r="A83" s="10">
        <v>82.0</v>
      </c>
      <c r="B83" s="11"/>
      <c r="C83" s="20">
        <v>60909.0</v>
      </c>
      <c r="D83" s="12" t="s">
        <v>56</v>
      </c>
      <c r="E83" s="12" t="s">
        <v>64</v>
      </c>
      <c r="F83" s="13"/>
      <c r="G83" s="6" t="b">
        <v>1</v>
      </c>
      <c r="H83" s="6" t="b">
        <v>1</v>
      </c>
      <c r="I83" s="6" t="b">
        <v>1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1</v>
      </c>
      <c r="S83" s="6" t="b">
        <v>1</v>
      </c>
      <c r="T83" s="6" t="b">
        <v>0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1</v>
      </c>
      <c r="AJ83" s="6" t="b">
        <v>0</v>
      </c>
      <c r="AK83" s="6" t="b">
        <v>0</v>
      </c>
      <c r="AL83" s="9" t="str">
        <f t="shared" si="1"/>
        <v>14 dari 31 (45%)</v>
      </c>
    </row>
    <row r="84" ht="22.5" customHeight="1">
      <c r="A84" s="10">
        <v>83.0</v>
      </c>
      <c r="B84" s="11"/>
      <c r="C84" s="20">
        <v>61063.0</v>
      </c>
      <c r="D84" s="12" t="s">
        <v>56</v>
      </c>
      <c r="E84" s="12" t="s">
        <v>60</v>
      </c>
      <c r="F84" s="13"/>
      <c r="G84" s="6" t="b">
        <v>1</v>
      </c>
      <c r="H84" s="6" t="b">
        <v>1</v>
      </c>
      <c r="I84" s="6" t="b">
        <v>1</v>
      </c>
      <c r="J84" s="6" t="b">
        <v>1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1</v>
      </c>
      <c r="P84" s="6" t="b">
        <v>1</v>
      </c>
      <c r="Q84" s="6" t="b">
        <v>1</v>
      </c>
      <c r="R84" s="6" t="b">
        <v>1</v>
      </c>
      <c r="S84" s="6" t="b">
        <v>1</v>
      </c>
      <c r="T84" s="6" t="b">
        <v>1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1</v>
      </c>
      <c r="AJ84" s="6" t="b">
        <v>0</v>
      </c>
      <c r="AK84" s="6" t="b">
        <v>0</v>
      </c>
      <c r="AL84" s="17" t="str">
        <f t="shared" si="1"/>
        <v>15 dari 31 (48%)</v>
      </c>
    </row>
    <row r="85" ht="22.5" customHeight="1">
      <c r="A85" s="2">
        <v>84.0</v>
      </c>
      <c r="B85" s="11"/>
      <c r="C85" s="20">
        <v>60528.0</v>
      </c>
      <c r="D85" s="12" t="s">
        <v>56</v>
      </c>
      <c r="E85" s="12" t="s">
        <v>64</v>
      </c>
      <c r="F85" s="13"/>
      <c r="G85" s="6" t="b">
        <v>1</v>
      </c>
      <c r="H85" s="6" t="b">
        <v>1</v>
      </c>
      <c r="I85" s="6" t="b">
        <v>1</v>
      </c>
      <c r="J85" s="6" t="b">
        <v>1</v>
      </c>
      <c r="K85" s="6" t="b">
        <v>1</v>
      </c>
      <c r="L85" s="6" t="b">
        <v>1</v>
      </c>
      <c r="M85" s="6" t="b">
        <v>1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1</v>
      </c>
      <c r="S85" s="6" t="b">
        <v>1</v>
      </c>
      <c r="T85" s="6" t="b">
        <v>1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1</v>
      </c>
      <c r="AJ85" s="6" t="b">
        <v>0</v>
      </c>
      <c r="AK85" s="6" t="b">
        <v>0</v>
      </c>
      <c r="AL85" s="9" t="str">
        <f t="shared" si="1"/>
        <v>15 dari 31 (48%)</v>
      </c>
    </row>
    <row r="86" ht="22.5" customHeight="1">
      <c r="A86" s="10">
        <v>85.0</v>
      </c>
      <c r="B86" s="11"/>
      <c r="C86" s="20">
        <v>58418.0</v>
      </c>
      <c r="D86" s="12" t="s">
        <v>56</v>
      </c>
      <c r="E86" s="12" t="s">
        <v>60</v>
      </c>
      <c r="F86" s="13"/>
      <c r="G86" s="6" t="b">
        <v>1</v>
      </c>
      <c r="H86" s="6" t="b">
        <v>1</v>
      </c>
      <c r="I86" s="6" t="b">
        <v>1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1</v>
      </c>
      <c r="AJ86" s="6" t="b">
        <v>0</v>
      </c>
      <c r="AK86" s="6" t="b">
        <v>0</v>
      </c>
      <c r="AL86" s="9" t="str">
        <f t="shared" si="1"/>
        <v>15 dari 31 (48%)</v>
      </c>
    </row>
    <row r="87" ht="22.5" customHeight="1">
      <c r="A87" s="10">
        <v>86.0</v>
      </c>
      <c r="B87" s="11"/>
      <c r="C87" s="22">
        <v>59531.0</v>
      </c>
      <c r="D87" s="12" t="s">
        <v>56</v>
      </c>
      <c r="E87" s="12" t="s">
        <v>60</v>
      </c>
      <c r="F87" s="13"/>
      <c r="G87" s="6" t="b">
        <v>1</v>
      </c>
      <c r="H87" s="6" t="b">
        <v>1</v>
      </c>
      <c r="I87" s="6" t="b">
        <v>1</v>
      </c>
      <c r="J87" s="6" t="b">
        <v>1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1</v>
      </c>
      <c r="S87" s="6" t="b">
        <v>1</v>
      </c>
      <c r="T87" s="6" t="b">
        <v>1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1</v>
      </c>
      <c r="AJ87" s="6" t="b">
        <v>0</v>
      </c>
      <c r="AK87" s="6" t="b">
        <v>0</v>
      </c>
      <c r="AL87" s="17" t="str">
        <f t="shared" si="1"/>
        <v>15 dari 31 (48%)</v>
      </c>
    </row>
    <row r="88" ht="22.5" customHeight="1">
      <c r="A88" s="2">
        <v>87.0</v>
      </c>
      <c r="B88" s="11"/>
      <c r="C88" s="22">
        <v>60759.0</v>
      </c>
      <c r="D88" s="12" t="s">
        <v>68</v>
      </c>
      <c r="E88" s="12" t="s">
        <v>69</v>
      </c>
      <c r="F88" s="13"/>
      <c r="G88" s="6" t="b">
        <v>1</v>
      </c>
      <c r="H88" s="6" t="b">
        <v>1</v>
      </c>
      <c r="I88" s="6" t="b">
        <v>1</v>
      </c>
      <c r="J88" s="6" t="b">
        <v>1</v>
      </c>
      <c r="K88" s="6" t="b">
        <v>1</v>
      </c>
      <c r="L88" s="6" t="b">
        <v>1</v>
      </c>
      <c r="M88" s="6" t="b">
        <v>1</v>
      </c>
      <c r="N88" s="6" t="b">
        <v>1</v>
      </c>
      <c r="O88" s="6" t="b">
        <v>1</v>
      </c>
      <c r="P88" s="6" t="b">
        <v>1</v>
      </c>
      <c r="Q88" s="6" t="b">
        <v>1</v>
      </c>
      <c r="R88" s="6" t="b">
        <v>1</v>
      </c>
      <c r="S88" s="6" t="b">
        <v>1</v>
      </c>
      <c r="T88" s="6" t="b">
        <v>1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1</v>
      </c>
      <c r="AJ88" s="6" t="b">
        <v>0</v>
      </c>
      <c r="AK88" s="6" t="b">
        <v>0</v>
      </c>
      <c r="AL88" s="9" t="str">
        <f t="shared" si="1"/>
        <v>15 dari 31 (48%)</v>
      </c>
    </row>
    <row r="89" ht="22.5" customHeight="1">
      <c r="A89" s="10">
        <v>88.0</v>
      </c>
      <c r="B89" s="11"/>
      <c r="C89" s="22">
        <v>32258.0</v>
      </c>
      <c r="D89" s="12" t="s">
        <v>98</v>
      </c>
      <c r="E89" s="12" t="s">
        <v>100</v>
      </c>
      <c r="F89" s="15" t="s">
        <v>50</v>
      </c>
      <c r="G89" s="6" t="b">
        <v>1</v>
      </c>
      <c r="H89" s="6" t="b">
        <v>0</v>
      </c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6" t="b">
        <v>0</v>
      </c>
      <c r="R89" s="6" t="b">
        <v>0</v>
      </c>
      <c r="S89" s="6" t="b">
        <v>0</v>
      </c>
      <c r="T89" s="6" t="b">
        <v>0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1 dari 31 (3%)</v>
      </c>
    </row>
    <row r="90" ht="22.5" customHeight="1">
      <c r="A90" s="10">
        <v>89.0</v>
      </c>
      <c r="B90" s="11"/>
      <c r="C90" s="22">
        <v>53576.0</v>
      </c>
      <c r="D90" s="12" t="s">
        <v>98</v>
      </c>
      <c r="E90" s="12" t="s">
        <v>100</v>
      </c>
      <c r="F90" s="15" t="s">
        <v>50</v>
      </c>
      <c r="G90" s="6" t="b">
        <v>1</v>
      </c>
      <c r="H90" s="6" t="b">
        <v>0</v>
      </c>
      <c r="I90" s="6" t="b">
        <v>0</v>
      </c>
      <c r="J90" s="6" t="b">
        <v>1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1</v>
      </c>
      <c r="S90" s="6" t="b">
        <v>1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11 dari 31 (35%)</v>
      </c>
    </row>
    <row r="91" ht="22.5" customHeight="1">
      <c r="A91" s="2">
        <v>90.0</v>
      </c>
      <c r="B91" s="11"/>
      <c r="C91" s="22">
        <v>56095.0</v>
      </c>
      <c r="D91" s="12" t="s">
        <v>98</v>
      </c>
      <c r="E91" s="12" t="s">
        <v>100</v>
      </c>
      <c r="F91" s="15" t="s">
        <v>50</v>
      </c>
      <c r="G91" s="6" t="b">
        <v>1</v>
      </c>
      <c r="H91" s="6" t="b">
        <v>0</v>
      </c>
      <c r="I91" s="6" t="b">
        <v>0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0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1</v>
      </c>
      <c r="AJ91" s="6" t="b">
        <v>0</v>
      </c>
      <c r="AK91" s="6" t="b">
        <v>0</v>
      </c>
      <c r="AL91" s="9" t="str">
        <f t="shared" si="1"/>
        <v>12 dari 31 (39%)</v>
      </c>
    </row>
    <row r="92" ht="22.5" customHeight="1">
      <c r="A92" s="10">
        <v>91.0</v>
      </c>
      <c r="B92" s="11"/>
      <c r="C92" s="20">
        <v>58100.0</v>
      </c>
      <c r="D92" s="12" t="s">
        <v>98</v>
      </c>
      <c r="E92" s="12" t="s">
        <v>100</v>
      </c>
      <c r="F92" s="15" t="s">
        <v>50</v>
      </c>
      <c r="G92" s="6" t="b">
        <v>1</v>
      </c>
      <c r="H92" s="6" t="b">
        <v>0</v>
      </c>
      <c r="I92" s="6" t="b">
        <v>0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1</v>
      </c>
      <c r="S92" s="6" t="b">
        <v>1</v>
      </c>
      <c r="T92" s="6" t="b">
        <v>0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0</v>
      </c>
      <c r="AJ92" s="6" t="b">
        <v>0</v>
      </c>
      <c r="AK92" s="6" t="b">
        <v>0</v>
      </c>
      <c r="AL92" s="9" t="str">
        <f t="shared" si="1"/>
        <v>11 dari 31 (35%)</v>
      </c>
    </row>
    <row r="93" ht="22.5" customHeight="1">
      <c r="A93" s="93">
        <v>92.0</v>
      </c>
      <c r="B93" s="94"/>
      <c r="C93" s="95">
        <v>61276.0</v>
      </c>
      <c r="D93" s="96" t="s">
        <v>41</v>
      </c>
      <c r="E93" s="96" t="s">
        <v>125</v>
      </c>
      <c r="F93" s="97"/>
      <c r="G93" s="130" t="b">
        <v>0</v>
      </c>
      <c r="H93" s="130" t="b">
        <v>0</v>
      </c>
      <c r="I93" s="130" t="b">
        <v>0</v>
      </c>
      <c r="J93" s="130" t="b">
        <v>0</v>
      </c>
      <c r="K93" s="130" t="b">
        <v>0</v>
      </c>
      <c r="L93" s="130" t="b">
        <v>0</v>
      </c>
      <c r="M93" s="130" t="b">
        <v>0</v>
      </c>
      <c r="N93" s="130" t="b">
        <v>0</v>
      </c>
      <c r="O93" s="130" t="b">
        <v>0</v>
      </c>
      <c r="P93" s="130" t="b">
        <v>0</v>
      </c>
      <c r="Q93" s="130" t="b">
        <v>0</v>
      </c>
      <c r="R93" s="130" t="b">
        <v>0</v>
      </c>
      <c r="S93" s="130" t="b">
        <v>0</v>
      </c>
      <c r="T93" s="130" t="b">
        <v>0</v>
      </c>
      <c r="U93" s="130" t="b">
        <v>0</v>
      </c>
      <c r="V93" s="130" t="b">
        <v>0</v>
      </c>
      <c r="W93" s="130" t="b">
        <v>0</v>
      </c>
      <c r="X93" s="130" t="b">
        <v>0</v>
      </c>
      <c r="Y93" s="130" t="b">
        <v>0</v>
      </c>
      <c r="Z93" s="130" t="b">
        <v>0</v>
      </c>
      <c r="AA93" s="130" t="b">
        <v>0</v>
      </c>
      <c r="AB93" s="130" t="b">
        <v>0</v>
      </c>
      <c r="AC93" s="130" t="b">
        <v>0</v>
      </c>
      <c r="AD93" s="130" t="b">
        <v>0</v>
      </c>
      <c r="AE93" s="130" t="b">
        <v>0</v>
      </c>
      <c r="AF93" s="130" t="b">
        <v>0</v>
      </c>
      <c r="AG93" s="130" t="b">
        <v>0</v>
      </c>
      <c r="AH93" s="130" t="b">
        <v>0</v>
      </c>
      <c r="AI93" s="130" t="b">
        <v>0</v>
      </c>
      <c r="AJ93" s="130" t="b">
        <v>0</v>
      </c>
      <c r="AK93" s="130" t="b">
        <v>0</v>
      </c>
      <c r="AL93" s="99" t="str">
        <f t="shared" si="1"/>
        <v>0 dari 31 (0%)</v>
      </c>
    </row>
    <row r="94" ht="22.5" customHeight="1">
      <c r="A94" s="2">
        <v>93.0</v>
      </c>
      <c r="B94" s="11"/>
      <c r="C94" s="20">
        <v>31161.0</v>
      </c>
      <c r="D94" s="12" t="s">
        <v>98</v>
      </c>
      <c r="E94" s="12" t="s">
        <v>100</v>
      </c>
      <c r="F94" s="15" t="s">
        <v>50</v>
      </c>
      <c r="G94" s="6" t="b">
        <v>1</v>
      </c>
      <c r="H94" s="6" t="b">
        <v>0</v>
      </c>
      <c r="I94" s="6" t="b">
        <v>0</v>
      </c>
      <c r="J94" s="6" t="b">
        <v>0</v>
      </c>
      <c r="K94" s="6" t="b">
        <v>0</v>
      </c>
      <c r="L94" s="6" t="b">
        <v>0</v>
      </c>
      <c r="M94" s="6" t="b">
        <v>0</v>
      </c>
      <c r="N94" s="6" t="b">
        <v>0</v>
      </c>
      <c r="O94" s="6" t="b">
        <v>0</v>
      </c>
      <c r="P94" s="6" t="b">
        <v>0</v>
      </c>
      <c r="Q94" s="6" t="b">
        <v>0</v>
      </c>
      <c r="R94" s="6" t="b">
        <v>0</v>
      </c>
      <c r="S94" s="6" t="b">
        <v>0</v>
      </c>
      <c r="T94" s="6" t="b">
        <v>0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0</v>
      </c>
      <c r="AJ94" s="6" t="b">
        <v>0</v>
      </c>
      <c r="AK94" s="6" t="b">
        <v>0</v>
      </c>
      <c r="AL94" s="9" t="str">
        <f t="shared" si="1"/>
        <v>1 dari 31 (3%)</v>
      </c>
    </row>
    <row r="95" ht="22.5" customHeight="1">
      <c r="A95" s="10">
        <v>94.0</v>
      </c>
      <c r="B95" s="11"/>
      <c r="C95" s="20">
        <v>61277.0</v>
      </c>
      <c r="D95" s="12" t="s">
        <v>141</v>
      </c>
      <c r="E95" s="12" t="s">
        <v>69</v>
      </c>
      <c r="F95" s="15" t="s">
        <v>50</v>
      </c>
      <c r="G95" s="6" t="b">
        <v>1</v>
      </c>
      <c r="H95" s="6" t="b">
        <v>0</v>
      </c>
      <c r="I95" s="6" t="b">
        <v>0</v>
      </c>
      <c r="J95" s="6" t="b">
        <v>1</v>
      </c>
      <c r="K95" s="6" t="b">
        <v>1</v>
      </c>
      <c r="L95" s="6" t="b">
        <v>1</v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1</v>
      </c>
      <c r="S95" s="6" t="b">
        <v>1</v>
      </c>
      <c r="T95" s="6" t="b">
        <v>0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1</v>
      </c>
      <c r="AJ95" s="6" t="b">
        <v>0</v>
      </c>
      <c r="AK95" s="6" t="b">
        <v>0</v>
      </c>
      <c r="AL95" s="9" t="str">
        <f t="shared" si="1"/>
        <v>12 dari 31 (39%)</v>
      </c>
    </row>
    <row r="96" ht="22.5" customHeight="1">
      <c r="A96" s="10">
        <v>95.0</v>
      </c>
      <c r="B96" s="11"/>
      <c r="C96" s="20">
        <v>61279.0</v>
      </c>
      <c r="D96" s="12" t="s">
        <v>54</v>
      </c>
      <c r="E96" s="12" t="s">
        <v>70</v>
      </c>
      <c r="F96" s="13"/>
      <c r="G96" s="6" t="b">
        <v>1</v>
      </c>
      <c r="H96" s="6" t="b">
        <v>1</v>
      </c>
      <c r="I96" s="6" t="b">
        <v>1</v>
      </c>
      <c r="J96" s="6" t="b">
        <v>1</v>
      </c>
      <c r="K96" s="6" t="b">
        <v>1</v>
      </c>
      <c r="L96" s="6" t="b">
        <v>1</v>
      </c>
      <c r="M96" s="6" t="b">
        <v>1</v>
      </c>
      <c r="N96" s="6" t="b">
        <v>1</v>
      </c>
      <c r="O96" s="6" t="b">
        <v>1</v>
      </c>
      <c r="P96" s="6" t="b">
        <v>1</v>
      </c>
      <c r="Q96" s="6" t="b">
        <v>1</v>
      </c>
      <c r="R96" s="6" t="b">
        <v>1</v>
      </c>
      <c r="S96" s="6" t="b">
        <v>1</v>
      </c>
      <c r="T96" s="6" t="b">
        <v>1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1</v>
      </c>
      <c r="AJ96" s="6" t="b">
        <v>0</v>
      </c>
      <c r="AK96" s="6" t="b">
        <v>0</v>
      </c>
      <c r="AL96" s="17" t="str">
        <f t="shared" si="1"/>
        <v>15 dari 31 (48%)</v>
      </c>
    </row>
    <row r="97" ht="22.5" customHeight="1">
      <c r="A97" s="2">
        <v>96.0</v>
      </c>
      <c r="B97" s="11"/>
      <c r="C97" s="22">
        <v>61281.0</v>
      </c>
      <c r="D97" s="12" t="s">
        <v>141</v>
      </c>
      <c r="E97" s="12" t="s">
        <v>142</v>
      </c>
      <c r="F97" s="15" t="s">
        <v>50</v>
      </c>
      <c r="G97" s="6" t="b">
        <v>1</v>
      </c>
      <c r="H97" s="6" t="b">
        <v>0</v>
      </c>
      <c r="I97" s="6" t="b">
        <v>0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1</v>
      </c>
      <c r="S97" s="6" t="b">
        <v>1</v>
      </c>
      <c r="T97" s="6" t="b">
        <v>0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1</v>
      </c>
      <c r="AJ97" s="6" t="b">
        <v>0</v>
      </c>
      <c r="AK97" s="6" t="b">
        <v>0</v>
      </c>
      <c r="AL97" s="9" t="str">
        <f t="shared" si="1"/>
        <v>12 dari 31 (39%)</v>
      </c>
    </row>
    <row r="98" ht="22.5" customHeight="1">
      <c r="A98" s="10">
        <v>97.0</v>
      </c>
      <c r="B98" s="11"/>
      <c r="C98" s="22">
        <v>61282.0</v>
      </c>
      <c r="D98" s="12" t="s">
        <v>39</v>
      </c>
      <c r="E98" s="12" t="s">
        <v>42</v>
      </c>
      <c r="F98" s="13"/>
      <c r="G98" s="6" t="b">
        <v>1</v>
      </c>
      <c r="H98" s="6" t="b">
        <v>1</v>
      </c>
      <c r="I98" s="6" t="b">
        <v>1</v>
      </c>
      <c r="J98" s="6" t="b">
        <v>1</v>
      </c>
      <c r="K98" s="6" t="b">
        <v>1</v>
      </c>
      <c r="L98" s="6" t="b">
        <v>1</v>
      </c>
      <c r="M98" s="6" t="b">
        <v>1</v>
      </c>
      <c r="N98" s="6" t="b">
        <v>1</v>
      </c>
      <c r="O98" s="6" t="b">
        <v>1</v>
      </c>
      <c r="P98" s="6" t="b">
        <v>1</v>
      </c>
      <c r="Q98" s="6" t="b">
        <v>1</v>
      </c>
      <c r="R98" s="6" t="b">
        <v>1</v>
      </c>
      <c r="S98" s="6" t="b">
        <v>1</v>
      </c>
      <c r="T98" s="6" t="b">
        <v>1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1</v>
      </c>
      <c r="AJ98" s="6" t="b">
        <v>0</v>
      </c>
      <c r="AK98" s="6" t="b">
        <v>0</v>
      </c>
      <c r="AL98" s="9" t="str">
        <f t="shared" si="1"/>
        <v>15 dari 31 (48%)</v>
      </c>
    </row>
    <row r="99" ht="22.5" customHeight="1">
      <c r="A99" s="10">
        <v>98.0</v>
      </c>
      <c r="B99" s="11"/>
      <c r="C99" s="22">
        <v>57395.0</v>
      </c>
      <c r="D99" s="12" t="s">
        <v>98</v>
      </c>
      <c r="E99" s="12" t="s">
        <v>142</v>
      </c>
      <c r="F99" s="15" t="s">
        <v>50</v>
      </c>
      <c r="G99" s="6" t="b">
        <v>1</v>
      </c>
      <c r="H99" s="6" t="b">
        <v>0</v>
      </c>
      <c r="I99" s="6" t="b">
        <v>0</v>
      </c>
      <c r="J99" s="6" t="b">
        <v>1</v>
      </c>
      <c r="K99" s="6" t="b">
        <v>1</v>
      </c>
      <c r="L99" s="6" t="b">
        <v>1</v>
      </c>
      <c r="M99" s="6" t="b">
        <v>1</v>
      </c>
      <c r="N99" s="6" t="b">
        <v>1</v>
      </c>
      <c r="O99" s="6" t="b">
        <v>1</v>
      </c>
      <c r="P99" s="6" t="b">
        <v>1</v>
      </c>
      <c r="Q99" s="6" t="b">
        <v>1</v>
      </c>
      <c r="R99" s="6" t="b">
        <v>1</v>
      </c>
      <c r="S99" s="6" t="b">
        <v>1</v>
      </c>
      <c r="T99" s="6" t="b">
        <v>0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11 dari 31 (35%)</v>
      </c>
    </row>
    <row r="100" ht="22.5" customHeight="1">
      <c r="A100" s="2">
        <v>99.0</v>
      </c>
      <c r="B100" s="11"/>
      <c r="C100" s="22">
        <v>53226.0</v>
      </c>
      <c r="D100" s="12" t="s">
        <v>98</v>
      </c>
      <c r="E100" s="12" t="s">
        <v>100</v>
      </c>
      <c r="F100" s="86" t="s">
        <v>67</v>
      </c>
      <c r="G100" s="6" t="b">
        <v>0</v>
      </c>
      <c r="H100" s="6" t="b">
        <v>0</v>
      </c>
      <c r="I100" s="6" t="b">
        <v>0</v>
      </c>
      <c r="J100" s="6" t="b">
        <v>0</v>
      </c>
      <c r="K100" s="6" t="b">
        <v>0</v>
      </c>
      <c r="L100" s="6" t="b">
        <v>0</v>
      </c>
      <c r="M100" s="6" t="b">
        <v>0</v>
      </c>
      <c r="N100" s="6" t="b">
        <v>0</v>
      </c>
      <c r="O100" s="6" t="b">
        <v>0</v>
      </c>
      <c r="P100" s="6" t="b">
        <v>0</v>
      </c>
      <c r="Q100" s="6" t="b">
        <v>0</v>
      </c>
      <c r="R100" s="6" t="b">
        <v>0</v>
      </c>
      <c r="S100" s="6" t="b">
        <v>0</v>
      </c>
      <c r="T100" s="6" t="b">
        <v>0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0</v>
      </c>
      <c r="AJ100" s="6" t="b">
        <v>0</v>
      </c>
      <c r="AK100" s="6" t="b">
        <v>0</v>
      </c>
      <c r="AL100" s="9" t="str">
        <f t="shared" si="1"/>
        <v>0 dari 31 (0%)</v>
      </c>
    </row>
    <row r="101" ht="22.5" customHeight="1">
      <c r="A101" s="10">
        <v>100.0</v>
      </c>
      <c r="B101" s="11"/>
      <c r="C101" s="22">
        <v>61280.0</v>
      </c>
      <c r="D101" s="12" t="s">
        <v>161</v>
      </c>
      <c r="E101" s="12" t="s">
        <v>94</v>
      </c>
      <c r="F101" s="15" t="s">
        <v>50</v>
      </c>
      <c r="G101" s="6" t="b">
        <v>1</v>
      </c>
      <c r="H101" s="6" t="b">
        <v>0</v>
      </c>
      <c r="I101" s="6" t="b">
        <v>0</v>
      </c>
      <c r="J101" s="6" t="b">
        <v>1</v>
      </c>
      <c r="K101" s="6" t="b">
        <v>1</v>
      </c>
      <c r="L101" s="6" t="b">
        <v>1</v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b">
        <v>1</v>
      </c>
      <c r="T101" s="6" t="b">
        <v>0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1</v>
      </c>
      <c r="AJ101" s="6" t="b">
        <v>0</v>
      </c>
      <c r="AK101" s="6" t="b">
        <v>0</v>
      </c>
      <c r="AL101" s="9" t="str">
        <f t="shared" si="1"/>
        <v>12 dari 31 (39%)</v>
      </c>
    </row>
    <row r="102" ht="22.5" customHeight="1">
      <c r="A102" s="10">
        <v>101.0</v>
      </c>
      <c r="B102" s="11"/>
      <c r="C102" s="20">
        <v>56688.0</v>
      </c>
      <c r="D102" s="12" t="s">
        <v>68</v>
      </c>
      <c r="E102" s="12" t="s">
        <v>69</v>
      </c>
      <c r="F102" s="13"/>
      <c r="G102" s="6" t="b">
        <v>1</v>
      </c>
      <c r="H102" s="6" t="b">
        <v>1</v>
      </c>
      <c r="I102" s="6" t="b">
        <v>1</v>
      </c>
      <c r="J102" s="6" t="b">
        <v>1</v>
      </c>
      <c r="K102" s="6" t="b">
        <v>1</v>
      </c>
      <c r="L102" s="6" t="b">
        <v>1</v>
      </c>
      <c r="M102" s="6" t="b">
        <v>1</v>
      </c>
      <c r="N102" s="6" t="b">
        <v>1</v>
      </c>
      <c r="O102" s="6" t="b">
        <v>1</v>
      </c>
      <c r="P102" s="6" t="b">
        <v>1</v>
      </c>
      <c r="Q102" s="6" t="b">
        <v>1</v>
      </c>
      <c r="R102" s="6" t="b">
        <v>1</v>
      </c>
      <c r="S102" s="6" t="b">
        <v>1</v>
      </c>
      <c r="T102" s="6" t="b">
        <v>1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1</v>
      </c>
      <c r="AJ102" s="6" t="b">
        <v>0</v>
      </c>
      <c r="AK102" s="6" t="b">
        <v>0</v>
      </c>
      <c r="AL102" s="17" t="str">
        <f t="shared" si="1"/>
        <v>15 dari 31 (48%)</v>
      </c>
    </row>
    <row r="103" ht="22.5" customHeight="1">
      <c r="A103" s="2">
        <v>102.0</v>
      </c>
      <c r="B103" s="11"/>
      <c r="C103" s="20">
        <v>53487.0</v>
      </c>
      <c r="D103" s="12" t="s">
        <v>68</v>
      </c>
      <c r="E103" s="12" t="s">
        <v>82</v>
      </c>
      <c r="F103" s="13"/>
      <c r="G103" s="6" t="b">
        <v>1</v>
      </c>
      <c r="H103" s="6" t="b">
        <v>1</v>
      </c>
      <c r="I103" s="6" t="b">
        <v>1</v>
      </c>
      <c r="J103" s="6" t="b">
        <v>1</v>
      </c>
      <c r="K103" s="6" t="b">
        <v>1</v>
      </c>
      <c r="L103" s="6" t="b">
        <v>1</v>
      </c>
      <c r="M103" s="6" t="b">
        <v>1</v>
      </c>
      <c r="N103" s="6" t="b">
        <v>1</v>
      </c>
      <c r="O103" s="6" t="b">
        <v>1</v>
      </c>
      <c r="P103" s="6" t="b">
        <v>1</v>
      </c>
      <c r="Q103" s="6" t="b">
        <v>1</v>
      </c>
      <c r="R103" s="6" t="b">
        <v>1</v>
      </c>
      <c r="S103" s="6" t="b">
        <v>1</v>
      </c>
      <c r="T103" s="6" t="b">
        <v>1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1</v>
      </c>
      <c r="AJ103" s="6" t="b">
        <v>0</v>
      </c>
      <c r="AK103" s="6" t="b">
        <v>0</v>
      </c>
      <c r="AL103" s="9" t="str">
        <f t="shared" si="1"/>
        <v>15 dari 31 (48%)</v>
      </c>
    </row>
    <row r="104" ht="22.5" customHeight="1">
      <c r="A104" s="10">
        <v>103.0</v>
      </c>
      <c r="B104" s="11"/>
      <c r="C104" s="20">
        <v>61283.0</v>
      </c>
      <c r="D104" s="12" t="s">
        <v>39</v>
      </c>
      <c r="E104" s="12" t="s">
        <v>57</v>
      </c>
      <c r="F104" s="13"/>
      <c r="G104" s="6" t="b">
        <v>1</v>
      </c>
      <c r="H104" s="6" t="b">
        <v>1</v>
      </c>
      <c r="I104" s="6" t="b">
        <v>1</v>
      </c>
      <c r="J104" s="6" t="b">
        <v>1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1</v>
      </c>
      <c r="AA104" s="6" t="b">
        <v>1</v>
      </c>
      <c r="AB104" s="6" t="b">
        <v>1</v>
      </c>
      <c r="AC104" s="6" t="b">
        <v>1</v>
      </c>
      <c r="AD104" s="6" t="b">
        <v>1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1</v>
      </c>
      <c r="AJ104" s="6" t="b">
        <v>0</v>
      </c>
      <c r="AK104" s="6" t="b">
        <v>0</v>
      </c>
      <c r="AL104" s="9" t="str">
        <f t="shared" si="1"/>
        <v>20 dari 31 (65%)</v>
      </c>
    </row>
    <row r="105" ht="22.5" customHeight="1">
      <c r="A105" s="10">
        <v>104.0</v>
      </c>
      <c r="B105" s="11"/>
      <c r="C105" s="20">
        <v>36950.0</v>
      </c>
      <c r="D105" s="12" t="s">
        <v>41</v>
      </c>
      <c r="E105" s="12" t="s">
        <v>125</v>
      </c>
      <c r="F105" s="13"/>
      <c r="G105" s="6" t="b">
        <v>1</v>
      </c>
      <c r="H105" s="6" t="b">
        <v>1</v>
      </c>
      <c r="I105" s="6" t="b">
        <v>0</v>
      </c>
      <c r="J105" s="6" t="b">
        <v>0</v>
      </c>
      <c r="K105" s="6" t="b">
        <v>1</v>
      </c>
      <c r="L105" s="6" t="b">
        <v>1</v>
      </c>
      <c r="M105" s="6" t="b">
        <v>1</v>
      </c>
      <c r="N105" s="6" t="b">
        <v>1</v>
      </c>
      <c r="O105" s="6" t="b">
        <v>1</v>
      </c>
      <c r="P105" s="6" t="b">
        <v>1</v>
      </c>
      <c r="Q105" s="6" t="b">
        <v>1</v>
      </c>
      <c r="R105" s="6" t="b">
        <v>1</v>
      </c>
      <c r="S105" s="6" t="b">
        <v>1</v>
      </c>
      <c r="T105" s="6" t="b">
        <v>0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17" t="str">
        <f t="shared" si="1"/>
        <v>11 dari 31 (35%)</v>
      </c>
    </row>
    <row r="106" ht="22.5" customHeight="1">
      <c r="A106" s="2">
        <v>105.0</v>
      </c>
      <c r="B106" s="11"/>
      <c r="C106" s="20">
        <v>59202.0</v>
      </c>
      <c r="D106" s="12" t="s">
        <v>41</v>
      </c>
      <c r="E106" s="12" t="s">
        <v>125</v>
      </c>
      <c r="F106" s="13"/>
      <c r="G106" s="6" t="b">
        <v>1</v>
      </c>
      <c r="H106" s="6" t="b">
        <v>1</v>
      </c>
      <c r="I106" s="6" t="b">
        <v>1</v>
      </c>
      <c r="J106" s="6" t="b">
        <v>1</v>
      </c>
      <c r="K106" s="6" t="b">
        <v>1</v>
      </c>
      <c r="L106" s="6" t="b">
        <v>1</v>
      </c>
      <c r="M106" s="6" t="b">
        <v>1</v>
      </c>
      <c r="N106" s="6" t="b">
        <v>1</v>
      </c>
      <c r="O106" s="6" t="b">
        <v>1</v>
      </c>
      <c r="P106" s="6" t="b">
        <v>1</v>
      </c>
      <c r="Q106" s="6" t="b">
        <v>1</v>
      </c>
      <c r="R106" s="6" t="b">
        <v>1</v>
      </c>
      <c r="S106" s="6" t="b">
        <v>1</v>
      </c>
      <c r="T106" s="6" t="b">
        <v>1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0</v>
      </c>
      <c r="AJ106" s="6" t="b">
        <v>0</v>
      </c>
      <c r="AK106" s="6" t="b">
        <v>0</v>
      </c>
      <c r="AL106" s="9" t="str">
        <f t="shared" si="1"/>
        <v>14 dari 31 (45%)</v>
      </c>
    </row>
    <row r="107" ht="22.5" customHeight="1">
      <c r="A107" s="10">
        <v>106.0</v>
      </c>
      <c r="B107" s="11"/>
      <c r="C107" s="22">
        <v>61280.0</v>
      </c>
      <c r="D107" s="12" t="s">
        <v>39</v>
      </c>
      <c r="E107" s="12" t="s">
        <v>57</v>
      </c>
      <c r="F107" s="13"/>
      <c r="G107" s="6" t="b">
        <v>1</v>
      </c>
      <c r="H107" s="6" t="b">
        <v>1</v>
      </c>
      <c r="I107" s="6" t="b">
        <v>1</v>
      </c>
      <c r="J107" s="6" t="b">
        <v>1</v>
      </c>
      <c r="K107" s="6" t="b">
        <v>1</v>
      </c>
      <c r="L107" s="6" t="b">
        <v>1</v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b">
        <v>1</v>
      </c>
      <c r="T107" s="6" t="b">
        <v>1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0</v>
      </c>
      <c r="AJ107" s="6" t="b">
        <v>0</v>
      </c>
      <c r="AK107" s="6" t="b">
        <v>0</v>
      </c>
      <c r="AL107" s="9" t="str">
        <f t="shared" si="1"/>
        <v>14 dari 31 (45%)</v>
      </c>
    </row>
    <row r="108" ht="22.5" customHeight="1">
      <c r="A108" s="10">
        <v>107.0</v>
      </c>
      <c r="B108" s="11"/>
      <c r="C108" s="22">
        <v>18597.0</v>
      </c>
      <c r="D108" s="12" t="s">
        <v>85</v>
      </c>
      <c r="E108" s="12" t="s">
        <v>147</v>
      </c>
      <c r="F108" s="15" t="s">
        <v>50</v>
      </c>
      <c r="G108" s="6" t="b">
        <v>1</v>
      </c>
      <c r="H108" s="6" t="b">
        <v>0</v>
      </c>
      <c r="I108" s="6" t="b">
        <v>0</v>
      </c>
      <c r="J108" s="6" t="b">
        <v>0</v>
      </c>
      <c r="K108" s="6" t="b">
        <v>0</v>
      </c>
      <c r="L108" s="6" t="b">
        <v>0</v>
      </c>
      <c r="M108" s="6" t="b">
        <v>0</v>
      </c>
      <c r="N108" s="6" t="b">
        <v>0</v>
      </c>
      <c r="O108" s="6" t="b">
        <v>0</v>
      </c>
      <c r="P108" s="6" t="b">
        <v>0</v>
      </c>
      <c r="Q108" s="6" t="b">
        <v>0</v>
      </c>
      <c r="R108" s="6" t="b">
        <v>0</v>
      </c>
      <c r="S108" s="6" t="b">
        <v>0</v>
      </c>
      <c r="T108" s="6" t="b">
        <v>0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1</v>
      </c>
      <c r="AA108" s="6" t="b">
        <v>1</v>
      </c>
      <c r="AB108" s="6" t="b">
        <v>0</v>
      </c>
      <c r="AC108" s="6" t="b">
        <v>0</v>
      </c>
      <c r="AD108" s="6" t="b">
        <v>1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0</v>
      </c>
      <c r="AJ108" s="6" t="b">
        <v>0</v>
      </c>
      <c r="AK108" s="6" t="b">
        <v>0</v>
      </c>
      <c r="AL108" s="17" t="str">
        <f t="shared" si="1"/>
        <v>4 dari 31 (13%)</v>
      </c>
    </row>
    <row r="109" ht="22.5" customHeight="1">
      <c r="A109" s="2">
        <v>108.0</v>
      </c>
      <c r="B109" s="11"/>
      <c r="C109" s="22">
        <v>49128.0</v>
      </c>
      <c r="D109" s="12" t="s">
        <v>41</v>
      </c>
      <c r="E109" s="12" t="s">
        <v>125</v>
      </c>
      <c r="F109" s="13"/>
      <c r="G109" s="6" t="b">
        <v>1</v>
      </c>
      <c r="H109" s="6" t="b">
        <v>1</v>
      </c>
      <c r="I109" s="6" t="b">
        <v>0</v>
      </c>
      <c r="J109" s="6" t="b">
        <v>1</v>
      </c>
      <c r="K109" s="6" t="b">
        <v>1</v>
      </c>
      <c r="L109" s="6" t="b">
        <v>1</v>
      </c>
      <c r="M109" s="6" t="b">
        <v>1</v>
      </c>
      <c r="N109" s="6" t="b">
        <v>1</v>
      </c>
      <c r="O109" s="6" t="b">
        <v>1</v>
      </c>
      <c r="P109" s="6" t="b">
        <v>1</v>
      </c>
      <c r="Q109" s="6" t="b">
        <v>1</v>
      </c>
      <c r="R109" s="6" t="b">
        <v>1</v>
      </c>
      <c r="S109" s="6" t="b">
        <v>1</v>
      </c>
      <c r="T109" s="6" t="b">
        <v>0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0</v>
      </c>
      <c r="AJ109" s="6" t="b">
        <v>0</v>
      </c>
      <c r="AK109" s="6" t="b">
        <v>0</v>
      </c>
      <c r="AL109" s="9" t="str">
        <f t="shared" si="1"/>
        <v>12 dari 31 (39%)</v>
      </c>
    </row>
    <row r="110" ht="22.5" customHeight="1">
      <c r="A110" s="93">
        <v>109.0</v>
      </c>
      <c r="B110" s="94"/>
      <c r="C110" s="132">
        <v>61268.0</v>
      </c>
      <c r="D110" s="96" t="s">
        <v>40</v>
      </c>
      <c r="E110" s="96" t="s">
        <v>116</v>
      </c>
      <c r="F110" s="97"/>
      <c r="G110" s="130" t="b">
        <v>0</v>
      </c>
      <c r="H110" s="130" t="b">
        <v>0</v>
      </c>
      <c r="I110" s="130" t="b">
        <v>0</v>
      </c>
      <c r="J110" s="130" t="b">
        <v>0</v>
      </c>
      <c r="K110" s="130" t="b">
        <v>0</v>
      </c>
      <c r="L110" s="130" t="b">
        <v>0</v>
      </c>
      <c r="M110" s="130" t="b">
        <v>0</v>
      </c>
      <c r="N110" s="130" t="b">
        <v>0</v>
      </c>
      <c r="O110" s="130" t="b">
        <v>0</v>
      </c>
      <c r="P110" s="130" t="b">
        <v>0</v>
      </c>
      <c r="Q110" s="130" t="b">
        <v>0</v>
      </c>
      <c r="R110" s="130" t="b">
        <v>0</v>
      </c>
      <c r="S110" s="130" t="b">
        <v>0</v>
      </c>
      <c r="T110" s="130" t="b">
        <v>0</v>
      </c>
      <c r="U110" s="130" t="b">
        <v>0</v>
      </c>
      <c r="V110" s="130" t="b">
        <v>0</v>
      </c>
      <c r="W110" s="130" t="b">
        <v>0</v>
      </c>
      <c r="X110" s="130" t="b">
        <v>0</v>
      </c>
      <c r="Y110" s="130" t="b">
        <v>0</v>
      </c>
      <c r="Z110" s="130" t="b">
        <v>0</v>
      </c>
      <c r="AA110" s="130" t="b">
        <v>0</v>
      </c>
      <c r="AB110" s="130" t="b">
        <v>0</v>
      </c>
      <c r="AC110" s="130" t="b">
        <v>0</v>
      </c>
      <c r="AD110" s="130" t="b">
        <v>0</v>
      </c>
      <c r="AE110" s="130" t="b">
        <v>0</v>
      </c>
      <c r="AF110" s="130" t="b">
        <v>0</v>
      </c>
      <c r="AG110" s="130" t="b">
        <v>0</v>
      </c>
      <c r="AH110" s="130" t="b">
        <v>0</v>
      </c>
      <c r="AI110" s="130" t="b">
        <v>0</v>
      </c>
      <c r="AJ110" s="130" t="b">
        <v>0</v>
      </c>
      <c r="AK110" s="130" t="b">
        <v>0</v>
      </c>
      <c r="AL110" s="131" t="str">
        <f t="shared" si="1"/>
        <v>0 dari 31 (0%)</v>
      </c>
    </row>
    <row r="111" ht="22.5" customHeight="1">
      <c r="A111" s="10">
        <v>110.0</v>
      </c>
      <c r="B111" s="11"/>
      <c r="C111" s="22">
        <v>57841.0</v>
      </c>
      <c r="D111" s="12" t="s">
        <v>40</v>
      </c>
      <c r="E111" s="12" t="s">
        <v>116</v>
      </c>
      <c r="F111" s="13"/>
      <c r="G111" s="6" t="b">
        <v>1</v>
      </c>
      <c r="H111" s="6" t="b">
        <v>1</v>
      </c>
      <c r="I111" s="6" t="b">
        <v>0</v>
      </c>
      <c r="J111" s="6" t="b">
        <v>1</v>
      </c>
      <c r="K111" s="6" t="b">
        <v>1</v>
      </c>
      <c r="L111" s="6" t="b">
        <v>1</v>
      </c>
      <c r="M111" s="6" t="b">
        <v>1</v>
      </c>
      <c r="N111" s="6" t="b">
        <v>1</v>
      </c>
      <c r="O111" s="6" t="b">
        <v>1</v>
      </c>
      <c r="P111" s="6" t="b">
        <v>1</v>
      </c>
      <c r="Q111" s="6" t="b">
        <v>1</v>
      </c>
      <c r="R111" s="6" t="b">
        <v>1</v>
      </c>
      <c r="S111" s="6" t="b">
        <v>1</v>
      </c>
      <c r="T111" s="6" t="b">
        <v>1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0</v>
      </c>
      <c r="AJ111" s="6" t="b">
        <v>0</v>
      </c>
      <c r="AK111" s="6" t="b">
        <v>0</v>
      </c>
      <c r="AL111" s="17" t="str">
        <f t="shared" si="1"/>
        <v>13 dari 31 (42%)</v>
      </c>
    </row>
    <row r="112" ht="22.5" customHeight="1">
      <c r="A112" s="2">
        <v>111.0</v>
      </c>
      <c r="B112" s="11"/>
      <c r="C112" s="20">
        <v>41607.0</v>
      </c>
      <c r="D112" s="12" t="s">
        <v>40</v>
      </c>
      <c r="E112" s="12" t="s">
        <v>116</v>
      </c>
      <c r="F112" s="13"/>
      <c r="G112" s="6" t="b">
        <v>1</v>
      </c>
      <c r="H112" s="6" t="b">
        <v>1</v>
      </c>
      <c r="I112" s="6" t="b">
        <v>1</v>
      </c>
      <c r="J112" s="6" t="b">
        <v>1</v>
      </c>
      <c r="K112" s="6" t="b">
        <v>1</v>
      </c>
      <c r="L112" s="6" t="b">
        <v>1</v>
      </c>
      <c r="M112" s="6" t="b">
        <v>1</v>
      </c>
      <c r="N112" s="6" t="b">
        <v>1</v>
      </c>
      <c r="O112" s="6" t="b">
        <v>1</v>
      </c>
      <c r="P112" s="6" t="b">
        <v>1</v>
      </c>
      <c r="Q112" s="6" t="b">
        <v>1</v>
      </c>
      <c r="R112" s="6" t="b">
        <v>1</v>
      </c>
      <c r="S112" s="6" t="b">
        <v>1</v>
      </c>
      <c r="T112" s="6" t="b">
        <v>1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1</v>
      </c>
      <c r="AJ112" s="6" t="b">
        <v>0</v>
      </c>
      <c r="AK112" s="6" t="b">
        <v>0</v>
      </c>
      <c r="AL112" s="9" t="str">
        <f t="shared" si="1"/>
        <v>15 dari 31 (48%)</v>
      </c>
    </row>
    <row r="113" ht="22.5" customHeight="1">
      <c r="A113" s="10">
        <v>112.0</v>
      </c>
      <c r="B113" s="11"/>
      <c r="C113" s="20">
        <v>61241.0</v>
      </c>
      <c r="D113" s="12" t="s">
        <v>53</v>
      </c>
      <c r="E113" s="12" t="s">
        <v>44</v>
      </c>
      <c r="F113" s="15" t="s">
        <v>50</v>
      </c>
      <c r="G113" s="6" t="b">
        <v>1</v>
      </c>
      <c r="H113" s="6" t="b">
        <v>0</v>
      </c>
      <c r="I113" s="6" t="b">
        <v>0</v>
      </c>
      <c r="J113" s="6" t="b">
        <v>1</v>
      </c>
      <c r="K113" s="6" t="b">
        <v>1</v>
      </c>
      <c r="L113" s="6" t="b">
        <v>1</v>
      </c>
      <c r="M113" s="6" t="b">
        <v>1</v>
      </c>
      <c r="N113" s="6" t="b">
        <v>1</v>
      </c>
      <c r="O113" s="6" t="b">
        <v>1</v>
      </c>
      <c r="P113" s="6" t="b">
        <v>1</v>
      </c>
      <c r="Q113" s="6" t="b">
        <v>1</v>
      </c>
      <c r="R113" s="6" t="b">
        <v>1</v>
      </c>
      <c r="S113" s="6" t="b">
        <v>1</v>
      </c>
      <c r="T113" s="6" t="b">
        <v>0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1</v>
      </c>
      <c r="AA113" s="6" t="b">
        <v>1</v>
      </c>
      <c r="AB113" s="6" t="b">
        <v>1</v>
      </c>
      <c r="AC113" s="6" t="b">
        <v>1</v>
      </c>
      <c r="AD113" s="6" t="b">
        <v>1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1</v>
      </c>
      <c r="AJ113" s="6" t="b">
        <v>0</v>
      </c>
      <c r="AK113" s="6" t="b">
        <v>0</v>
      </c>
      <c r="AL113" s="9" t="str">
        <f t="shared" si="1"/>
        <v>17 dari 31 (55%)</v>
      </c>
    </row>
    <row r="114" ht="22.5" customHeight="1">
      <c r="A114" s="10">
        <v>113.0</v>
      </c>
      <c r="B114" s="11"/>
      <c r="C114" s="20">
        <v>58700.0</v>
      </c>
      <c r="D114" s="12" t="s">
        <v>53</v>
      </c>
      <c r="E114" s="12" t="s">
        <v>48</v>
      </c>
      <c r="F114" s="86" t="s">
        <v>67</v>
      </c>
      <c r="G114" s="6" t="b">
        <v>0</v>
      </c>
      <c r="H114" s="6" t="b">
        <v>0</v>
      </c>
      <c r="I114" s="6" t="b">
        <v>0</v>
      </c>
      <c r="J114" s="6" t="b">
        <v>0</v>
      </c>
      <c r="K114" s="6" t="b">
        <v>1</v>
      </c>
      <c r="L114" s="6" t="b">
        <v>1</v>
      </c>
      <c r="M114" s="6" t="b">
        <v>1</v>
      </c>
      <c r="N114" s="6" t="b">
        <v>1</v>
      </c>
      <c r="O114" s="6" t="b">
        <v>1</v>
      </c>
      <c r="P114" s="6" t="b">
        <v>1</v>
      </c>
      <c r="Q114" s="6" t="b">
        <v>1</v>
      </c>
      <c r="R114" s="6" t="b">
        <v>1</v>
      </c>
      <c r="S114" s="6" t="b">
        <v>1</v>
      </c>
      <c r="T114" s="6" t="b">
        <v>0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0</v>
      </c>
      <c r="AJ114" s="6" t="b">
        <v>0</v>
      </c>
      <c r="AK114" s="6" t="b">
        <v>0</v>
      </c>
      <c r="AL114" s="17" t="str">
        <f t="shared" si="1"/>
        <v>9 dari 31 (29%)</v>
      </c>
    </row>
    <row r="115" ht="22.5" customHeight="1">
      <c r="A115" s="2">
        <v>114.0</v>
      </c>
      <c r="B115" s="11"/>
      <c r="C115" s="20">
        <v>59855.0</v>
      </c>
      <c r="D115" s="12" t="s">
        <v>39</v>
      </c>
      <c r="E115" s="12" t="s">
        <v>42</v>
      </c>
      <c r="F115" s="13"/>
      <c r="G115" s="6" t="b">
        <v>1</v>
      </c>
      <c r="H115" s="6" t="b">
        <v>1</v>
      </c>
      <c r="I115" s="6" t="b">
        <v>1</v>
      </c>
      <c r="J115" s="6" t="b">
        <v>1</v>
      </c>
      <c r="K115" s="6" t="b">
        <v>1</v>
      </c>
      <c r="L115" s="6" t="b">
        <v>1</v>
      </c>
      <c r="M115" s="6" t="b">
        <v>1</v>
      </c>
      <c r="N115" s="6" t="b">
        <v>1</v>
      </c>
      <c r="O115" s="6" t="b">
        <v>1</v>
      </c>
      <c r="P115" s="6" t="b">
        <v>1</v>
      </c>
      <c r="Q115" s="6" t="b">
        <v>1</v>
      </c>
      <c r="R115" s="6" t="b">
        <v>1</v>
      </c>
      <c r="S115" s="6" t="b">
        <v>1</v>
      </c>
      <c r="T115" s="6" t="b">
        <v>0</v>
      </c>
      <c r="U115" s="6" t="b">
        <v>0</v>
      </c>
      <c r="V115" s="6" t="b">
        <v>0</v>
      </c>
      <c r="W115" s="6" t="b">
        <v>1</v>
      </c>
      <c r="X115" s="6" t="b">
        <v>1</v>
      </c>
      <c r="Y115" s="6" t="b">
        <v>1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1</v>
      </c>
      <c r="AJ115" s="6" t="b">
        <v>0</v>
      </c>
      <c r="AK115" s="6" t="b">
        <v>0</v>
      </c>
      <c r="AL115" s="9" t="str">
        <f t="shared" si="1"/>
        <v>17 dari 31 (55%)</v>
      </c>
    </row>
    <row r="116" ht="22.5" customHeight="1">
      <c r="A116" s="10">
        <v>115.0</v>
      </c>
      <c r="B116" s="11"/>
      <c r="C116" s="22">
        <v>36928.0</v>
      </c>
      <c r="D116" s="12" t="s">
        <v>54</v>
      </c>
      <c r="E116" s="12" t="s">
        <v>155</v>
      </c>
      <c r="F116" s="13"/>
      <c r="G116" s="6" t="b">
        <v>1</v>
      </c>
      <c r="H116" s="6" t="b">
        <v>1</v>
      </c>
      <c r="I116" s="6" t="b">
        <v>1</v>
      </c>
      <c r="J116" s="6" t="b">
        <v>0</v>
      </c>
      <c r="K116" s="6" t="b">
        <v>0</v>
      </c>
      <c r="L116" s="6" t="b">
        <v>0</v>
      </c>
      <c r="M116" s="6" t="b">
        <v>0</v>
      </c>
      <c r="N116" s="6" t="b">
        <v>0</v>
      </c>
      <c r="O116" s="6" t="b">
        <v>0</v>
      </c>
      <c r="P116" s="6" t="b">
        <v>0</v>
      </c>
      <c r="Q116" s="6" t="b">
        <v>0</v>
      </c>
      <c r="R116" s="6" t="b">
        <v>0</v>
      </c>
      <c r="S116" s="6" t="b">
        <v>0</v>
      </c>
      <c r="T116" s="6" t="b">
        <v>0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1</v>
      </c>
      <c r="AJ116" s="6" t="b">
        <v>0</v>
      </c>
      <c r="AK116" s="6" t="b">
        <v>0</v>
      </c>
      <c r="AL116" s="9" t="str">
        <f t="shared" si="1"/>
        <v>4 dari 31 (13%)</v>
      </c>
    </row>
    <row r="117" ht="22.5" customHeight="1">
      <c r="A117" s="10">
        <v>116.0</v>
      </c>
      <c r="B117" s="11"/>
      <c r="C117" s="22">
        <v>61286.0</v>
      </c>
      <c r="D117" s="12" t="s">
        <v>63</v>
      </c>
      <c r="E117" s="12" t="s">
        <v>58</v>
      </c>
      <c r="F117" s="13"/>
      <c r="G117" s="6" t="b">
        <v>1</v>
      </c>
      <c r="H117" s="6" t="b">
        <v>1</v>
      </c>
      <c r="I117" s="6" t="b">
        <v>1</v>
      </c>
      <c r="J117" s="6" t="b">
        <v>1</v>
      </c>
      <c r="K117" s="6" t="b">
        <v>1</v>
      </c>
      <c r="L117" s="6" t="b">
        <v>1</v>
      </c>
      <c r="M117" s="6" t="b">
        <v>1</v>
      </c>
      <c r="N117" s="6" t="b">
        <v>1</v>
      </c>
      <c r="O117" s="6" t="b">
        <v>1</v>
      </c>
      <c r="P117" s="6" t="b">
        <v>1</v>
      </c>
      <c r="Q117" s="6" t="b">
        <v>1</v>
      </c>
      <c r="R117" s="6" t="b">
        <v>1</v>
      </c>
      <c r="S117" s="6" t="b">
        <v>1</v>
      </c>
      <c r="T117" s="6" t="b">
        <v>0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1</v>
      </c>
      <c r="AJ117" s="6" t="b">
        <v>1</v>
      </c>
      <c r="AK117" s="6" t="b">
        <v>0</v>
      </c>
      <c r="AL117" s="17" t="str">
        <f t="shared" si="1"/>
        <v>15 dari 31 (48%)</v>
      </c>
    </row>
    <row r="118" ht="22.5" customHeight="1">
      <c r="A118" s="2">
        <v>117.0</v>
      </c>
      <c r="B118" s="11"/>
      <c r="C118" s="22">
        <v>59762.0</v>
      </c>
      <c r="D118" s="12" t="s">
        <v>63</v>
      </c>
      <c r="E118" s="12" t="s">
        <v>58</v>
      </c>
      <c r="F118" s="13"/>
      <c r="G118" s="6" t="b">
        <v>1</v>
      </c>
      <c r="H118" s="6" t="b">
        <v>1</v>
      </c>
      <c r="I118" s="6" t="b">
        <v>1</v>
      </c>
      <c r="J118" s="6" t="b">
        <v>1</v>
      </c>
      <c r="K118" s="6" t="b">
        <v>1</v>
      </c>
      <c r="L118" s="6" t="b">
        <v>1</v>
      </c>
      <c r="M118" s="6" t="b">
        <v>1</v>
      </c>
      <c r="N118" s="6" t="b">
        <v>1</v>
      </c>
      <c r="O118" s="6" t="b">
        <v>1</v>
      </c>
      <c r="P118" s="6" t="b">
        <v>1</v>
      </c>
      <c r="Q118" s="6" t="b">
        <v>1</v>
      </c>
      <c r="R118" s="6" t="b">
        <v>1</v>
      </c>
      <c r="S118" s="6" t="b">
        <v>1</v>
      </c>
      <c r="T118" s="6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1</v>
      </c>
      <c r="AJ118" s="6" t="b">
        <v>0</v>
      </c>
      <c r="AK118" s="6" t="b">
        <v>0</v>
      </c>
      <c r="AL118" s="9" t="str">
        <f t="shared" si="1"/>
        <v>14 dari 31 (45%)</v>
      </c>
    </row>
    <row r="119" ht="22.5" customHeight="1">
      <c r="A119" s="10">
        <v>118.0</v>
      </c>
      <c r="B119" s="11"/>
      <c r="C119" s="22">
        <v>59084.0</v>
      </c>
      <c r="D119" s="12" t="s">
        <v>63</v>
      </c>
      <c r="E119" s="12" t="s">
        <v>58</v>
      </c>
      <c r="F119" s="13"/>
      <c r="G119" s="6" t="b">
        <v>1</v>
      </c>
      <c r="H119" s="6" t="b">
        <v>1</v>
      </c>
      <c r="I119" s="6" t="b">
        <v>0</v>
      </c>
      <c r="J119" s="6" t="b">
        <v>1</v>
      </c>
      <c r="K119" s="6" t="b">
        <v>1</v>
      </c>
      <c r="L119" s="6" t="b">
        <v>1</v>
      </c>
      <c r="M119" s="6" t="b">
        <v>1</v>
      </c>
      <c r="N119" s="6" t="b">
        <v>1</v>
      </c>
      <c r="O119" s="6" t="b">
        <v>1</v>
      </c>
      <c r="P119" s="6" t="b">
        <v>1</v>
      </c>
      <c r="Q119" s="6" t="b">
        <v>1</v>
      </c>
      <c r="R119" s="6" t="b">
        <v>1</v>
      </c>
      <c r="S119" s="6" t="b">
        <v>1</v>
      </c>
      <c r="T119" s="6" t="b">
        <v>0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0</v>
      </c>
      <c r="AA119" s="6" t="b">
        <v>0</v>
      </c>
      <c r="AB119" s="6" t="b">
        <v>0</v>
      </c>
      <c r="AC119" s="6" t="b">
        <v>0</v>
      </c>
      <c r="AD119" s="6" t="b">
        <v>0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0</v>
      </c>
      <c r="AJ119" s="6" t="b">
        <v>0</v>
      </c>
      <c r="AK119" s="6" t="b">
        <v>0</v>
      </c>
      <c r="AL119" s="9" t="str">
        <f t="shared" si="1"/>
        <v>12 dari 31 (39%)</v>
      </c>
    </row>
    <row r="120" ht="22.5" customHeight="1">
      <c r="A120" s="10">
        <v>119.0</v>
      </c>
      <c r="B120" s="11"/>
      <c r="C120" s="65">
        <v>54371.0</v>
      </c>
      <c r="D120" s="12" t="s">
        <v>63</v>
      </c>
      <c r="E120" s="12" t="s">
        <v>58</v>
      </c>
      <c r="F120" s="13"/>
      <c r="G120" s="6" t="b">
        <v>1</v>
      </c>
      <c r="H120" s="6" t="b">
        <v>1</v>
      </c>
      <c r="I120" s="6" t="b">
        <v>1</v>
      </c>
      <c r="J120" s="6" t="b">
        <v>1</v>
      </c>
      <c r="K120" s="6" t="b">
        <v>1</v>
      </c>
      <c r="L120" s="6" t="b">
        <v>1</v>
      </c>
      <c r="M120" s="6" t="b">
        <v>1</v>
      </c>
      <c r="N120" s="6" t="b">
        <v>1</v>
      </c>
      <c r="O120" s="6" t="b">
        <v>1</v>
      </c>
      <c r="P120" s="6" t="b">
        <v>1</v>
      </c>
      <c r="Q120" s="6" t="b">
        <v>1</v>
      </c>
      <c r="R120" s="6" t="b">
        <v>1</v>
      </c>
      <c r="S120" s="6" t="b">
        <v>1</v>
      </c>
      <c r="T120" s="6" t="b">
        <v>0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1</v>
      </c>
      <c r="AJ120" s="6" t="b">
        <v>0</v>
      </c>
      <c r="AK120" s="6" t="b">
        <v>0</v>
      </c>
      <c r="AL120" s="17" t="str">
        <f t="shared" si="1"/>
        <v>14 dari 31 (45%)</v>
      </c>
    </row>
    <row r="121" ht="22.5" customHeight="1">
      <c r="A121" s="2">
        <v>120.0</v>
      </c>
      <c r="B121" s="11"/>
      <c r="C121" s="22">
        <v>61286.0</v>
      </c>
      <c r="D121" s="12" t="s">
        <v>63</v>
      </c>
      <c r="E121" s="12" t="s">
        <v>58</v>
      </c>
      <c r="F121" s="15" t="s">
        <v>50</v>
      </c>
      <c r="G121" s="6" t="b">
        <v>1</v>
      </c>
      <c r="H121" s="6" t="b">
        <v>0</v>
      </c>
      <c r="I121" s="6" t="b">
        <v>0</v>
      </c>
      <c r="J121" s="6" t="b">
        <v>0</v>
      </c>
      <c r="K121" s="6" t="b">
        <v>0</v>
      </c>
      <c r="L121" s="6" t="b">
        <v>0</v>
      </c>
      <c r="M121" s="6" t="b">
        <v>0</v>
      </c>
      <c r="N121" s="6" t="b">
        <v>0</v>
      </c>
      <c r="O121" s="6" t="b">
        <v>0</v>
      </c>
      <c r="P121" s="6" t="b">
        <v>0</v>
      </c>
      <c r="Q121" s="6" t="b">
        <v>0</v>
      </c>
      <c r="R121" s="6" t="b">
        <v>0</v>
      </c>
      <c r="S121" s="6" t="b">
        <v>0</v>
      </c>
      <c r="T121" s="6" t="b">
        <v>0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0</v>
      </c>
      <c r="AJ121" s="6" t="b">
        <v>0</v>
      </c>
      <c r="AK121" s="6" t="b">
        <v>0</v>
      </c>
      <c r="AL121" s="9" t="str">
        <f t="shared" si="1"/>
        <v>1 dari 31 (3%)</v>
      </c>
    </row>
    <row r="122" ht="22.5" customHeight="1">
      <c r="A122" s="10">
        <v>121.0</v>
      </c>
      <c r="B122" s="11"/>
      <c r="C122" s="20">
        <v>52436.0</v>
      </c>
      <c r="D122" s="12" t="s">
        <v>63</v>
      </c>
      <c r="E122" s="12" t="s">
        <v>58</v>
      </c>
      <c r="F122" s="13"/>
      <c r="G122" s="6" t="b">
        <v>1</v>
      </c>
      <c r="H122" s="6" t="b">
        <v>1</v>
      </c>
      <c r="I122" s="6" t="b">
        <v>0</v>
      </c>
      <c r="J122" s="6" t="b">
        <v>1</v>
      </c>
      <c r="K122" s="6" t="b">
        <v>1</v>
      </c>
      <c r="L122" s="6" t="b">
        <v>1</v>
      </c>
      <c r="M122" s="6" t="b">
        <v>1</v>
      </c>
      <c r="N122" s="6" t="b">
        <v>1</v>
      </c>
      <c r="O122" s="6" t="b">
        <v>1</v>
      </c>
      <c r="P122" s="6" t="b">
        <v>1</v>
      </c>
      <c r="Q122" s="6" t="b">
        <v>1</v>
      </c>
      <c r="R122" s="6" t="b">
        <v>1</v>
      </c>
      <c r="S122" s="6" t="b">
        <v>1</v>
      </c>
      <c r="T122" s="6" t="b">
        <v>0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0</v>
      </c>
      <c r="AJ122" s="6" t="b">
        <v>0</v>
      </c>
      <c r="AK122" s="6" t="b">
        <v>0</v>
      </c>
      <c r="AL122" s="9" t="str">
        <f t="shared" si="1"/>
        <v>12 dari 31 (39%)</v>
      </c>
    </row>
    <row r="123" ht="22.5" customHeight="1">
      <c r="A123" s="10">
        <v>122.0</v>
      </c>
      <c r="B123" s="11"/>
      <c r="C123" s="20">
        <v>60218.0</v>
      </c>
      <c r="D123" s="12" t="s">
        <v>63</v>
      </c>
      <c r="E123" s="12" t="s">
        <v>58</v>
      </c>
      <c r="F123" s="13"/>
      <c r="G123" s="6" t="b">
        <v>1</v>
      </c>
      <c r="H123" s="6" t="b">
        <v>1</v>
      </c>
      <c r="I123" s="6" t="b">
        <v>0</v>
      </c>
      <c r="J123" s="6" t="b">
        <v>1</v>
      </c>
      <c r="K123" s="6" t="b">
        <v>1</v>
      </c>
      <c r="L123" s="6" t="b">
        <v>1</v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1</v>
      </c>
      <c r="S123" s="6" t="b">
        <v>1</v>
      </c>
      <c r="T123" s="6" t="b">
        <v>0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0</v>
      </c>
      <c r="AJ123" s="6" t="b">
        <v>0</v>
      </c>
      <c r="AK123" s="6" t="b">
        <v>0</v>
      </c>
      <c r="AL123" s="17" t="str">
        <f t="shared" si="1"/>
        <v>12 dari 31 (39%)</v>
      </c>
    </row>
    <row r="124" ht="22.5" customHeight="1">
      <c r="A124" s="2">
        <v>123.0</v>
      </c>
      <c r="B124" s="11"/>
      <c r="C124" s="20">
        <v>50440.0</v>
      </c>
      <c r="D124" s="12" t="s">
        <v>63</v>
      </c>
      <c r="E124" s="12" t="s">
        <v>58</v>
      </c>
      <c r="F124" s="13"/>
      <c r="G124" s="6" t="b">
        <v>1</v>
      </c>
      <c r="H124" s="6" t="b">
        <v>1</v>
      </c>
      <c r="I124" s="6" t="b">
        <v>1</v>
      </c>
      <c r="J124" s="6" t="b">
        <v>1</v>
      </c>
      <c r="K124" s="6" t="b">
        <v>1</v>
      </c>
      <c r="L124" s="6" t="b">
        <v>1</v>
      </c>
      <c r="M124" s="6" t="b">
        <v>1</v>
      </c>
      <c r="N124" s="6" t="b">
        <v>1</v>
      </c>
      <c r="O124" s="6" t="b">
        <v>1</v>
      </c>
      <c r="P124" s="6" t="b">
        <v>1</v>
      </c>
      <c r="Q124" s="6" t="b">
        <v>1</v>
      </c>
      <c r="R124" s="6" t="b">
        <v>1</v>
      </c>
      <c r="S124" s="6" t="b">
        <v>1</v>
      </c>
      <c r="T124" s="6" t="b">
        <v>0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1</v>
      </c>
      <c r="AJ124" s="6" t="b">
        <v>0</v>
      </c>
      <c r="AK124" s="6" t="b">
        <v>0</v>
      </c>
      <c r="AL124" s="9" t="str">
        <f t="shared" si="1"/>
        <v>14 dari 31 (45%)</v>
      </c>
    </row>
    <row r="125" ht="22.5" customHeight="1">
      <c r="A125" s="10">
        <v>124.0</v>
      </c>
      <c r="B125" s="11"/>
      <c r="C125" s="20">
        <v>58474.0</v>
      </c>
      <c r="D125" s="12" t="s">
        <v>63</v>
      </c>
      <c r="E125" s="12" t="s">
        <v>58</v>
      </c>
      <c r="F125" s="13"/>
      <c r="G125" s="6" t="b">
        <v>1</v>
      </c>
      <c r="H125" s="6" t="b">
        <v>1</v>
      </c>
      <c r="I125" s="6" t="b">
        <v>0</v>
      </c>
      <c r="J125" s="6" t="b">
        <v>1</v>
      </c>
      <c r="K125" s="6" t="b">
        <v>1</v>
      </c>
      <c r="L125" s="6" t="b">
        <v>1</v>
      </c>
      <c r="M125" s="6" t="b">
        <v>1</v>
      </c>
      <c r="N125" s="6" t="b">
        <v>1</v>
      </c>
      <c r="O125" s="6" t="b">
        <v>1</v>
      </c>
      <c r="P125" s="6" t="b">
        <v>1</v>
      </c>
      <c r="Q125" s="6" t="b">
        <v>1</v>
      </c>
      <c r="R125" s="6" t="b">
        <v>1</v>
      </c>
      <c r="S125" s="6" t="b">
        <v>1</v>
      </c>
      <c r="T125" s="6" t="b">
        <v>0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1</v>
      </c>
      <c r="AA125" s="6" t="b">
        <v>1</v>
      </c>
      <c r="AB125" s="6" t="b">
        <v>1</v>
      </c>
      <c r="AC125" s="6" t="b">
        <v>1</v>
      </c>
      <c r="AD125" s="6" t="b">
        <v>1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0</v>
      </c>
      <c r="AJ125" s="6" t="b">
        <v>0</v>
      </c>
      <c r="AK125" s="6" t="b">
        <v>0</v>
      </c>
      <c r="AL125" s="9" t="str">
        <f t="shared" si="1"/>
        <v>17 dari 31 (55%)</v>
      </c>
    </row>
    <row r="126" ht="22.5" customHeight="1">
      <c r="A126" s="10">
        <v>125.0</v>
      </c>
      <c r="B126" s="11"/>
      <c r="C126" s="20">
        <v>60844.0</v>
      </c>
      <c r="D126" s="12" t="s">
        <v>63</v>
      </c>
      <c r="E126" s="12" t="s">
        <v>58</v>
      </c>
      <c r="F126" s="13"/>
      <c r="G126" s="6" t="b">
        <v>1</v>
      </c>
      <c r="H126" s="6" t="b">
        <v>1</v>
      </c>
      <c r="I126" s="6" t="b">
        <v>1</v>
      </c>
      <c r="J126" s="6" t="b">
        <v>1</v>
      </c>
      <c r="K126" s="6" t="b">
        <v>1</v>
      </c>
      <c r="L126" s="6" t="b">
        <v>1</v>
      </c>
      <c r="M126" s="6" t="b">
        <v>1</v>
      </c>
      <c r="N126" s="6" t="b">
        <v>1</v>
      </c>
      <c r="O126" s="6" t="b">
        <v>1</v>
      </c>
      <c r="P126" s="6" t="b">
        <v>1</v>
      </c>
      <c r="Q126" s="6" t="b">
        <v>1</v>
      </c>
      <c r="R126" s="6" t="b">
        <v>1</v>
      </c>
      <c r="S126" s="6" t="b">
        <v>1</v>
      </c>
      <c r="T126" s="6" t="b">
        <v>0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1</v>
      </c>
      <c r="AJ126" s="6" t="b">
        <v>0</v>
      </c>
      <c r="AK126" s="6" t="b">
        <v>0</v>
      </c>
      <c r="AL126" s="17" t="str">
        <f t="shared" si="1"/>
        <v>14 dari 31 (45%)</v>
      </c>
    </row>
    <row r="127" ht="22.5" customHeight="1">
      <c r="A127" s="2">
        <v>126.0</v>
      </c>
      <c r="B127" s="11"/>
      <c r="C127" s="22">
        <v>19935.0</v>
      </c>
      <c r="D127" s="12" t="s">
        <v>63</v>
      </c>
      <c r="E127" s="12" t="s">
        <v>58</v>
      </c>
      <c r="F127" s="13"/>
      <c r="G127" s="6" t="b">
        <v>1</v>
      </c>
      <c r="H127" s="6" t="b">
        <v>1</v>
      </c>
      <c r="I127" s="6" t="b">
        <v>1</v>
      </c>
      <c r="J127" s="6" t="b">
        <v>1</v>
      </c>
      <c r="K127" s="6" t="b">
        <v>1</v>
      </c>
      <c r="L127" s="6" t="b">
        <v>1</v>
      </c>
      <c r="M127" s="6" t="b">
        <v>1</v>
      </c>
      <c r="N127" s="6" t="b">
        <v>1</v>
      </c>
      <c r="O127" s="6" t="b">
        <v>1</v>
      </c>
      <c r="P127" s="6" t="b">
        <v>1</v>
      </c>
      <c r="Q127" s="6" t="b">
        <v>1</v>
      </c>
      <c r="R127" s="6" t="b">
        <v>1</v>
      </c>
      <c r="S127" s="6" t="b">
        <v>1</v>
      </c>
      <c r="T127" s="6" t="b">
        <v>0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1</v>
      </c>
      <c r="AJ127" s="6" t="b">
        <v>0</v>
      </c>
      <c r="AK127" s="6" t="b">
        <v>0</v>
      </c>
      <c r="AL127" s="9" t="str">
        <f t="shared" si="1"/>
        <v>14 dari 31 (45%)</v>
      </c>
    </row>
    <row r="128" ht="22.5" customHeight="1">
      <c r="A128" s="10">
        <v>127.0</v>
      </c>
      <c r="B128" s="11"/>
      <c r="C128" s="22">
        <v>57762.0</v>
      </c>
      <c r="D128" s="56" t="s">
        <v>63</v>
      </c>
      <c r="E128" s="56" t="s">
        <v>58</v>
      </c>
      <c r="F128" s="57"/>
      <c r="G128" s="6" t="b">
        <v>1</v>
      </c>
      <c r="H128" s="6" t="b">
        <v>1</v>
      </c>
      <c r="I128" s="6" t="b">
        <v>0</v>
      </c>
      <c r="J128" s="6" t="b">
        <v>1</v>
      </c>
      <c r="K128" s="6" t="b">
        <v>1</v>
      </c>
      <c r="L128" s="6" t="b">
        <v>1</v>
      </c>
      <c r="M128" s="6" t="b">
        <v>1</v>
      </c>
      <c r="N128" s="6" t="b">
        <v>1</v>
      </c>
      <c r="O128" s="6" t="b">
        <v>1</v>
      </c>
      <c r="P128" s="6" t="b">
        <v>1</v>
      </c>
      <c r="Q128" s="6" t="b">
        <v>1</v>
      </c>
      <c r="R128" s="6" t="b">
        <v>1</v>
      </c>
      <c r="S128" s="6" t="b">
        <v>1</v>
      </c>
      <c r="T128" s="6" t="b">
        <v>0</v>
      </c>
      <c r="U128" s="6" t="b">
        <v>0</v>
      </c>
      <c r="V128" s="6" t="b">
        <v>0</v>
      </c>
      <c r="W128" s="6" t="b">
        <v>0</v>
      </c>
      <c r="X128" s="6" t="b">
        <v>0</v>
      </c>
      <c r="Y128" s="6" t="b">
        <v>0</v>
      </c>
      <c r="Z128" s="6" t="b">
        <v>0</v>
      </c>
      <c r="AA128" s="6" t="b">
        <v>0</v>
      </c>
      <c r="AB128" s="6" t="b">
        <v>0</v>
      </c>
      <c r="AC128" s="6" t="b">
        <v>0</v>
      </c>
      <c r="AD128" s="6" t="b">
        <v>0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0</v>
      </c>
      <c r="AJ128" s="6" t="b">
        <v>0</v>
      </c>
      <c r="AK128" s="6" t="b">
        <v>0</v>
      </c>
      <c r="AL128" s="9" t="str">
        <f t="shared" si="1"/>
        <v>12 dari 31 (39%)</v>
      </c>
    </row>
    <row r="129" ht="22.5" customHeight="1">
      <c r="A129" s="10">
        <v>128.0</v>
      </c>
      <c r="B129" s="11"/>
      <c r="C129" s="22">
        <v>59414.0</v>
      </c>
      <c r="D129" s="12" t="s">
        <v>63</v>
      </c>
      <c r="E129" s="12" t="s">
        <v>58</v>
      </c>
      <c r="F129" s="13"/>
      <c r="G129" s="6" t="b">
        <v>1</v>
      </c>
      <c r="H129" s="6" t="b">
        <v>1</v>
      </c>
      <c r="I129" s="6" t="b">
        <v>0</v>
      </c>
      <c r="J129" s="6" t="b">
        <v>1</v>
      </c>
      <c r="K129" s="6" t="b">
        <v>1</v>
      </c>
      <c r="L129" s="6" t="b">
        <v>1</v>
      </c>
      <c r="M129" s="6" t="b">
        <v>1</v>
      </c>
      <c r="N129" s="6" t="b">
        <v>1</v>
      </c>
      <c r="O129" s="6" t="b">
        <v>1</v>
      </c>
      <c r="P129" s="6" t="b">
        <v>1</v>
      </c>
      <c r="Q129" s="6" t="b">
        <v>1</v>
      </c>
      <c r="R129" s="6" t="b">
        <v>1</v>
      </c>
      <c r="S129" s="6" t="b">
        <v>1</v>
      </c>
      <c r="T129" s="6" t="b">
        <v>0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0</v>
      </c>
      <c r="AJ129" s="6" t="b">
        <v>0</v>
      </c>
      <c r="AK129" s="6" t="b">
        <v>0</v>
      </c>
      <c r="AL129" s="17" t="str">
        <f t="shared" si="1"/>
        <v>12 dari 31 (39%)</v>
      </c>
    </row>
    <row r="130" ht="22.5" customHeight="1">
      <c r="A130" s="2">
        <v>129.0</v>
      </c>
      <c r="B130" s="11"/>
      <c r="C130" s="22">
        <v>59784.0</v>
      </c>
      <c r="D130" s="12" t="s">
        <v>63</v>
      </c>
      <c r="E130" s="12" t="s">
        <v>58</v>
      </c>
      <c r="F130" s="13"/>
      <c r="G130" s="6" t="b">
        <v>1</v>
      </c>
      <c r="H130" s="6" t="b">
        <v>1</v>
      </c>
      <c r="I130" s="6" t="b">
        <v>1</v>
      </c>
      <c r="J130" s="6" t="b">
        <v>1</v>
      </c>
      <c r="K130" s="6" t="b">
        <v>1</v>
      </c>
      <c r="L130" s="6" t="b">
        <v>1</v>
      </c>
      <c r="M130" s="6" t="b">
        <v>1</v>
      </c>
      <c r="N130" s="6" t="b">
        <v>1</v>
      </c>
      <c r="O130" s="6" t="b">
        <v>1</v>
      </c>
      <c r="P130" s="6" t="b">
        <v>1</v>
      </c>
      <c r="Q130" s="6" t="b">
        <v>1</v>
      </c>
      <c r="R130" s="6" t="b">
        <v>1</v>
      </c>
      <c r="S130" s="6" t="b">
        <v>1</v>
      </c>
      <c r="T130" s="6" t="b">
        <v>0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1</v>
      </c>
      <c r="AJ130" s="6" t="b">
        <v>0</v>
      </c>
      <c r="AK130" s="6" t="b">
        <v>0</v>
      </c>
      <c r="AL130" s="9" t="str">
        <f t="shared" si="1"/>
        <v>14 dari 31 (45%)</v>
      </c>
    </row>
    <row r="131" ht="22.5" customHeight="1">
      <c r="A131" s="10">
        <v>130.0</v>
      </c>
      <c r="B131" s="11"/>
      <c r="C131" s="22">
        <v>59710.0</v>
      </c>
      <c r="D131" s="12" t="s">
        <v>63</v>
      </c>
      <c r="E131" s="12" t="s">
        <v>58</v>
      </c>
      <c r="F131" s="13"/>
      <c r="G131" s="6" t="b">
        <v>1</v>
      </c>
      <c r="H131" s="6" t="b">
        <v>1</v>
      </c>
      <c r="I131" s="6" t="b">
        <v>1</v>
      </c>
      <c r="J131" s="6" t="b">
        <v>1</v>
      </c>
      <c r="K131" s="6" t="b">
        <v>1</v>
      </c>
      <c r="L131" s="6" t="b">
        <v>1</v>
      </c>
      <c r="M131" s="6" t="b">
        <v>1</v>
      </c>
      <c r="N131" s="6" t="b">
        <v>1</v>
      </c>
      <c r="O131" s="6" t="b">
        <v>1</v>
      </c>
      <c r="P131" s="6" t="b">
        <v>1</v>
      </c>
      <c r="Q131" s="6" t="b">
        <v>1</v>
      </c>
      <c r="R131" s="6" t="b">
        <v>1</v>
      </c>
      <c r="S131" s="6" t="b">
        <v>1</v>
      </c>
      <c r="T131" s="6" t="b">
        <v>0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1</v>
      </c>
      <c r="AJ131" s="6" t="b">
        <v>0</v>
      </c>
      <c r="AK131" s="6" t="b">
        <v>0</v>
      </c>
      <c r="AL131" s="9" t="str">
        <f t="shared" si="1"/>
        <v>14 dari 31 (45%)</v>
      </c>
    </row>
    <row r="132" ht="22.5" customHeight="1">
      <c r="A132" s="10">
        <v>131.0</v>
      </c>
      <c r="B132" s="11"/>
      <c r="C132" s="20">
        <v>60633.0</v>
      </c>
      <c r="D132" s="12" t="s">
        <v>63</v>
      </c>
      <c r="E132" s="12" t="s">
        <v>58</v>
      </c>
      <c r="F132" s="13"/>
      <c r="G132" s="6" t="b">
        <v>1</v>
      </c>
      <c r="H132" s="6" t="b">
        <v>1</v>
      </c>
      <c r="I132" s="6" t="b">
        <v>1</v>
      </c>
      <c r="J132" s="6" t="b">
        <v>1</v>
      </c>
      <c r="K132" s="6" t="b">
        <v>1</v>
      </c>
      <c r="L132" s="6" t="b">
        <v>1</v>
      </c>
      <c r="M132" s="6" t="b">
        <v>1</v>
      </c>
      <c r="N132" s="6" t="b">
        <v>1</v>
      </c>
      <c r="O132" s="6" t="b">
        <v>1</v>
      </c>
      <c r="P132" s="6" t="b">
        <v>1</v>
      </c>
      <c r="Q132" s="6" t="b">
        <v>1</v>
      </c>
      <c r="R132" s="6" t="b">
        <v>1</v>
      </c>
      <c r="S132" s="6" t="b">
        <v>0</v>
      </c>
      <c r="T132" s="6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1</v>
      </c>
      <c r="AJ132" s="6" t="b">
        <v>0</v>
      </c>
      <c r="AK132" s="6" t="b">
        <v>0</v>
      </c>
      <c r="AL132" s="17" t="str">
        <f t="shared" si="1"/>
        <v>13 dari 31 (42%)</v>
      </c>
    </row>
    <row r="133" ht="22.5" customHeight="1">
      <c r="A133" s="2">
        <v>132.0</v>
      </c>
      <c r="B133" s="11"/>
      <c r="C133" s="20">
        <v>60337.0</v>
      </c>
      <c r="D133" s="12" t="s">
        <v>63</v>
      </c>
      <c r="E133" s="12" t="s">
        <v>58</v>
      </c>
      <c r="F133" s="13"/>
      <c r="G133" s="6" t="b">
        <v>1</v>
      </c>
      <c r="H133" s="6" t="b">
        <v>1</v>
      </c>
      <c r="I133" s="6" t="b">
        <v>1</v>
      </c>
      <c r="J133" s="6" t="b">
        <v>1</v>
      </c>
      <c r="K133" s="6" t="b">
        <v>1</v>
      </c>
      <c r="L133" s="6" t="b">
        <v>1</v>
      </c>
      <c r="M133" s="6" t="b">
        <v>1</v>
      </c>
      <c r="N133" s="6" t="b">
        <v>1</v>
      </c>
      <c r="O133" s="6" t="b">
        <v>1</v>
      </c>
      <c r="P133" s="6" t="b">
        <v>1</v>
      </c>
      <c r="Q133" s="6" t="b">
        <v>1</v>
      </c>
      <c r="R133" s="6" t="b">
        <v>1</v>
      </c>
      <c r="S133" s="6" t="b">
        <v>1</v>
      </c>
      <c r="T133" s="6" t="b">
        <v>0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1</v>
      </c>
      <c r="AJ133" s="6" t="b">
        <v>0</v>
      </c>
      <c r="AK133" s="6" t="b">
        <v>0</v>
      </c>
      <c r="AL133" s="9" t="str">
        <f t="shared" si="1"/>
        <v>14 dari 31 (45%)</v>
      </c>
    </row>
    <row r="134" ht="22.5" customHeight="1">
      <c r="A134" s="10">
        <v>133.0</v>
      </c>
      <c r="B134" s="11"/>
      <c r="C134" s="20">
        <v>61287.0</v>
      </c>
      <c r="D134" s="12" t="s">
        <v>63</v>
      </c>
      <c r="E134" s="12" t="s">
        <v>58</v>
      </c>
      <c r="F134" s="13"/>
      <c r="G134" s="6" t="b">
        <v>1</v>
      </c>
      <c r="H134" s="6" t="b">
        <v>1</v>
      </c>
      <c r="I134" s="6" t="b">
        <v>1</v>
      </c>
      <c r="J134" s="6" t="b">
        <v>1</v>
      </c>
      <c r="K134" s="6" t="b">
        <v>1</v>
      </c>
      <c r="L134" s="6" t="b">
        <v>1</v>
      </c>
      <c r="M134" s="6" t="b">
        <v>1</v>
      </c>
      <c r="N134" s="6" t="b">
        <v>1</v>
      </c>
      <c r="O134" s="6" t="b">
        <v>1</v>
      </c>
      <c r="P134" s="6" t="b">
        <v>1</v>
      </c>
      <c r="Q134" s="6" t="b">
        <v>1</v>
      </c>
      <c r="R134" s="6" t="b">
        <v>1</v>
      </c>
      <c r="S134" s="6" t="b">
        <v>0</v>
      </c>
      <c r="T134" s="6" t="b">
        <v>0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1</v>
      </c>
      <c r="AJ134" s="6" t="b">
        <v>0</v>
      </c>
      <c r="AK134" s="6" t="b">
        <v>0</v>
      </c>
      <c r="AL134" s="9" t="str">
        <f t="shared" si="1"/>
        <v>13 dari 31 (42%)</v>
      </c>
    </row>
    <row r="135" ht="22.5" customHeight="1">
      <c r="A135" s="10">
        <v>134.0</v>
      </c>
      <c r="B135" s="11"/>
      <c r="C135" s="20">
        <v>61291.0</v>
      </c>
      <c r="D135" s="12" t="s">
        <v>63</v>
      </c>
      <c r="E135" s="12" t="s">
        <v>58</v>
      </c>
      <c r="F135" s="15" t="s">
        <v>50</v>
      </c>
      <c r="G135" s="6" t="b">
        <v>1</v>
      </c>
      <c r="H135" s="6" t="b">
        <v>0</v>
      </c>
      <c r="I135" s="6" t="b">
        <v>0</v>
      </c>
      <c r="J135" s="6" t="b">
        <v>1</v>
      </c>
      <c r="K135" s="6" t="b">
        <v>1</v>
      </c>
      <c r="L135" s="6" t="b">
        <v>1</v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1</v>
      </c>
      <c r="S135" s="6" t="b">
        <v>0</v>
      </c>
      <c r="T135" s="6" t="b">
        <v>0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1</v>
      </c>
      <c r="AJ135" s="6" t="b">
        <v>0</v>
      </c>
      <c r="AK135" s="6" t="b">
        <v>0</v>
      </c>
      <c r="AL135" s="17" t="str">
        <f t="shared" si="1"/>
        <v>11 dari 31 (35%)</v>
      </c>
    </row>
    <row r="136" ht="22.5" customHeight="1">
      <c r="A136" s="2">
        <v>135.0</v>
      </c>
      <c r="B136" s="11"/>
      <c r="C136" s="20">
        <v>51012.0</v>
      </c>
      <c r="D136" s="12" t="s">
        <v>54</v>
      </c>
      <c r="E136" s="12" t="s">
        <v>171</v>
      </c>
      <c r="F136" s="13"/>
      <c r="G136" s="6" t="b">
        <v>1</v>
      </c>
      <c r="H136" s="6" t="b">
        <v>1</v>
      </c>
      <c r="I136" s="6" t="b">
        <v>0</v>
      </c>
      <c r="J136" s="6" t="b">
        <v>1</v>
      </c>
      <c r="K136" s="6" t="b">
        <v>1</v>
      </c>
      <c r="L136" s="6" t="b">
        <v>1</v>
      </c>
      <c r="M136" s="6" t="b">
        <v>1</v>
      </c>
      <c r="N136" s="6" t="b">
        <v>1</v>
      </c>
      <c r="O136" s="6" t="b">
        <v>1</v>
      </c>
      <c r="P136" s="6" t="b">
        <v>1</v>
      </c>
      <c r="Q136" s="6" t="b">
        <v>1</v>
      </c>
      <c r="R136" s="6" t="b">
        <v>1</v>
      </c>
      <c r="S136" s="6" t="b">
        <v>0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0</v>
      </c>
      <c r="AJ136" s="6" t="b">
        <v>0</v>
      </c>
      <c r="AK136" s="6" t="b">
        <v>0</v>
      </c>
      <c r="AL136" s="9" t="str">
        <f t="shared" si="1"/>
        <v>11 dari 31 (35%)</v>
      </c>
    </row>
    <row r="137" ht="22.5" customHeight="1">
      <c r="A137" s="10">
        <v>136.0</v>
      </c>
      <c r="B137" s="11"/>
      <c r="C137" s="22">
        <v>45933.0</v>
      </c>
      <c r="D137" s="12" t="s">
        <v>54</v>
      </c>
      <c r="E137" s="12" t="s">
        <v>155</v>
      </c>
      <c r="F137" s="13"/>
      <c r="G137" s="6" t="b">
        <v>1</v>
      </c>
      <c r="H137" s="6" t="b">
        <v>1</v>
      </c>
      <c r="I137" s="6" t="b">
        <v>0</v>
      </c>
      <c r="J137" s="6" t="b">
        <v>1</v>
      </c>
      <c r="K137" s="6" t="b">
        <v>1</v>
      </c>
      <c r="L137" s="6" t="b">
        <v>1</v>
      </c>
      <c r="M137" s="6" t="b">
        <v>1</v>
      </c>
      <c r="N137" s="6" t="b">
        <v>1</v>
      </c>
      <c r="O137" s="6" t="b">
        <v>1</v>
      </c>
      <c r="P137" s="6" t="b">
        <v>1</v>
      </c>
      <c r="Q137" s="6" t="b">
        <v>1</v>
      </c>
      <c r="R137" s="6" t="b">
        <v>1</v>
      </c>
      <c r="S137" s="6" t="b">
        <v>0</v>
      </c>
      <c r="T137" s="6" t="b">
        <v>0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0</v>
      </c>
      <c r="AJ137" s="6" t="b">
        <v>0</v>
      </c>
      <c r="AK137" s="6" t="b">
        <v>0</v>
      </c>
      <c r="AL137" s="9" t="str">
        <f t="shared" si="1"/>
        <v>11 dari 31 (35%)</v>
      </c>
    </row>
    <row r="138" ht="22.5" customHeight="1">
      <c r="A138" s="10">
        <v>137.0</v>
      </c>
      <c r="B138" s="11"/>
      <c r="C138" s="22">
        <v>61289.0</v>
      </c>
      <c r="D138" s="12" t="s">
        <v>63</v>
      </c>
      <c r="E138" s="12" t="s">
        <v>58</v>
      </c>
      <c r="F138" s="13"/>
      <c r="G138" s="6" t="b">
        <v>1</v>
      </c>
      <c r="H138" s="6" t="b">
        <v>1</v>
      </c>
      <c r="I138" s="6" t="b">
        <v>0</v>
      </c>
      <c r="J138" s="6" t="b">
        <v>1</v>
      </c>
      <c r="K138" s="6" t="b">
        <v>1</v>
      </c>
      <c r="L138" s="6" t="b">
        <v>1</v>
      </c>
      <c r="M138" s="6" t="b">
        <v>1</v>
      </c>
      <c r="N138" s="6" t="b">
        <v>1</v>
      </c>
      <c r="O138" s="6" t="b">
        <v>1</v>
      </c>
      <c r="P138" s="6" t="b">
        <v>0</v>
      </c>
      <c r="Q138" s="6" t="b">
        <v>0</v>
      </c>
      <c r="R138" s="6" t="b">
        <v>0</v>
      </c>
      <c r="S138" s="6" t="b">
        <v>0</v>
      </c>
      <c r="T138" s="6" t="b">
        <v>0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0</v>
      </c>
      <c r="AJ138" s="6" t="b">
        <v>0</v>
      </c>
      <c r="AK138" s="6" t="b">
        <v>0</v>
      </c>
      <c r="AL138" s="17" t="str">
        <f t="shared" si="1"/>
        <v>8 dari 31 (26%)</v>
      </c>
    </row>
    <row r="139" ht="22.5" customHeight="1">
      <c r="A139" s="128">
        <v>138.0</v>
      </c>
      <c r="B139" s="94"/>
      <c r="C139" s="132">
        <v>60043.0</v>
      </c>
      <c r="D139" s="96" t="s">
        <v>63</v>
      </c>
      <c r="E139" s="96" t="s">
        <v>58</v>
      </c>
      <c r="F139" s="97"/>
      <c r="G139" s="130" t="b">
        <v>0</v>
      </c>
      <c r="H139" s="130" t="b">
        <v>0</v>
      </c>
      <c r="I139" s="130" t="b">
        <v>0</v>
      </c>
      <c r="J139" s="130" t="b">
        <v>0</v>
      </c>
      <c r="K139" s="130" t="b">
        <v>0</v>
      </c>
      <c r="L139" s="130" t="b">
        <v>0</v>
      </c>
      <c r="M139" s="130" t="b">
        <v>0</v>
      </c>
      <c r="N139" s="130" t="b">
        <v>0</v>
      </c>
      <c r="O139" s="130" t="b">
        <v>0</v>
      </c>
      <c r="P139" s="130" t="b">
        <v>0</v>
      </c>
      <c r="Q139" s="130" t="b">
        <v>0</v>
      </c>
      <c r="R139" s="130" t="b">
        <v>0</v>
      </c>
      <c r="S139" s="130" t="b">
        <v>0</v>
      </c>
      <c r="T139" s="130" t="b">
        <v>0</v>
      </c>
      <c r="U139" s="130" t="b">
        <v>0</v>
      </c>
      <c r="V139" s="130" t="b">
        <v>0</v>
      </c>
      <c r="W139" s="130" t="b">
        <v>0</v>
      </c>
      <c r="X139" s="130" t="b">
        <v>0</v>
      </c>
      <c r="Y139" s="130" t="b">
        <v>0</v>
      </c>
      <c r="Z139" s="130" t="b">
        <v>0</v>
      </c>
      <c r="AA139" s="130" t="b">
        <v>0</v>
      </c>
      <c r="AB139" s="130" t="b">
        <v>0</v>
      </c>
      <c r="AC139" s="130" t="b">
        <v>0</v>
      </c>
      <c r="AD139" s="130" t="b">
        <v>0</v>
      </c>
      <c r="AE139" s="130" t="b">
        <v>0</v>
      </c>
      <c r="AF139" s="130" t="b">
        <v>0</v>
      </c>
      <c r="AG139" s="130" t="b">
        <v>0</v>
      </c>
      <c r="AH139" s="130" t="b">
        <v>0</v>
      </c>
      <c r="AI139" s="130" t="b">
        <v>0</v>
      </c>
      <c r="AJ139" s="130" t="b">
        <v>0</v>
      </c>
      <c r="AK139" s="130" t="b">
        <v>0</v>
      </c>
      <c r="AL139" s="131" t="str">
        <f t="shared" si="1"/>
        <v>0 dari 31 (0%)</v>
      </c>
    </row>
    <row r="140" ht="22.5" customHeight="1">
      <c r="A140" s="93">
        <v>139.0</v>
      </c>
      <c r="B140" s="94"/>
      <c r="C140" s="132">
        <v>61292.0</v>
      </c>
      <c r="D140" s="96" t="s">
        <v>63</v>
      </c>
      <c r="E140" s="96" t="s">
        <v>58</v>
      </c>
      <c r="F140" s="97"/>
      <c r="G140" s="130" t="b">
        <v>0</v>
      </c>
      <c r="H140" s="130" t="b">
        <v>0</v>
      </c>
      <c r="I140" s="130" t="b">
        <v>0</v>
      </c>
      <c r="J140" s="130" t="b">
        <v>0</v>
      </c>
      <c r="K140" s="130" t="b">
        <v>0</v>
      </c>
      <c r="L140" s="130" t="b">
        <v>0</v>
      </c>
      <c r="M140" s="130" t="b">
        <v>0</v>
      </c>
      <c r="N140" s="130" t="b">
        <v>0</v>
      </c>
      <c r="O140" s="130" t="b">
        <v>0</v>
      </c>
      <c r="P140" s="130" t="b">
        <v>0</v>
      </c>
      <c r="Q140" s="130" t="b">
        <v>0</v>
      </c>
      <c r="R140" s="130" t="b">
        <v>0</v>
      </c>
      <c r="S140" s="130" t="b">
        <v>0</v>
      </c>
      <c r="T140" s="130" t="b">
        <v>0</v>
      </c>
      <c r="U140" s="130" t="b">
        <v>0</v>
      </c>
      <c r="V140" s="130" t="b">
        <v>0</v>
      </c>
      <c r="W140" s="130" t="b">
        <v>0</v>
      </c>
      <c r="X140" s="130" t="b">
        <v>0</v>
      </c>
      <c r="Y140" s="130" t="b">
        <v>0</v>
      </c>
      <c r="Z140" s="130" t="b">
        <v>0</v>
      </c>
      <c r="AA140" s="130" t="b">
        <v>0</v>
      </c>
      <c r="AB140" s="130" t="b">
        <v>0</v>
      </c>
      <c r="AC140" s="130" t="b">
        <v>0</v>
      </c>
      <c r="AD140" s="130" t="b">
        <v>0</v>
      </c>
      <c r="AE140" s="130" t="b">
        <v>0</v>
      </c>
      <c r="AF140" s="130" t="b">
        <v>0</v>
      </c>
      <c r="AG140" s="130" t="b">
        <v>0</v>
      </c>
      <c r="AH140" s="130" t="b">
        <v>0</v>
      </c>
      <c r="AI140" s="130" t="b">
        <v>0</v>
      </c>
      <c r="AJ140" s="130" t="b">
        <v>0</v>
      </c>
      <c r="AK140" s="130" t="b">
        <v>0</v>
      </c>
      <c r="AL140" s="131" t="str">
        <f t="shared" si="1"/>
        <v>0 dari 31 (0%)</v>
      </c>
    </row>
    <row r="141" ht="22.5" customHeight="1">
      <c r="A141" s="10">
        <v>140.0</v>
      </c>
      <c r="B141" s="11"/>
      <c r="C141" s="22">
        <v>61293.0</v>
      </c>
      <c r="D141" s="12" t="s">
        <v>54</v>
      </c>
      <c r="E141" s="12" t="s">
        <v>168</v>
      </c>
      <c r="F141" s="13"/>
      <c r="G141" s="6" t="b">
        <v>1</v>
      </c>
      <c r="H141" s="6" t="b">
        <v>1</v>
      </c>
      <c r="I141" s="6" t="b">
        <v>1</v>
      </c>
      <c r="J141" s="6" t="b">
        <v>0</v>
      </c>
      <c r="K141" s="6" t="b">
        <v>1</v>
      </c>
      <c r="L141" s="6" t="b">
        <v>1</v>
      </c>
      <c r="M141" s="6" t="b">
        <v>1</v>
      </c>
      <c r="N141" s="6" t="b">
        <v>1</v>
      </c>
      <c r="O141" s="6" t="b">
        <v>1</v>
      </c>
      <c r="P141" s="6" t="b">
        <v>1</v>
      </c>
      <c r="Q141" s="6" t="b">
        <v>1</v>
      </c>
      <c r="R141" s="6" t="b">
        <v>1</v>
      </c>
      <c r="S141" s="6" t="b">
        <v>0</v>
      </c>
      <c r="T141" s="6" t="b">
        <v>0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1</v>
      </c>
      <c r="AJ141" s="6" t="b">
        <v>0</v>
      </c>
      <c r="AK141" s="6" t="b">
        <v>0</v>
      </c>
      <c r="AL141" s="17" t="str">
        <f t="shared" si="1"/>
        <v>12 dari 31 (39%)</v>
      </c>
    </row>
    <row r="142" ht="22.5" customHeight="1">
      <c r="A142" s="2">
        <v>141.0</v>
      </c>
      <c r="B142" s="11"/>
      <c r="C142" s="20">
        <v>61294.0</v>
      </c>
      <c r="D142" s="12" t="s">
        <v>93</v>
      </c>
      <c r="E142" s="12" t="s">
        <v>172</v>
      </c>
      <c r="F142" s="13"/>
      <c r="G142" s="6" t="b">
        <v>1</v>
      </c>
      <c r="H142" s="6" t="b">
        <v>1</v>
      </c>
      <c r="I142" s="6" t="b">
        <v>0</v>
      </c>
      <c r="J142" s="6" t="b">
        <v>0</v>
      </c>
      <c r="K142" s="6" t="b">
        <v>0</v>
      </c>
      <c r="L142" s="6" t="b">
        <v>0</v>
      </c>
      <c r="M142" s="6" t="b">
        <v>0</v>
      </c>
      <c r="N142" s="6" t="b">
        <v>0</v>
      </c>
      <c r="O142" s="6" t="b">
        <v>0</v>
      </c>
      <c r="P142" s="6" t="b">
        <v>0</v>
      </c>
      <c r="Q142" s="6" t="b">
        <v>0</v>
      </c>
      <c r="R142" s="6" t="b">
        <v>0</v>
      </c>
      <c r="S142" s="6" t="b">
        <v>0</v>
      </c>
      <c r="T142" s="6" t="b">
        <v>0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0</v>
      </c>
      <c r="AJ142" s="6" t="b">
        <v>0</v>
      </c>
      <c r="AK142" s="6" t="b">
        <v>0</v>
      </c>
      <c r="AL142" s="9" t="str">
        <f t="shared" si="1"/>
        <v>2 dari 31 (6%)</v>
      </c>
    </row>
    <row r="143" ht="22.5" customHeight="1">
      <c r="A143" s="10">
        <v>142.0</v>
      </c>
      <c r="B143" s="11"/>
      <c r="C143" s="20">
        <v>61274.0</v>
      </c>
      <c r="D143" s="12" t="s">
        <v>89</v>
      </c>
      <c r="E143" s="12" t="s">
        <v>95</v>
      </c>
      <c r="F143" s="15" t="s">
        <v>50</v>
      </c>
      <c r="G143" s="6" t="b">
        <v>1</v>
      </c>
      <c r="H143" s="6" t="b">
        <v>0</v>
      </c>
      <c r="I143" s="6" t="b">
        <v>0</v>
      </c>
      <c r="J143" s="6" t="b">
        <v>0</v>
      </c>
      <c r="K143" s="6" t="b">
        <v>0</v>
      </c>
      <c r="L143" s="6" t="b">
        <v>0</v>
      </c>
      <c r="M143" s="6" t="b">
        <v>0</v>
      </c>
      <c r="N143" s="6" t="b">
        <v>0</v>
      </c>
      <c r="O143" s="6" t="b">
        <v>0</v>
      </c>
      <c r="P143" s="6" t="b">
        <v>0</v>
      </c>
      <c r="Q143" s="6" t="b">
        <v>0</v>
      </c>
      <c r="R143" s="6" t="b">
        <v>0</v>
      </c>
      <c r="S143" s="6" t="b">
        <v>0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0</v>
      </c>
      <c r="AJ143" s="6" t="b">
        <v>0</v>
      </c>
      <c r="AK143" s="6" t="b">
        <v>0</v>
      </c>
      <c r="AL143" s="9" t="str">
        <f t="shared" si="1"/>
        <v>1 dari 31 (3%)</v>
      </c>
    </row>
    <row r="144" ht="22.5" customHeight="1">
      <c r="A144" s="10">
        <v>143.0</v>
      </c>
      <c r="B144" s="11"/>
      <c r="C144" s="20">
        <v>61278.0</v>
      </c>
      <c r="D144" s="12" t="s">
        <v>89</v>
      </c>
      <c r="E144" s="12" t="s">
        <v>95</v>
      </c>
      <c r="F144" s="15" t="s">
        <v>50</v>
      </c>
      <c r="G144" s="6" t="b">
        <v>1</v>
      </c>
      <c r="H144" s="6" t="b">
        <v>0</v>
      </c>
      <c r="I144" s="6" t="b">
        <v>0</v>
      </c>
      <c r="J144" s="6" t="b">
        <v>0</v>
      </c>
      <c r="K144" s="6" t="b">
        <v>0</v>
      </c>
      <c r="L144" s="6" t="b">
        <v>0</v>
      </c>
      <c r="M144" s="6" t="b">
        <v>0</v>
      </c>
      <c r="N144" s="6" t="b">
        <v>0</v>
      </c>
      <c r="O144" s="6" t="b">
        <v>0</v>
      </c>
      <c r="P144" s="6" t="b">
        <v>0</v>
      </c>
      <c r="Q144" s="6" t="b">
        <v>0</v>
      </c>
      <c r="R144" s="6" t="b">
        <v>0</v>
      </c>
      <c r="S144" s="6" t="b">
        <v>0</v>
      </c>
      <c r="T144" s="6" t="b">
        <v>0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0</v>
      </c>
      <c r="AJ144" s="6" t="b">
        <v>0</v>
      </c>
      <c r="AK144" s="6" t="b">
        <v>0</v>
      </c>
      <c r="AL144" s="17" t="str">
        <f t="shared" si="1"/>
        <v>1 dari 31 (3%)</v>
      </c>
    </row>
    <row r="145" ht="22.5" customHeight="1">
      <c r="A145" s="2">
        <v>144.0</v>
      </c>
      <c r="B145" s="11"/>
      <c r="C145" s="20">
        <v>61284.0</v>
      </c>
      <c r="D145" s="12" t="s">
        <v>89</v>
      </c>
      <c r="E145" s="12" t="s">
        <v>95</v>
      </c>
      <c r="F145" s="15" t="s">
        <v>50</v>
      </c>
      <c r="G145" s="6" t="b">
        <v>1</v>
      </c>
      <c r="H145" s="6" t="b">
        <v>0</v>
      </c>
      <c r="I145" s="6" t="b">
        <v>0</v>
      </c>
      <c r="J145" s="6" t="b">
        <v>0</v>
      </c>
      <c r="K145" s="6" t="b">
        <v>0</v>
      </c>
      <c r="L145" s="6" t="b">
        <v>0</v>
      </c>
      <c r="M145" s="6" t="b">
        <v>0</v>
      </c>
      <c r="N145" s="6" t="b">
        <v>0</v>
      </c>
      <c r="O145" s="6" t="b">
        <v>0</v>
      </c>
      <c r="P145" s="6" t="b">
        <v>0</v>
      </c>
      <c r="Q145" s="6" t="b">
        <v>0</v>
      </c>
      <c r="R145" s="6" t="b">
        <v>0</v>
      </c>
      <c r="S145" s="6" t="b">
        <v>0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0</v>
      </c>
      <c r="AJ145" s="6" t="b">
        <v>0</v>
      </c>
      <c r="AK145" s="6" t="b">
        <v>0</v>
      </c>
      <c r="AL145" s="9" t="str">
        <f t="shared" si="1"/>
        <v>1 dari 31 (3%)</v>
      </c>
    </row>
    <row r="146" ht="22.5" customHeight="1">
      <c r="A146" s="10">
        <v>145.0</v>
      </c>
      <c r="B146" s="11"/>
      <c r="C146" s="22">
        <v>61285.0</v>
      </c>
      <c r="D146" s="12" t="s">
        <v>89</v>
      </c>
      <c r="E146" s="12" t="s">
        <v>95</v>
      </c>
      <c r="F146" s="15" t="s">
        <v>50</v>
      </c>
      <c r="G146" s="6" t="b">
        <v>1</v>
      </c>
      <c r="H146" s="6" t="b">
        <v>0</v>
      </c>
      <c r="I146" s="6" t="b">
        <v>0</v>
      </c>
      <c r="J146" s="6" t="b">
        <v>0</v>
      </c>
      <c r="K146" s="6" t="b">
        <v>0</v>
      </c>
      <c r="L146" s="6" t="b">
        <v>0</v>
      </c>
      <c r="M146" s="6" t="b">
        <v>0</v>
      </c>
      <c r="N146" s="6" t="b">
        <v>0</v>
      </c>
      <c r="O146" s="6" t="b">
        <v>0</v>
      </c>
      <c r="P146" s="6" t="b">
        <v>0</v>
      </c>
      <c r="Q146" s="6" t="b">
        <v>0</v>
      </c>
      <c r="R146" s="6" t="b">
        <v>0</v>
      </c>
      <c r="S146" s="6" t="b">
        <v>0</v>
      </c>
      <c r="T146" s="6" t="b">
        <v>0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0</v>
      </c>
      <c r="AJ146" s="6" t="b">
        <v>0</v>
      </c>
      <c r="AK146" s="6" t="b">
        <v>0</v>
      </c>
      <c r="AL146" s="9" t="str">
        <f t="shared" si="1"/>
        <v>1 dari 31 (3%)</v>
      </c>
    </row>
    <row r="147" ht="22.5" customHeight="1">
      <c r="A147" s="10">
        <v>146.0</v>
      </c>
      <c r="B147" s="11"/>
      <c r="C147" s="22">
        <v>61288.0</v>
      </c>
      <c r="D147" s="12" t="s">
        <v>89</v>
      </c>
      <c r="E147" s="12" t="s">
        <v>95</v>
      </c>
      <c r="F147" s="15" t="s">
        <v>50</v>
      </c>
      <c r="G147" s="6" t="b">
        <v>1</v>
      </c>
      <c r="H147" s="6" t="b">
        <v>0</v>
      </c>
      <c r="I147" s="6" t="b">
        <v>0</v>
      </c>
      <c r="J147" s="6" t="b">
        <v>0</v>
      </c>
      <c r="K147" s="6" t="b">
        <v>0</v>
      </c>
      <c r="L147" s="6" t="b">
        <v>0</v>
      </c>
      <c r="M147" s="6" t="b">
        <v>0</v>
      </c>
      <c r="N147" s="6" t="b">
        <v>0</v>
      </c>
      <c r="O147" s="6" t="b">
        <v>0</v>
      </c>
      <c r="P147" s="6" t="b">
        <v>0</v>
      </c>
      <c r="Q147" s="6" t="b">
        <v>0</v>
      </c>
      <c r="R147" s="6" t="b">
        <v>0</v>
      </c>
      <c r="S147" s="6" t="b">
        <v>0</v>
      </c>
      <c r="T147" s="6" t="b">
        <v>0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0</v>
      </c>
      <c r="AJ147" s="6" t="b">
        <v>0</v>
      </c>
      <c r="AK147" s="6" t="b">
        <v>0</v>
      </c>
      <c r="AL147" s="17" t="str">
        <f t="shared" si="1"/>
        <v>1 dari 31 (3%)</v>
      </c>
    </row>
    <row r="148" ht="22.5" customHeight="1">
      <c r="A148" s="2">
        <v>147.0</v>
      </c>
      <c r="B148" s="11"/>
      <c r="C148" s="22">
        <v>61290.0</v>
      </c>
      <c r="D148" s="12" t="s">
        <v>89</v>
      </c>
      <c r="E148" s="12" t="s">
        <v>95</v>
      </c>
      <c r="F148" s="86" t="s">
        <v>67</v>
      </c>
      <c r="G148" s="6" t="b">
        <v>0</v>
      </c>
      <c r="H148" s="6" t="b">
        <v>0</v>
      </c>
      <c r="I148" s="6" t="b">
        <v>0</v>
      </c>
      <c r="J148" s="6" t="b">
        <v>0</v>
      </c>
      <c r="K148" s="6" t="b">
        <v>0</v>
      </c>
      <c r="L148" s="6" t="b">
        <v>0</v>
      </c>
      <c r="M148" s="6" t="b">
        <v>0</v>
      </c>
      <c r="N148" s="6" t="b">
        <v>0</v>
      </c>
      <c r="O148" s="6" t="b">
        <v>0</v>
      </c>
      <c r="P148" s="6" t="b">
        <v>0</v>
      </c>
      <c r="Q148" s="6" t="b">
        <v>0</v>
      </c>
      <c r="R148" s="6" t="b">
        <v>0</v>
      </c>
      <c r="S148" s="6" t="b">
        <v>0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0</v>
      </c>
      <c r="AJ148" s="6" t="b">
        <v>0</v>
      </c>
      <c r="AK148" s="6" t="b">
        <v>0</v>
      </c>
      <c r="AL148" s="9" t="str">
        <f t="shared" si="1"/>
        <v>0 dari 31 (0%)</v>
      </c>
    </row>
    <row r="149" ht="22.5" customHeight="1">
      <c r="A149" s="10">
        <v>148.0</v>
      </c>
      <c r="B149" s="11"/>
      <c r="C149" s="22">
        <v>61296.0</v>
      </c>
      <c r="D149" s="12" t="s">
        <v>89</v>
      </c>
      <c r="E149" s="12" t="s">
        <v>156</v>
      </c>
      <c r="F149" s="15" t="s">
        <v>50</v>
      </c>
      <c r="G149" s="6" t="b">
        <v>1</v>
      </c>
      <c r="H149" s="6" t="b">
        <v>0</v>
      </c>
      <c r="I149" s="6" t="b">
        <v>0</v>
      </c>
      <c r="J149" s="6" t="b">
        <v>0</v>
      </c>
      <c r="K149" s="6" t="b">
        <v>0</v>
      </c>
      <c r="L149" s="6" t="b">
        <v>0</v>
      </c>
      <c r="M149" s="6" t="b">
        <v>0</v>
      </c>
      <c r="N149" s="6" t="b">
        <v>0</v>
      </c>
      <c r="O149" s="6" t="b">
        <v>0</v>
      </c>
      <c r="P149" s="6" t="b">
        <v>0</v>
      </c>
      <c r="Q149" s="6" t="b">
        <v>0</v>
      </c>
      <c r="R149" s="6" t="b">
        <v>0</v>
      </c>
      <c r="S149" s="6" t="b">
        <v>0</v>
      </c>
      <c r="T149" s="6" t="b">
        <v>0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0</v>
      </c>
      <c r="AJ149" s="6" t="b">
        <v>0</v>
      </c>
      <c r="AK149" s="6" t="b">
        <v>0</v>
      </c>
      <c r="AL149" s="9" t="str">
        <f t="shared" si="1"/>
        <v>1 dari 31 (3%)</v>
      </c>
    </row>
    <row r="150" ht="22.5" customHeight="1">
      <c r="A150" s="10">
        <v>149.0</v>
      </c>
      <c r="B150" s="11"/>
      <c r="C150" s="22">
        <v>50830.0</v>
      </c>
      <c r="D150" s="12" t="s">
        <v>89</v>
      </c>
      <c r="E150" s="12" t="s">
        <v>156</v>
      </c>
      <c r="F150" s="15" t="s">
        <v>50</v>
      </c>
      <c r="G150" s="6" t="b">
        <v>1</v>
      </c>
      <c r="H150" s="6" t="b">
        <v>0</v>
      </c>
      <c r="I150" s="6" t="b">
        <v>0</v>
      </c>
      <c r="J150" s="6" t="b">
        <v>0</v>
      </c>
      <c r="K150" s="6" t="b">
        <v>0</v>
      </c>
      <c r="L150" s="6" t="b">
        <v>0</v>
      </c>
      <c r="M150" s="6" t="b">
        <v>0</v>
      </c>
      <c r="N150" s="6" t="b">
        <v>0</v>
      </c>
      <c r="O150" s="6" t="b">
        <v>0</v>
      </c>
      <c r="P150" s="6" t="b">
        <v>0</v>
      </c>
      <c r="Q150" s="6" t="b">
        <v>0</v>
      </c>
      <c r="R150" s="6" t="b">
        <v>0</v>
      </c>
      <c r="S150" s="6" t="b">
        <v>0</v>
      </c>
      <c r="T150" s="6" t="b">
        <v>0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0</v>
      </c>
      <c r="AJ150" s="6" t="b">
        <v>0</v>
      </c>
      <c r="AK150" s="6" t="b">
        <v>0</v>
      </c>
      <c r="AL150" s="17" t="str">
        <f t="shared" si="1"/>
        <v>1 dari 31 (3%)</v>
      </c>
    </row>
    <row r="151" ht="22.5" customHeight="1">
      <c r="A151" s="2">
        <v>150.0</v>
      </c>
      <c r="B151" s="11"/>
      <c r="C151" s="22">
        <v>61297.0</v>
      </c>
      <c r="D151" s="12" t="s">
        <v>89</v>
      </c>
      <c r="E151" s="12" t="s">
        <v>95</v>
      </c>
      <c r="F151" s="15" t="s">
        <v>50</v>
      </c>
      <c r="G151" s="6" t="b">
        <v>1</v>
      </c>
      <c r="H151" s="6" t="b">
        <v>0</v>
      </c>
      <c r="I151" s="6" t="b">
        <v>0</v>
      </c>
      <c r="J151" s="6" t="b">
        <v>0</v>
      </c>
      <c r="K151" s="6" t="b">
        <v>0</v>
      </c>
      <c r="L151" s="6" t="b">
        <v>0</v>
      </c>
      <c r="M151" s="6" t="b">
        <v>0</v>
      </c>
      <c r="N151" s="6" t="b">
        <v>0</v>
      </c>
      <c r="O151" s="6" t="b">
        <v>0</v>
      </c>
      <c r="P151" s="6" t="b">
        <v>0</v>
      </c>
      <c r="Q151" s="6" t="b">
        <v>0</v>
      </c>
      <c r="R151" s="6" t="b">
        <v>0</v>
      </c>
      <c r="S151" s="6" t="b">
        <v>0</v>
      </c>
      <c r="T151" s="6" t="b">
        <v>0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0</v>
      </c>
      <c r="AF151" s="6" t="b">
        <v>0</v>
      </c>
      <c r="AG151" s="6" t="b">
        <v>0</v>
      </c>
      <c r="AH151" s="6" t="b">
        <v>0</v>
      </c>
      <c r="AI151" s="6" t="b">
        <v>0</v>
      </c>
      <c r="AJ151" s="6" t="b">
        <v>0</v>
      </c>
      <c r="AK151" s="6" t="b">
        <v>0</v>
      </c>
      <c r="AL151" s="9" t="str">
        <f t="shared" si="1"/>
        <v>1 dari 31 (3%)</v>
      </c>
    </row>
    <row r="152" ht="22.5" customHeight="1">
      <c r="A152" s="10">
        <v>151.0</v>
      </c>
      <c r="B152" s="11"/>
      <c r="C152" s="20">
        <v>61295.0</v>
      </c>
      <c r="D152" s="12" t="s">
        <v>89</v>
      </c>
      <c r="E152" s="12" t="s">
        <v>95</v>
      </c>
      <c r="F152" s="15" t="s">
        <v>50</v>
      </c>
      <c r="G152" s="6" t="b">
        <v>1</v>
      </c>
      <c r="H152" s="6" t="b">
        <v>0</v>
      </c>
      <c r="I152" s="6" t="b">
        <v>0</v>
      </c>
      <c r="J152" s="6" t="b">
        <v>0</v>
      </c>
      <c r="K152" s="6" t="b">
        <v>0</v>
      </c>
      <c r="L152" s="6" t="b">
        <v>0</v>
      </c>
      <c r="M152" s="6" t="b">
        <v>0</v>
      </c>
      <c r="N152" s="6" t="b">
        <v>0</v>
      </c>
      <c r="O152" s="6" t="b">
        <v>0</v>
      </c>
      <c r="P152" s="6" t="b">
        <v>0</v>
      </c>
      <c r="Q152" s="6" t="b">
        <v>0</v>
      </c>
      <c r="R152" s="6" t="b">
        <v>0</v>
      </c>
      <c r="S152" s="6" t="b">
        <v>0</v>
      </c>
      <c r="T152" s="6" t="b">
        <v>0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0</v>
      </c>
      <c r="Z152" s="6" t="b">
        <v>0</v>
      </c>
      <c r="AA152" s="6" t="b">
        <v>0</v>
      </c>
      <c r="AB152" s="6" t="b">
        <v>0</v>
      </c>
      <c r="AC152" s="6" t="b">
        <v>0</v>
      </c>
      <c r="AD152" s="6" t="b">
        <v>0</v>
      </c>
      <c r="AE152" s="6" t="b">
        <v>0</v>
      </c>
      <c r="AF152" s="6" t="b">
        <v>0</v>
      </c>
      <c r="AG152" s="6" t="b">
        <v>0</v>
      </c>
      <c r="AH152" s="6" t="b">
        <v>0</v>
      </c>
      <c r="AI152" s="6" t="b">
        <v>0</v>
      </c>
      <c r="AJ152" s="6" t="b">
        <v>0</v>
      </c>
      <c r="AK152" s="6" t="b">
        <v>0</v>
      </c>
      <c r="AL152" s="9" t="str">
        <f t="shared" si="1"/>
        <v>1 dari 31 (3%)</v>
      </c>
    </row>
    <row r="153" ht="22.5" customHeight="1">
      <c r="A153" s="10">
        <v>152.0</v>
      </c>
      <c r="B153" s="11"/>
      <c r="D153" s="138"/>
      <c r="E153" s="12"/>
      <c r="F153" s="13"/>
      <c r="G153" s="112" t="b">
        <v>0</v>
      </c>
      <c r="H153" s="112" t="b">
        <v>0</v>
      </c>
      <c r="I153" s="112" t="b">
        <v>0</v>
      </c>
      <c r="J153" s="112" t="b">
        <v>0</v>
      </c>
      <c r="K153" s="112" t="b">
        <v>0</v>
      </c>
      <c r="L153" s="112" t="b">
        <v>0</v>
      </c>
      <c r="M153" s="112" t="b">
        <v>0</v>
      </c>
      <c r="N153" s="112" t="b">
        <v>0</v>
      </c>
      <c r="O153" s="112" t="b">
        <v>0</v>
      </c>
      <c r="P153" s="112" t="b">
        <v>0</v>
      </c>
      <c r="Q153" s="112" t="b">
        <v>0</v>
      </c>
      <c r="R153" s="112" t="b">
        <v>0</v>
      </c>
      <c r="S153" s="112" t="b">
        <v>0</v>
      </c>
      <c r="T153" s="112" t="b">
        <v>0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0</v>
      </c>
      <c r="AA153" s="112" t="b">
        <v>0</v>
      </c>
      <c r="AB153" s="112" t="b">
        <v>0</v>
      </c>
      <c r="AC153" s="112" t="b">
        <v>0</v>
      </c>
      <c r="AD153" s="112" t="b">
        <v>0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0</v>
      </c>
      <c r="AJ153" s="112" t="b">
        <v>0</v>
      </c>
      <c r="AK153" s="112" t="b">
        <v>0</v>
      </c>
      <c r="AL153" s="113" t="str">
        <f t="shared" si="1"/>
        <v>0 dari 31 (0%)</v>
      </c>
    </row>
    <row r="154" ht="22.5" customHeight="1">
      <c r="A154" s="2">
        <v>153.0</v>
      </c>
      <c r="B154" s="11"/>
      <c r="D154" s="12" t="s">
        <v>173</v>
      </c>
      <c r="E154" s="12"/>
      <c r="F154" s="135"/>
      <c r="G154" s="114" t="b">
        <v>0</v>
      </c>
      <c r="H154" s="114" t="b">
        <v>0</v>
      </c>
      <c r="I154" s="114" t="b">
        <v>0</v>
      </c>
      <c r="J154" s="114" t="b">
        <v>0</v>
      </c>
      <c r="K154" s="114" t="b">
        <v>0</v>
      </c>
      <c r="L154" s="114" t="b">
        <v>0</v>
      </c>
      <c r="M154" s="114" t="b">
        <v>0</v>
      </c>
      <c r="N154" s="114" t="b">
        <v>0</v>
      </c>
      <c r="O154" s="114" t="b">
        <v>0</v>
      </c>
      <c r="P154" s="114" t="b">
        <v>0</v>
      </c>
      <c r="Q154" s="114" t="b">
        <v>0</v>
      </c>
      <c r="R154" s="114" t="b">
        <v>0</v>
      </c>
      <c r="S154" s="114" t="b">
        <v>0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0</v>
      </c>
      <c r="AJ154" s="114" t="b">
        <v>0</v>
      </c>
      <c r="AK154" s="114" t="b">
        <v>0</v>
      </c>
      <c r="AL154" s="115" t="str">
        <f t="shared" si="1"/>
        <v>0 dari 31 (0%)</v>
      </c>
    </row>
    <row r="155" ht="22.5" customHeight="1">
      <c r="A155" s="10">
        <v>154.0</v>
      </c>
      <c r="B155" s="11"/>
      <c r="D155" s="138"/>
      <c r="E155" s="12"/>
      <c r="F155" s="13"/>
      <c r="G155" s="114" t="b">
        <v>0</v>
      </c>
      <c r="H155" s="114" t="b">
        <v>0</v>
      </c>
      <c r="I155" s="114" t="b">
        <v>0</v>
      </c>
      <c r="J155" s="114" t="b">
        <v>0</v>
      </c>
      <c r="K155" s="114" t="b">
        <v>0</v>
      </c>
      <c r="L155" s="114" t="b">
        <v>0</v>
      </c>
      <c r="M155" s="114" t="b">
        <v>0</v>
      </c>
      <c r="N155" s="114" t="b">
        <v>0</v>
      </c>
      <c r="O155" s="114" t="b">
        <v>0</v>
      </c>
      <c r="P155" s="114" t="b">
        <v>0</v>
      </c>
      <c r="Q155" s="114" t="b">
        <v>0</v>
      </c>
      <c r="R155" s="114" t="b">
        <v>0</v>
      </c>
      <c r="S155" s="114" t="b">
        <v>0</v>
      </c>
      <c r="T155" s="114" t="b">
        <v>0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5" t="str">
        <f t="shared" si="1"/>
        <v>0 dari 31 (0%)</v>
      </c>
    </row>
    <row r="156" ht="22.5" customHeight="1">
      <c r="A156" s="10">
        <v>155.0</v>
      </c>
      <c r="B156" s="11"/>
      <c r="D156" s="138"/>
      <c r="E156" s="12"/>
      <c r="F156" s="13"/>
      <c r="G156" s="114" t="b">
        <v>0</v>
      </c>
      <c r="H156" s="114" t="b">
        <v>0</v>
      </c>
      <c r="I156" s="114" t="b">
        <v>0</v>
      </c>
      <c r="J156" s="114" t="b">
        <v>0</v>
      </c>
      <c r="K156" s="114" t="b">
        <v>0</v>
      </c>
      <c r="L156" s="114" t="b">
        <v>0</v>
      </c>
      <c r="M156" s="114" t="b">
        <v>0</v>
      </c>
      <c r="N156" s="114" t="b">
        <v>0</v>
      </c>
      <c r="O156" s="114" t="b">
        <v>0</v>
      </c>
      <c r="P156" s="114" t="b">
        <v>0</v>
      </c>
      <c r="Q156" s="114" t="b">
        <v>0</v>
      </c>
      <c r="R156" s="114" t="b">
        <v>0</v>
      </c>
      <c r="S156" s="114" t="b">
        <v>0</v>
      </c>
      <c r="T156" s="114" t="b">
        <v>0</v>
      </c>
      <c r="U156" s="114" t="b">
        <v>0</v>
      </c>
      <c r="V156" s="114" t="b">
        <v>0</v>
      </c>
      <c r="W156" s="114" t="b">
        <v>0</v>
      </c>
      <c r="X156" s="114" t="b">
        <v>0</v>
      </c>
      <c r="Y156" s="114" t="b">
        <v>0</v>
      </c>
      <c r="Z156" s="114" t="b">
        <v>0</v>
      </c>
      <c r="AA156" s="114" t="b">
        <v>0</v>
      </c>
      <c r="AB156" s="114" t="b">
        <v>0</v>
      </c>
      <c r="AC156" s="114" t="b">
        <v>0</v>
      </c>
      <c r="AD156" s="114" t="b">
        <v>0</v>
      </c>
      <c r="AE156" s="114" t="b">
        <v>0</v>
      </c>
      <c r="AF156" s="114" t="b">
        <v>0</v>
      </c>
      <c r="AG156" s="114" t="b">
        <v>0</v>
      </c>
      <c r="AH156" s="114" t="b">
        <v>0</v>
      </c>
      <c r="AI156" s="114" t="b">
        <v>0</v>
      </c>
      <c r="AJ156" s="114" t="b">
        <v>0</v>
      </c>
      <c r="AK156" s="114" t="b">
        <v>0</v>
      </c>
      <c r="AL156" s="115" t="str">
        <f t="shared" si="1"/>
        <v>0 dari 31 (0%)</v>
      </c>
    </row>
    <row r="157" ht="22.5" customHeight="1">
      <c r="A157" s="2">
        <v>156.0</v>
      </c>
      <c r="B157" s="11"/>
      <c r="C157" s="22"/>
      <c r="D157" s="138"/>
      <c r="E157" s="12"/>
      <c r="F157" s="13"/>
      <c r="G157" s="114" t="b">
        <v>0</v>
      </c>
      <c r="H157" s="114" t="b">
        <v>0</v>
      </c>
      <c r="I157" s="114" t="b">
        <v>0</v>
      </c>
      <c r="J157" s="114" t="b">
        <v>0</v>
      </c>
      <c r="K157" s="114" t="b">
        <v>0</v>
      </c>
      <c r="L157" s="114" t="b">
        <v>0</v>
      </c>
      <c r="M157" s="114" t="b">
        <v>0</v>
      </c>
      <c r="N157" s="114" t="b">
        <v>0</v>
      </c>
      <c r="O157" s="114" t="b">
        <v>0</v>
      </c>
      <c r="P157" s="114" t="b">
        <v>0</v>
      </c>
      <c r="Q157" s="114" t="b">
        <v>0</v>
      </c>
      <c r="R157" s="114" t="b">
        <v>0</v>
      </c>
      <c r="S157" s="114" t="b">
        <v>0</v>
      </c>
      <c r="T157" s="114" t="b">
        <v>0</v>
      </c>
      <c r="U157" s="114" t="b">
        <v>0</v>
      </c>
      <c r="V157" s="114" t="b">
        <v>0</v>
      </c>
      <c r="W157" s="114" t="b">
        <v>0</v>
      </c>
      <c r="X157" s="114" t="b">
        <v>0</v>
      </c>
      <c r="Y157" s="114" t="b">
        <v>0</v>
      </c>
      <c r="Z157" s="114" t="b">
        <v>0</v>
      </c>
      <c r="AA157" s="114" t="b">
        <v>0</v>
      </c>
      <c r="AB157" s="114" t="b">
        <v>0</v>
      </c>
      <c r="AC157" s="114" t="b">
        <v>0</v>
      </c>
      <c r="AD157" s="114" t="b">
        <v>0</v>
      </c>
      <c r="AE157" s="114" t="b">
        <v>0</v>
      </c>
      <c r="AF157" s="114" t="b">
        <v>0</v>
      </c>
      <c r="AG157" s="114" t="b">
        <v>0</v>
      </c>
      <c r="AH157" s="114" t="b">
        <v>0</v>
      </c>
      <c r="AI157" s="114" t="b">
        <v>0</v>
      </c>
      <c r="AJ157" s="114" t="b">
        <v>0</v>
      </c>
      <c r="AK157" s="114" t="b">
        <v>0</v>
      </c>
      <c r="AL157" s="115" t="str">
        <f t="shared" si="1"/>
        <v>0 dari 31 (0%)</v>
      </c>
    </row>
    <row r="158" ht="22.5" customHeight="1">
      <c r="A158" s="10">
        <v>157.0</v>
      </c>
      <c r="B158" s="11"/>
      <c r="D158" s="138"/>
      <c r="E158" s="12"/>
      <c r="F158" s="13"/>
      <c r="G158" s="114" t="b">
        <v>0</v>
      </c>
      <c r="H158" s="114" t="b">
        <v>0</v>
      </c>
      <c r="I158" s="114" t="b">
        <v>0</v>
      </c>
      <c r="J158" s="114" t="b">
        <v>0</v>
      </c>
      <c r="K158" s="114" t="b">
        <v>0</v>
      </c>
      <c r="L158" s="114" t="b">
        <v>0</v>
      </c>
      <c r="M158" s="114" t="b">
        <v>0</v>
      </c>
      <c r="N158" s="114" t="b">
        <v>0</v>
      </c>
      <c r="O158" s="114" t="b">
        <v>0</v>
      </c>
      <c r="P158" s="114" t="b">
        <v>0</v>
      </c>
      <c r="Q158" s="114" t="b">
        <v>0</v>
      </c>
      <c r="R158" s="114" t="b">
        <v>0</v>
      </c>
      <c r="S158" s="114" t="b">
        <v>0</v>
      </c>
      <c r="T158" s="114" t="b">
        <v>0</v>
      </c>
      <c r="U158" s="114" t="b">
        <v>0</v>
      </c>
      <c r="V158" s="114" t="b">
        <v>0</v>
      </c>
      <c r="W158" s="114" t="b">
        <v>0</v>
      </c>
      <c r="X158" s="114" t="b">
        <v>0</v>
      </c>
      <c r="Y158" s="114" t="b">
        <v>0</v>
      </c>
      <c r="Z158" s="114" t="b">
        <v>0</v>
      </c>
      <c r="AA158" s="114" t="b">
        <v>0</v>
      </c>
      <c r="AB158" s="114" t="b">
        <v>0</v>
      </c>
      <c r="AC158" s="114" t="b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 t="b">
        <v>0</v>
      </c>
      <c r="AI158" s="114" t="b">
        <v>0</v>
      </c>
      <c r="AJ158" s="114" t="b">
        <v>0</v>
      </c>
      <c r="AK158" s="114" t="b">
        <v>0</v>
      </c>
      <c r="AL158" s="115" t="str">
        <f t="shared" si="1"/>
        <v>0 dari 31 (0%)</v>
      </c>
    </row>
    <row r="159" ht="22.5" customHeight="1">
      <c r="A159" s="10">
        <v>158.0</v>
      </c>
      <c r="B159" s="11"/>
      <c r="C159" s="22"/>
      <c r="D159" s="138"/>
      <c r="E159" s="12"/>
      <c r="F159" s="13"/>
      <c r="G159" s="114" t="b">
        <v>0</v>
      </c>
      <c r="H159" s="114" t="b">
        <v>0</v>
      </c>
      <c r="I159" s="114" t="b">
        <v>0</v>
      </c>
      <c r="J159" s="114" t="b">
        <v>0</v>
      </c>
      <c r="K159" s="114" t="b">
        <v>0</v>
      </c>
      <c r="L159" s="114" t="b">
        <v>0</v>
      </c>
      <c r="M159" s="114" t="b">
        <v>0</v>
      </c>
      <c r="N159" s="114" t="b">
        <v>0</v>
      </c>
      <c r="O159" s="114" t="b">
        <v>0</v>
      </c>
      <c r="P159" s="114" t="b">
        <v>0</v>
      </c>
      <c r="Q159" s="114" t="b">
        <v>0</v>
      </c>
      <c r="R159" s="114" t="b">
        <v>0</v>
      </c>
      <c r="S159" s="114" t="b">
        <v>0</v>
      </c>
      <c r="T159" s="114" t="b">
        <v>0</v>
      </c>
      <c r="U159" s="114" t="b">
        <v>0</v>
      </c>
      <c r="V159" s="114" t="b">
        <v>0</v>
      </c>
      <c r="W159" s="114" t="b">
        <v>0</v>
      </c>
      <c r="X159" s="114" t="b">
        <v>0</v>
      </c>
      <c r="Y159" s="114" t="b">
        <v>0</v>
      </c>
      <c r="Z159" s="114" t="b">
        <v>0</v>
      </c>
      <c r="AA159" s="114" t="b">
        <v>0</v>
      </c>
      <c r="AB159" s="114" t="b">
        <v>0</v>
      </c>
      <c r="AC159" s="114" t="b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 t="b">
        <v>0</v>
      </c>
      <c r="AI159" s="114" t="b">
        <v>0</v>
      </c>
      <c r="AJ159" s="114" t="b">
        <v>0</v>
      </c>
      <c r="AK159" s="114" t="b">
        <v>0</v>
      </c>
      <c r="AL159" s="115" t="str">
        <f t="shared" si="1"/>
        <v>0 dari 31 (0%)</v>
      </c>
    </row>
    <row r="160" ht="22.5" customHeight="1">
      <c r="A160" s="2">
        <v>159.0</v>
      </c>
      <c r="B160" s="11"/>
      <c r="D160" s="138"/>
      <c r="E160" s="12"/>
      <c r="F160" s="13"/>
      <c r="G160" s="114" t="b">
        <v>0</v>
      </c>
      <c r="H160" s="114" t="b">
        <v>0</v>
      </c>
      <c r="I160" s="114" t="b">
        <v>0</v>
      </c>
      <c r="J160" s="114" t="b">
        <v>0</v>
      </c>
      <c r="K160" s="114" t="b">
        <v>0</v>
      </c>
      <c r="L160" s="114" t="b">
        <v>0</v>
      </c>
      <c r="M160" s="114" t="b">
        <v>0</v>
      </c>
      <c r="N160" s="114" t="b">
        <v>0</v>
      </c>
      <c r="O160" s="114" t="b">
        <v>0</v>
      </c>
      <c r="P160" s="114" t="b">
        <v>0</v>
      </c>
      <c r="Q160" s="114" t="b">
        <v>0</v>
      </c>
      <c r="R160" s="114" t="b">
        <v>0</v>
      </c>
      <c r="S160" s="114" t="b">
        <v>0</v>
      </c>
      <c r="T160" s="114" t="b">
        <v>0</v>
      </c>
      <c r="U160" s="114" t="b">
        <v>0</v>
      </c>
      <c r="V160" s="114" t="b">
        <v>0</v>
      </c>
      <c r="W160" s="114" t="b">
        <v>0</v>
      </c>
      <c r="X160" s="114" t="b">
        <v>0</v>
      </c>
      <c r="Y160" s="114" t="b">
        <v>0</v>
      </c>
      <c r="Z160" s="114" t="b">
        <v>0</v>
      </c>
      <c r="AA160" s="114" t="b">
        <v>0</v>
      </c>
      <c r="AB160" s="114" t="b">
        <v>0</v>
      </c>
      <c r="AC160" s="114" t="b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 t="b">
        <v>0</v>
      </c>
      <c r="AI160" s="114" t="b">
        <v>0</v>
      </c>
      <c r="AJ160" s="114" t="b">
        <v>0</v>
      </c>
      <c r="AK160" s="114" t="b">
        <v>0</v>
      </c>
      <c r="AL160" s="115" t="str">
        <f t="shared" si="1"/>
        <v>0 dari 31 (0%)</v>
      </c>
    </row>
    <row r="161" ht="22.5" customHeight="1">
      <c r="A161" s="10">
        <v>160.0</v>
      </c>
      <c r="B161" s="11"/>
      <c r="C161" s="22"/>
      <c r="D161" s="138"/>
      <c r="E161" s="138"/>
      <c r="F161" s="13"/>
      <c r="G161" s="114" t="b">
        <v>0</v>
      </c>
      <c r="H161" s="114" t="b">
        <v>0</v>
      </c>
      <c r="I161" s="114" t="b">
        <v>0</v>
      </c>
      <c r="J161" s="114" t="b">
        <v>0</v>
      </c>
      <c r="K161" s="114" t="b">
        <v>0</v>
      </c>
      <c r="L161" s="114" t="b">
        <v>0</v>
      </c>
      <c r="M161" s="114" t="b">
        <v>0</v>
      </c>
      <c r="N161" s="114" t="b">
        <v>0</v>
      </c>
      <c r="O161" s="114" t="b">
        <v>0</v>
      </c>
      <c r="P161" s="114" t="b">
        <v>0</v>
      </c>
      <c r="Q161" s="114" t="b">
        <v>0</v>
      </c>
      <c r="R161" s="114" t="b">
        <v>0</v>
      </c>
      <c r="S161" s="114" t="b">
        <v>0</v>
      </c>
      <c r="T161" s="114" t="b">
        <v>0</v>
      </c>
      <c r="U161" s="114" t="b">
        <v>0</v>
      </c>
      <c r="V161" s="114" t="b">
        <v>0</v>
      </c>
      <c r="W161" s="114" t="b">
        <v>0</v>
      </c>
      <c r="X161" s="114" t="b">
        <v>0</v>
      </c>
      <c r="Y161" s="114" t="b">
        <v>0</v>
      </c>
      <c r="Z161" s="114" t="b">
        <v>0</v>
      </c>
      <c r="AA161" s="114" t="b">
        <v>0</v>
      </c>
      <c r="AB161" s="114" t="b">
        <v>0</v>
      </c>
      <c r="AC161" s="114" t="b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 t="b">
        <v>0</v>
      </c>
      <c r="AI161" s="114" t="b">
        <v>0</v>
      </c>
      <c r="AJ161" s="114" t="b">
        <v>0</v>
      </c>
      <c r="AK161" s="114" t="b">
        <v>0</v>
      </c>
      <c r="AL161" s="115" t="str">
        <f t="shared" si="1"/>
        <v>0 dari 31 (0%)</v>
      </c>
    </row>
    <row r="162" ht="22.5" customHeight="1">
      <c r="A162" s="10">
        <v>161.0</v>
      </c>
      <c r="B162" s="11"/>
      <c r="C162" s="140"/>
      <c r="D162" s="138"/>
      <c r="E162" s="138"/>
      <c r="F162" s="13"/>
      <c r="G162" s="114" t="b">
        <v>0</v>
      </c>
      <c r="H162" s="114" t="b">
        <v>0</v>
      </c>
      <c r="I162" s="114" t="b">
        <v>0</v>
      </c>
      <c r="J162" s="114" t="b">
        <v>0</v>
      </c>
      <c r="K162" s="114" t="b">
        <v>0</v>
      </c>
      <c r="L162" s="114" t="b">
        <v>0</v>
      </c>
      <c r="M162" s="114" t="b">
        <v>0</v>
      </c>
      <c r="N162" s="114" t="b">
        <v>0</v>
      </c>
      <c r="O162" s="114" t="b">
        <v>0</v>
      </c>
      <c r="P162" s="114" t="b">
        <v>0</v>
      </c>
      <c r="Q162" s="114" t="b">
        <v>0</v>
      </c>
      <c r="R162" s="114" t="b">
        <v>0</v>
      </c>
      <c r="S162" s="114" t="b">
        <v>0</v>
      </c>
      <c r="T162" s="114" t="b">
        <v>0</v>
      </c>
      <c r="U162" s="114" t="b">
        <v>0</v>
      </c>
      <c r="V162" s="114" t="b">
        <v>0</v>
      </c>
      <c r="W162" s="114" t="b">
        <v>0</v>
      </c>
      <c r="X162" s="114" t="b">
        <v>0</v>
      </c>
      <c r="Y162" s="114" t="b">
        <v>0</v>
      </c>
      <c r="Z162" s="114" t="b">
        <v>0</v>
      </c>
      <c r="AA162" s="114" t="b">
        <v>0</v>
      </c>
      <c r="AB162" s="114" t="b">
        <v>0</v>
      </c>
      <c r="AC162" s="114" t="b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 t="b">
        <v>0</v>
      </c>
      <c r="AI162" s="114" t="b">
        <v>0</v>
      </c>
      <c r="AJ162" s="114" t="b">
        <v>0</v>
      </c>
      <c r="AK162" s="114" t="b">
        <v>0</v>
      </c>
      <c r="AL162" s="115" t="str">
        <f t="shared" si="1"/>
        <v>0 dari 31 (0%)</v>
      </c>
    </row>
    <row r="163" ht="22.5" customHeight="1">
      <c r="A163" s="2">
        <v>162.0</v>
      </c>
      <c r="B163" s="11"/>
      <c r="C163" s="140"/>
      <c r="D163" s="138"/>
      <c r="E163" s="138"/>
      <c r="F163" s="13"/>
      <c r="G163" s="114" t="b">
        <v>0</v>
      </c>
      <c r="H163" s="114" t="b">
        <v>0</v>
      </c>
      <c r="I163" s="114" t="b">
        <v>0</v>
      </c>
      <c r="J163" s="114" t="b">
        <v>0</v>
      </c>
      <c r="K163" s="114" t="b">
        <v>0</v>
      </c>
      <c r="L163" s="114" t="b">
        <v>0</v>
      </c>
      <c r="M163" s="114" t="b">
        <v>0</v>
      </c>
      <c r="N163" s="114" t="b">
        <v>0</v>
      </c>
      <c r="O163" s="114" t="b">
        <v>0</v>
      </c>
      <c r="P163" s="114" t="b">
        <v>0</v>
      </c>
      <c r="Q163" s="114" t="b">
        <v>0</v>
      </c>
      <c r="R163" s="114" t="b">
        <v>0</v>
      </c>
      <c r="S163" s="114" t="b">
        <v>0</v>
      </c>
      <c r="T163" s="114" t="b">
        <v>0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0</v>
      </c>
      <c r="AJ163" s="114" t="b">
        <v>0</v>
      </c>
      <c r="AK163" s="114" t="b">
        <v>0</v>
      </c>
      <c r="AL163" s="115" t="str">
        <f t="shared" si="1"/>
        <v>0 dari 31 (0%)</v>
      </c>
    </row>
    <row r="164" ht="22.5" customHeight="1">
      <c r="A164" s="10">
        <v>163.0</v>
      </c>
      <c r="B164" s="11"/>
      <c r="C164" s="140"/>
      <c r="D164" s="138"/>
      <c r="E164" s="138"/>
      <c r="F164" s="13"/>
      <c r="G164" s="114" t="b">
        <v>0</v>
      </c>
      <c r="H164" s="114" t="b">
        <v>0</v>
      </c>
      <c r="I164" s="114" t="b">
        <v>0</v>
      </c>
      <c r="J164" s="114" t="b">
        <v>0</v>
      </c>
      <c r="K164" s="114" t="b">
        <v>0</v>
      </c>
      <c r="L164" s="114" t="b">
        <v>0</v>
      </c>
      <c r="M164" s="114" t="b">
        <v>0</v>
      </c>
      <c r="N164" s="114" t="b">
        <v>0</v>
      </c>
      <c r="O164" s="114" t="b">
        <v>0</v>
      </c>
      <c r="P164" s="114" t="b">
        <v>0</v>
      </c>
      <c r="Q164" s="114" t="b">
        <v>0</v>
      </c>
      <c r="R164" s="114" t="b">
        <v>0</v>
      </c>
      <c r="S164" s="114" t="b">
        <v>0</v>
      </c>
      <c r="T164" s="114" t="b">
        <v>0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0</v>
      </c>
      <c r="AJ164" s="114" t="b">
        <v>0</v>
      </c>
      <c r="AK164" s="114" t="b">
        <v>0</v>
      </c>
      <c r="AL164" s="115" t="str">
        <f t="shared" si="1"/>
        <v>0 dari 31 (0%)</v>
      </c>
    </row>
    <row r="165" ht="22.5" customHeight="1">
      <c r="A165" s="10">
        <v>164.0</v>
      </c>
      <c r="B165" s="11"/>
      <c r="C165" s="140"/>
      <c r="D165" s="138"/>
      <c r="E165" s="138"/>
      <c r="F165" s="13"/>
      <c r="G165" s="114" t="b">
        <v>0</v>
      </c>
      <c r="H165" s="114" t="b">
        <v>0</v>
      </c>
      <c r="I165" s="114" t="b">
        <v>0</v>
      </c>
      <c r="J165" s="114" t="b">
        <v>0</v>
      </c>
      <c r="K165" s="114" t="b">
        <v>0</v>
      </c>
      <c r="L165" s="114" t="b">
        <v>0</v>
      </c>
      <c r="M165" s="114" t="b">
        <v>0</v>
      </c>
      <c r="N165" s="114" t="b">
        <v>0</v>
      </c>
      <c r="O165" s="114" t="b">
        <v>0</v>
      </c>
      <c r="P165" s="114" t="b">
        <v>0</v>
      </c>
      <c r="Q165" s="114" t="b">
        <v>0</v>
      </c>
      <c r="R165" s="114" t="b">
        <v>0</v>
      </c>
      <c r="S165" s="114" t="b">
        <v>0</v>
      </c>
      <c r="T165" s="114" t="b">
        <v>0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0</v>
      </c>
      <c r="AA165" s="114" t="b">
        <v>0</v>
      </c>
      <c r="AB165" s="114" t="b">
        <v>0</v>
      </c>
      <c r="AC165" s="114" t="b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0</v>
      </c>
      <c r="AJ165" s="114" t="b">
        <v>0</v>
      </c>
      <c r="AK165" s="114" t="b">
        <v>0</v>
      </c>
      <c r="AL165" s="115" t="str">
        <f t="shared" si="1"/>
        <v>0 dari 31 (0%)</v>
      </c>
    </row>
    <row r="166" ht="22.5" customHeight="1">
      <c r="A166" s="2">
        <v>165.0</v>
      </c>
      <c r="B166" s="11"/>
      <c r="C166" s="140"/>
      <c r="D166" s="138"/>
      <c r="E166" s="138"/>
      <c r="F166" s="13"/>
      <c r="G166" s="114" t="b">
        <v>0</v>
      </c>
      <c r="H166" s="114" t="b">
        <v>0</v>
      </c>
      <c r="I166" s="114" t="b">
        <v>0</v>
      </c>
      <c r="J166" s="114" t="b">
        <v>0</v>
      </c>
      <c r="K166" s="114" t="b">
        <v>0</v>
      </c>
      <c r="L166" s="114" t="b">
        <v>0</v>
      </c>
      <c r="M166" s="114" t="b">
        <v>0</v>
      </c>
      <c r="N166" s="114" t="b">
        <v>0</v>
      </c>
      <c r="O166" s="114" t="b">
        <v>0</v>
      </c>
      <c r="P166" s="114" t="b">
        <v>0</v>
      </c>
      <c r="Q166" s="114" t="b">
        <v>0</v>
      </c>
      <c r="R166" s="114" t="b">
        <v>0</v>
      </c>
      <c r="S166" s="114" t="b">
        <v>0</v>
      </c>
      <c r="T166" s="114" t="b">
        <v>0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0</v>
      </c>
      <c r="AJ166" s="114" t="b">
        <v>0</v>
      </c>
      <c r="AK166" s="114" t="b">
        <v>0</v>
      </c>
      <c r="AL166" s="115" t="str">
        <f t="shared" si="1"/>
        <v>0 dari 31 (0%)</v>
      </c>
    </row>
    <row r="167" ht="22.5" customHeight="1">
      <c r="A167" s="10">
        <v>166.0</v>
      </c>
      <c r="B167" s="11"/>
      <c r="C167" s="140"/>
      <c r="D167" s="138"/>
      <c r="E167" s="138"/>
      <c r="F167" s="13"/>
      <c r="G167" s="114" t="b">
        <v>0</v>
      </c>
      <c r="H167" s="114" t="b">
        <v>0</v>
      </c>
      <c r="I167" s="114" t="b">
        <v>0</v>
      </c>
      <c r="J167" s="114" t="b">
        <v>0</v>
      </c>
      <c r="K167" s="114" t="b">
        <v>0</v>
      </c>
      <c r="L167" s="114" t="b">
        <v>0</v>
      </c>
      <c r="M167" s="114" t="b">
        <v>0</v>
      </c>
      <c r="N167" s="114" t="b">
        <v>0</v>
      </c>
      <c r="O167" s="114" t="b">
        <v>0</v>
      </c>
      <c r="P167" s="114" t="b">
        <v>0</v>
      </c>
      <c r="Q167" s="114" t="b">
        <v>0</v>
      </c>
      <c r="R167" s="114" t="b">
        <v>0</v>
      </c>
      <c r="S167" s="114" t="b">
        <v>0</v>
      </c>
      <c r="T167" s="114" t="b">
        <v>0</v>
      </c>
      <c r="U167" s="114" t="b">
        <v>0</v>
      </c>
      <c r="V167" s="114" t="b">
        <v>0</v>
      </c>
      <c r="W167" s="114" t="b">
        <v>0</v>
      </c>
      <c r="X167" s="114" t="b">
        <v>0</v>
      </c>
      <c r="Y167" s="114" t="b">
        <v>0</v>
      </c>
      <c r="Z167" s="114" t="b">
        <v>0</v>
      </c>
      <c r="AA167" s="114" t="b">
        <v>0</v>
      </c>
      <c r="AB167" s="114" t="b">
        <v>0</v>
      </c>
      <c r="AC167" s="114" t="b">
        <v>0</v>
      </c>
      <c r="AD167" s="114" t="b">
        <v>0</v>
      </c>
      <c r="AE167" s="114" t="b">
        <v>0</v>
      </c>
      <c r="AF167" s="114" t="b">
        <v>0</v>
      </c>
      <c r="AG167" s="114" t="b">
        <v>0</v>
      </c>
      <c r="AH167" s="114" t="b">
        <v>0</v>
      </c>
      <c r="AI167" s="114" t="b">
        <v>0</v>
      </c>
      <c r="AJ167" s="114" t="b">
        <v>0</v>
      </c>
      <c r="AK167" s="114" t="b">
        <v>0</v>
      </c>
      <c r="AL167" s="115" t="str">
        <f t="shared" si="1"/>
        <v>0 dari 31 (0%)</v>
      </c>
    </row>
    <row r="168" ht="22.5" customHeight="1">
      <c r="A168" s="10">
        <v>167.0</v>
      </c>
      <c r="B168" s="11"/>
      <c r="C168" s="140"/>
      <c r="D168" s="138"/>
      <c r="E168" s="138"/>
      <c r="F168" s="13"/>
      <c r="G168" s="114" t="b">
        <v>0</v>
      </c>
      <c r="H168" s="114" t="b">
        <v>0</v>
      </c>
      <c r="I168" s="114" t="b">
        <v>0</v>
      </c>
      <c r="J168" s="114" t="b">
        <v>0</v>
      </c>
      <c r="K168" s="114" t="b">
        <v>0</v>
      </c>
      <c r="L168" s="114" t="b">
        <v>0</v>
      </c>
      <c r="M168" s="114" t="b">
        <v>0</v>
      </c>
      <c r="N168" s="114" t="b">
        <v>0</v>
      </c>
      <c r="O168" s="114" t="b">
        <v>0</v>
      </c>
      <c r="P168" s="114" t="b">
        <v>0</v>
      </c>
      <c r="Q168" s="114" t="b">
        <v>0</v>
      </c>
      <c r="R168" s="114" t="b">
        <v>0</v>
      </c>
      <c r="S168" s="114" t="b">
        <v>0</v>
      </c>
      <c r="T168" s="114" t="b">
        <v>0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0</v>
      </c>
      <c r="AJ168" s="114" t="b">
        <v>0</v>
      </c>
      <c r="AK168" s="114" t="b">
        <v>0</v>
      </c>
      <c r="AL168" s="115" t="str">
        <f t="shared" si="1"/>
        <v>0 dari 31 (0%)</v>
      </c>
    </row>
    <row r="169" ht="22.5" customHeight="1">
      <c r="A169" s="2">
        <v>168.0</v>
      </c>
      <c r="B169" s="11"/>
      <c r="C169" s="140"/>
      <c r="D169" s="138"/>
      <c r="E169" s="138"/>
      <c r="F169" s="13"/>
      <c r="G169" s="114" t="b">
        <v>0</v>
      </c>
      <c r="H169" s="114" t="b">
        <v>0</v>
      </c>
      <c r="I169" s="114" t="b">
        <v>0</v>
      </c>
      <c r="J169" s="114" t="b">
        <v>0</v>
      </c>
      <c r="K169" s="114" t="b">
        <v>0</v>
      </c>
      <c r="L169" s="114" t="b">
        <v>0</v>
      </c>
      <c r="M169" s="114" t="b">
        <v>0</v>
      </c>
      <c r="N169" s="114" t="b">
        <v>0</v>
      </c>
      <c r="O169" s="114" t="b">
        <v>0</v>
      </c>
      <c r="P169" s="114" t="b">
        <v>0</v>
      </c>
      <c r="Q169" s="114" t="b">
        <v>0</v>
      </c>
      <c r="R169" s="114" t="b">
        <v>0</v>
      </c>
      <c r="S169" s="114" t="b">
        <v>0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0</v>
      </c>
      <c r="AJ169" s="114" t="b">
        <v>0</v>
      </c>
      <c r="AK169" s="114" t="b">
        <v>0</v>
      </c>
      <c r="AL169" s="115" t="str">
        <f t="shared" si="1"/>
        <v>0 dari 31 (0%)</v>
      </c>
    </row>
    <row r="170" ht="22.5" customHeight="1">
      <c r="A170" s="10">
        <v>169.0</v>
      </c>
      <c r="B170" s="11"/>
      <c r="C170" s="140"/>
      <c r="D170" s="138"/>
      <c r="E170" s="138"/>
      <c r="F170" s="13"/>
      <c r="G170" s="114" t="b">
        <v>0</v>
      </c>
      <c r="H170" s="114" t="b">
        <v>0</v>
      </c>
      <c r="I170" s="114" t="b">
        <v>0</v>
      </c>
      <c r="J170" s="114" t="b">
        <v>0</v>
      </c>
      <c r="K170" s="114" t="b">
        <v>0</v>
      </c>
      <c r="L170" s="114" t="b">
        <v>0</v>
      </c>
      <c r="M170" s="114" t="b">
        <v>0</v>
      </c>
      <c r="N170" s="114" t="b">
        <v>0</v>
      </c>
      <c r="O170" s="114" t="b">
        <v>0</v>
      </c>
      <c r="P170" s="114" t="b">
        <v>0</v>
      </c>
      <c r="Q170" s="114" t="b">
        <v>0</v>
      </c>
      <c r="R170" s="114" t="b">
        <v>0</v>
      </c>
      <c r="S170" s="114" t="b">
        <v>0</v>
      </c>
      <c r="T170" s="114" t="b">
        <v>0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0</v>
      </c>
      <c r="AA170" s="114" t="b">
        <v>0</v>
      </c>
      <c r="AB170" s="114" t="b">
        <v>0</v>
      </c>
      <c r="AC170" s="114" t="b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0</v>
      </c>
      <c r="AJ170" s="114" t="b">
        <v>0</v>
      </c>
      <c r="AK170" s="114" t="b">
        <v>0</v>
      </c>
      <c r="AL170" s="115" t="str">
        <f t="shared" si="1"/>
        <v>0 dari 31 (0%)</v>
      </c>
    </row>
    <row r="171" ht="22.5" customHeight="1">
      <c r="A171" s="10">
        <v>170.0</v>
      </c>
      <c r="B171" s="11"/>
      <c r="C171" s="140"/>
      <c r="D171" s="138"/>
      <c r="E171" s="138"/>
      <c r="F171" s="13"/>
      <c r="G171" s="114" t="b">
        <v>0</v>
      </c>
      <c r="H171" s="114" t="b">
        <v>0</v>
      </c>
      <c r="I171" s="114" t="b">
        <v>0</v>
      </c>
      <c r="J171" s="114" t="b">
        <v>0</v>
      </c>
      <c r="K171" s="114" t="b">
        <v>0</v>
      </c>
      <c r="L171" s="114" t="b">
        <v>0</v>
      </c>
      <c r="M171" s="114" t="b">
        <v>0</v>
      </c>
      <c r="N171" s="114" t="b">
        <v>0</v>
      </c>
      <c r="O171" s="114" t="b">
        <v>0</v>
      </c>
      <c r="P171" s="114" t="b">
        <v>0</v>
      </c>
      <c r="Q171" s="114" t="b">
        <v>0</v>
      </c>
      <c r="R171" s="114" t="b">
        <v>0</v>
      </c>
      <c r="S171" s="114" t="b">
        <v>0</v>
      </c>
      <c r="T171" s="114" t="b">
        <v>0</v>
      </c>
      <c r="U171" s="114" t="b">
        <v>0</v>
      </c>
      <c r="V171" s="114" t="b">
        <v>0</v>
      </c>
      <c r="W171" s="114" t="b">
        <v>0</v>
      </c>
      <c r="X171" s="114" t="b">
        <v>0</v>
      </c>
      <c r="Y171" s="114" t="b">
        <v>0</v>
      </c>
      <c r="Z171" s="114" t="b">
        <v>0</v>
      </c>
      <c r="AA171" s="114" t="b">
        <v>0</v>
      </c>
      <c r="AB171" s="114" t="b">
        <v>0</v>
      </c>
      <c r="AC171" s="114" t="b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 t="b">
        <v>0</v>
      </c>
      <c r="AI171" s="114" t="b">
        <v>0</v>
      </c>
      <c r="AJ171" s="114" t="b">
        <v>0</v>
      </c>
      <c r="AK171" s="114" t="b">
        <v>0</v>
      </c>
      <c r="AL171" s="115" t="str">
        <f t="shared" si="1"/>
        <v>0 dari 31 (0%)</v>
      </c>
    </row>
    <row r="172" ht="22.5" customHeight="1">
      <c r="A172" s="2">
        <v>171.0</v>
      </c>
      <c r="B172" s="11"/>
      <c r="C172" s="140"/>
      <c r="D172" s="138"/>
      <c r="E172" s="138"/>
      <c r="F172" s="13"/>
      <c r="G172" s="114" t="b">
        <v>0</v>
      </c>
      <c r="H172" s="114" t="b">
        <v>0</v>
      </c>
      <c r="I172" s="114" t="b">
        <v>0</v>
      </c>
      <c r="J172" s="114" t="b">
        <v>0</v>
      </c>
      <c r="K172" s="114" t="b">
        <v>0</v>
      </c>
      <c r="L172" s="114" t="b">
        <v>0</v>
      </c>
      <c r="M172" s="114" t="b">
        <v>0</v>
      </c>
      <c r="N172" s="114" t="b">
        <v>0</v>
      </c>
      <c r="O172" s="114" t="b">
        <v>0</v>
      </c>
      <c r="P172" s="114" t="b">
        <v>0</v>
      </c>
      <c r="Q172" s="114" t="b">
        <v>0</v>
      </c>
      <c r="R172" s="114" t="b">
        <v>0</v>
      </c>
      <c r="S172" s="114" t="b">
        <v>0</v>
      </c>
      <c r="T172" s="114" t="b">
        <v>0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0</v>
      </c>
      <c r="AJ172" s="114" t="b">
        <v>0</v>
      </c>
      <c r="AK172" s="114" t="b">
        <v>0</v>
      </c>
      <c r="AL172" s="115" t="str">
        <f t="shared" si="1"/>
        <v>0 dari 31 (0%)</v>
      </c>
    </row>
    <row r="173" ht="22.5" customHeight="1">
      <c r="A173" s="10">
        <v>172.0</v>
      </c>
      <c r="B173" s="11"/>
      <c r="C173" s="140"/>
      <c r="D173" s="138"/>
      <c r="E173" s="138"/>
      <c r="F173" s="13"/>
      <c r="G173" s="114" t="b">
        <v>0</v>
      </c>
      <c r="H173" s="114" t="b">
        <v>0</v>
      </c>
      <c r="I173" s="114" t="b">
        <v>0</v>
      </c>
      <c r="J173" s="114" t="b">
        <v>0</v>
      </c>
      <c r="K173" s="114" t="b">
        <v>0</v>
      </c>
      <c r="L173" s="114" t="b">
        <v>0</v>
      </c>
      <c r="M173" s="114" t="b">
        <v>0</v>
      </c>
      <c r="N173" s="114" t="b">
        <v>0</v>
      </c>
      <c r="O173" s="114" t="b">
        <v>0</v>
      </c>
      <c r="P173" s="114" t="b">
        <v>0</v>
      </c>
      <c r="Q173" s="114" t="b">
        <v>0</v>
      </c>
      <c r="R173" s="114" t="b">
        <v>0</v>
      </c>
      <c r="S173" s="114" t="b">
        <v>0</v>
      </c>
      <c r="T173" s="114" t="b">
        <v>0</v>
      </c>
      <c r="U173" s="114" t="b">
        <v>0</v>
      </c>
      <c r="V173" s="114" t="b">
        <v>0</v>
      </c>
      <c r="W173" s="114" t="b">
        <v>0</v>
      </c>
      <c r="X173" s="114" t="b">
        <v>0</v>
      </c>
      <c r="Y173" s="114" t="b">
        <v>0</v>
      </c>
      <c r="Z173" s="114" t="b">
        <v>0</v>
      </c>
      <c r="AA173" s="114" t="b">
        <v>0</v>
      </c>
      <c r="AB173" s="114" t="b">
        <v>0</v>
      </c>
      <c r="AC173" s="114" t="b">
        <v>0</v>
      </c>
      <c r="AD173" s="114" t="b">
        <v>0</v>
      </c>
      <c r="AE173" s="114" t="b">
        <v>0</v>
      </c>
      <c r="AF173" s="114" t="b">
        <v>0</v>
      </c>
      <c r="AG173" s="114" t="b">
        <v>0</v>
      </c>
      <c r="AH173" s="114" t="b">
        <v>0</v>
      </c>
      <c r="AI173" s="114" t="b">
        <v>0</v>
      </c>
      <c r="AJ173" s="114" t="b">
        <v>0</v>
      </c>
      <c r="AK173" s="114" t="b">
        <v>0</v>
      </c>
      <c r="AL173" s="115" t="str">
        <f t="shared" si="1"/>
        <v>0 dari 31 (0%)</v>
      </c>
    </row>
    <row r="174" ht="22.5" customHeight="1">
      <c r="A174" s="10">
        <v>173.0</v>
      </c>
      <c r="B174" s="11"/>
      <c r="C174" s="140"/>
      <c r="D174" s="138"/>
      <c r="E174" s="138"/>
      <c r="F174" s="13"/>
      <c r="G174" s="114" t="b">
        <v>0</v>
      </c>
      <c r="H174" s="114" t="b">
        <v>0</v>
      </c>
      <c r="I174" s="114" t="b">
        <v>0</v>
      </c>
      <c r="J174" s="114" t="b">
        <v>0</v>
      </c>
      <c r="K174" s="114" t="b">
        <v>0</v>
      </c>
      <c r="L174" s="114" t="b">
        <v>0</v>
      </c>
      <c r="M174" s="114" t="b">
        <v>0</v>
      </c>
      <c r="N174" s="114" t="b">
        <v>0</v>
      </c>
      <c r="O174" s="114" t="b">
        <v>0</v>
      </c>
      <c r="P174" s="114" t="b">
        <v>0</v>
      </c>
      <c r="Q174" s="114" t="b">
        <v>0</v>
      </c>
      <c r="R174" s="114" t="b">
        <v>0</v>
      </c>
      <c r="S174" s="114" t="b">
        <v>0</v>
      </c>
      <c r="T174" s="114" t="b">
        <v>0</v>
      </c>
      <c r="U174" s="114" t="b">
        <v>0</v>
      </c>
      <c r="V174" s="114" t="b">
        <v>0</v>
      </c>
      <c r="W174" s="114" t="b">
        <v>0</v>
      </c>
      <c r="X174" s="114" t="b">
        <v>0</v>
      </c>
      <c r="Y174" s="114" t="b">
        <v>0</v>
      </c>
      <c r="Z174" s="114" t="b">
        <v>0</v>
      </c>
      <c r="AA174" s="114" t="b">
        <v>0</v>
      </c>
      <c r="AB174" s="114" t="b">
        <v>0</v>
      </c>
      <c r="AC174" s="114" t="b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 t="b">
        <v>0</v>
      </c>
      <c r="AI174" s="114" t="b">
        <v>0</v>
      </c>
      <c r="AJ174" s="114" t="b">
        <v>0</v>
      </c>
      <c r="AK174" s="114" t="b">
        <v>0</v>
      </c>
      <c r="AL174" s="115" t="str">
        <f t="shared" si="1"/>
        <v>0 dari 31 (0%)</v>
      </c>
    </row>
    <row r="175" ht="22.5" customHeight="1">
      <c r="A175" s="2">
        <v>174.0</v>
      </c>
      <c r="B175" s="11"/>
      <c r="C175" s="140"/>
      <c r="D175" s="138"/>
      <c r="E175" s="138"/>
      <c r="F175" s="13"/>
      <c r="G175" s="114" t="b">
        <v>0</v>
      </c>
      <c r="H175" s="114" t="b">
        <v>0</v>
      </c>
      <c r="I175" s="114" t="b">
        <v>0</v>
      </c>
      <c r="J175" s="114" t="b">
        <v>0</v>
      </c>
      <c r="K175" s="114" t="b">
        <v>0</v>
      </c>
      <c r="L175" s="114" t="b">
        <v>0</v>
      </c>
      <c r="M175" s="114" t="b">
        <v>0</v>
      </c>
      <c r="N175" s="114" t="b">
        <v>0</v>
      </c>
      <c r="O175" s="114" t="b">
        <v>0</v>
      </c>
      <c r="P175" s="114" t="b">
        <v>0</v>
      </c>
      <c r="Q175" s="114" t="b">
        <v>0</v>
      </c>
      <c r="R175" s="114" t="b">
        <v>0</v>
      </c>
      <c r="S175" s="114" t="b">
        <v>0</v>
      </c>
      <c r="T175" s="114" t="b">
        <v>0</v>
      </c>
      <c r="U175" s="114" t="b">
        <v>0</v>
      </c>
      <c r="V175" s="114" t="b">
        <v>0</v>
      </c>
      <c r="W175" s="114" t="b">
        <v>0</v>
      </c>
      <c r="X175" s="114" t="b">
        <v>0</v>
      </c>
      <c r="Y175" s="114" t="b">
        <v>0</v>
      </c>
      <c r="Z175" s="114" t="b">
        <v>0</v>
      </c>
      <c r="AA175" s="114" t="b">
        <v>0</v>
      </c>
      <c r="AB175" s="114" t="b">
        <v>0</v>
      </c>
      <c r="AC175" s="114" t="b">
        <v>0</v>
      </c>
      <c r="AD175" s="114" t="b">
        <v>0</v>
      </c>
      <c r="AE175" s="114" t="b">
        <v>0</v>
      </c>
      <c r="AF175" s="114" t="b">
        <v>0</v>
      </c>
      <c r="AG175" s="114" t="b">
        <v>0</v>
      </c>
      <c r="AH175" s="114" t="b">
        <v>0</v>
      </c>
      <c r="AI175" s="114" t="b">
        <v>0</v>
      </c>
      <c r="AJ175" s="114" t="b">
        <v>0</v>
      </c>
      <c r="AK175" s="114" t="b">
        <v>0</v>
      </c>
      <c r="AL175" s="115" t="str">
        <f t="shared" si="1"/>
        <v>0 dari 31 (0%)</v>
      </c>
    </row>
    <row r="176" ht="22.5" customHeight="1">
      <c r="A176" s="10">
        <v>175.0</v>
      </c>
      <c r="B176" s="11"/>
      <c r="C176" s="140"/>
      <c r="D176" s="138"/>
      <c r="E176" s="138"/>
      <c r="F176" s="13"/>
      <c r="G176" s="114" t="b">
        <v>0</v>
      </c>
      <c r="H176" s="114" t="b">
        <v>0</v>
      </c>
      <c r="I176" s="114" t="b">
        <v>0</v>
      </c>
      <c r="J176" s="114" t="b">
        <v>0</v>
      </c>
      <c r="K176" s="114" t="b">
        <v>0</v>
      </c>
      <c r="L176" s="114" t="b">
        <v>0</v>
      </c>
      <c r="M176" s="114" t="b">
        <v>0</v>
      </c>
      <c r="N176" s="114" t="b">
        <v>0</v>
      </c>
      <c r="O176" s="114" t="b">
        <v>0</v>
      </c>
      <c r="P176" s="114" t="b">
        <v>0</v>
      </c>
      <c r="Q176" s="114" t="b">
        <v>0</v>
      </c>
      <c r="R176" s="114" t="b">
        <v>0</v>
      </c>
      <c r="S176" s="114" t="b">
        <v>0</v>
      </c>
      <c r="T176" s="114" t="b">
        <v>0</v>
      </c>
      <c r="U176" s="114" t="b">
        <v>0</v>
      </c>
      <c r="V176" s="114" t="b">
        <v>0</v>
      </c>
      <c r="W176" s="114" t="b">
        <v>0</v>
      </c>
      <c r="X176" s="114" t="b">
        <v>0</v>
      </c>
      <c r="Y176" s="114" t="b">
        <v>0</v>
      </c>
      <c r="Z176" s="114" t="b">
        <v>0</v>
      </c>
      <c r="AA176" s="114" t="b">
        <v>0</v>
      </c>
      <c r="AB176" s="114" t="b">
        <v>0</v>
      </c>
      <c r="AC176" s="114" t="b">
        <v>0</v>
      </c>
      <c r="AD176" s="114" t="b">
        <v>0</v>
      </c>
      <c r="AE176" s="114" t="b">
        <v>0</v>
      </c>
      <c r="AF176" s="114" t="b">
        <v>0</v>
      </c>
      <c r="AG176" s="114" t="b">
        <v>0</v>
      </c>
      <c r="AH176" s="114" t="b">
        <v>0</v>
      </c>
      <c r="AI176" s="114" t="b">
        <v>0</v>
      </c>
      <c r="AJ176" s="114" t="b">
        <v>0</v>
      </c>
      <c r="AK176" s="114" t="b">
        <v>0</v>
      </c>
      <c r="AL176" s="115" t="str">
        <f t="shared" si="1"/>
        <v>0 dari 31 (0%)</v>
      </c>
    </row>
    <row r="177" ht="22.5" customHeight="1">
      <c r="A177" s="10">
        <v>176.0</v>
      </c>
      <c r="B177" s="11"/>
      <c r="C177" s="140"/>
      <c r="D177" s="138"/>
      <c r="E177" s="138"/>
      <c r="F177" s="13"/>
      <c r="G177" s="114" t="b">
        <v>0</v>
      </c>
      <c r="H177" s="114" t="b">
        <v>0</v>
      </c>
      <c r="I177" s="114" t="b">
        <v>0</v>
      </c>
      <c r="J177" s="114" t="b">
        <v>0</v>
      </c>
      <c r="K177" s="114" t="b">
        <v>0</v>
      </c>
      <c r="L177" s="114" t="b">
        <v>0</v>
      </c>
      <c r="M177" s="114" t="b">
        <v>0</v>
      </c>
      <c r="N177" s="114" t="b">
        <v>0</v>
      </c>
      <c r="O177" s="114" t="b">
        <v>0</v>
      </c>
      <c r="P177" s="114" t="b">
        <v>0</v>
      </c>
      <c r="Q177" s="114" t="b">
        <v>0</v>
      </c>
      <c r="R177" s="114" t="b">
        <v>0</v>
      </c>
      <c r="S177" s="114" t="b">
        <v>0</v>
      </c>
      <c r="T177" s="114" t="b">
        <v>0</v>
      </c>
      <c r="U177" s="114" t="b">
        <v>0</v>
      </c>
      <c r="V177" s="114" t="b">
        <v>0</v>
      </c>
      <c r="W177" s="114" t="b">
        <v>0</v>
      </c>
      <c r="X177" s="114" t="b">
        <v>0</v>
      </c>
      <c r="Y177" s="114" t="b">
        <v>0</v>
      </c>
      <c r="Z177" s="114" t="b">
        <v>0</v>
      </c>
      <c r="AA177" s="114" t="b">
        <v>0</v>
      </c>
      <c r="AB177" s="114" t="b">
        <v>0</v>
      </c>
      <c r="AC177" s="114" t="b">
        <v>0</v>
      </c>
      <c r="AD177" s="114" t="b">
        <v>0</v>
      </c>
      <c r="AE177" s="114" t="b">
        <v>0</v>
      </c>
      <c r="AF177" s="114" t="b">
        <v>0</v>
      </c>
      <c r="AG177" s="114" t="b">
        <v>0</v>
      </c>
      <c r="AH177" s="114" t="b">
        <v>0</v>
      </c>
      <c r="AI177" s="114" t="b">
        <v>0</v>
      </c>
      <c r="AJ177" s="114" t="b">
        <v>0</v>
      </c>
      <c r="AK177" s="114" t="b">
        <v>0</v>
      </c>
      <c r="AL177" s="115" t="str">
        <f t="shared" si="1"/>
        <v>0 dari 31 (0%)</v>
      </c>
    </row>
    <row r="178" ht="22.5" customHeight="1">
      <c r="A178" s="2">
        <v>177.0</v>
      </c>
      <c r="B178" s="11"/>
      <c r="C178" s="140"/>
      <c r="D178" s="138"/>
      <c r="E178" s="138"/>
      <c r="F178" s="13"/>
      <c r="G178" s="114" t="b">
        <v>0</v>
      </c>
      <c r="H178" s="114" t="b">
        <v>0</v>
      </c>
      <c r="I178" s="114" t="b">
        <v>0</v>
      </c>
      <c r="J178" s="114" t="b">
        <v>0</v>
      </c>
      <c r="K178" s="114" t="b">
        <v>0</v>
      </c>
      <c r="L178" s="114" t="b">
        <v>0</v>
      </c>
      <c r="M178" s="114" t="b">
        <v>0</v>
      </c>
      <c r="N178" s="114" t="b">
        <v>0</v>
      </c>
      <c r="O178" s="114" t="b">
        <v>0</v>
      </c>
      <c r="P178" s="114" t="b">
        <v>0</v>
      </c>
      <c r="Q178" s="114" t="b">
        <v>0</v>
      </c>
      <c r="R178" s="114" t="b">
        <v>0</v>
      </c>
      <c r="S178" s="114" t="b">
        <v>0</v>
      </c>
      <c r="T178" s="114" t="b">
        <v>0</v>
      </c>
      <c r="U178" s="114" t="b">
        <v>0</v>
      </c>
      <c r="V178" s="114" t="b">
        <v>0</v>
      </c>
      <c r="W178" s="114" t="b">
        <v>0</v>
      </c>
      <c r="X178" s="114" t="b">
        <v>0</v>
      </c>
      <c r="Y178" s="114" t="b">
        <v>0</v>
      </c>
      <c r="Z178" s="114" t="b">
        <v>0</v>
      </c>
      <c r="AA178" s="114" t="b">
        <v>0</v>
      </c>
      <c r="AB178" s="114" t="b">
        <v>0</v>
      </c>
      <c r="AC178" s="114" t="b">
        <v>0</v>
      </c>
      <c r="AD178" s="114" t="b">
        <v>0</v>
      </c>
      <c r="AE178" s="114" t="b">
        <v>0</v>
      </c>
      <c r="AF178" s="114" t="b">
        <v>0</v>
      </c>
      <c r="AG178" s="114" t="b">
        <v>0</v>
      </c>
      <c r="AH178" s="114" t="b">
        <v>0</v>
      </c>
      <c r="AI178" s="114" t="b">
        <v>0</v>
      </c>
      <c r="AJ178" s="114" t="b">
        <v>0</v>
      </c>
      <c r="AK178" s="114" t="b">
        <v>0</v>
      </c>
      <c r="AL178" s="115" t="str">
        <f t="shared" si="1"/>
        <v>0 dari 31 (0%)</v>
      </c>
    </row>
    <row r="179" ht="22.5" customHeight="1">
      <c r="A179" s="10">
        <v>178.0</v>
      </c>
      <c r="B179" s="11"/>
      <c r="C179" s="140"/>
      <c r="D179" s="138"/>
      <c r="E179" s="138"/>
      <c r="F179" s="13"/>
      <c r="G179" s="114" t="b">
        <v>0</v>
      </c>
      <c r="H179" s="114" t="b">
        <v>0</v>
      </c>
      <c r="I179" s="114" t="b">
        <v>0</v>
      </c>
      <c r="J179" s="114" t="b">
        <v>0</v>
      </c>
      <c r="K179" s="114" t="b">
        <v>0</v>
      </c>
      <c r="L179" s="114" t="b">
        <v>0</v>
      </c>
      <c r="M179" s="114" t="b">
        <v>0</v>
      </c>
      <c r="N179" s="114" t="b">
        <v>0</v>
      </c>
      <c r="O179" s="114" t="b">
        <v>0</v>
      </c>
      <c r="P179" s="114" t="b">
        <v>0</v>
      </c>
      <c r="Q179" s="114" t="b">
        <v>0</v>
      </c>
      <c r="R179" s="114" t="b">
        <v>0</v>
      </c>
      <c r="S179" s="114" t="b">
        <v>0</v>
      </c>
      <c r="T179" s="114" t="b">
        <v>0</v>
      </c>
      <c r="U179" s="114" t="b">
        <v>0</v>
      </c>
      <c r="V179" s="114" t="b">
        <v>0</v>
      </c>
      <c r="W179" s="114" t="b">
        <v>0</v>
      </c>
      <c r="X179" s="114" t="b">
        <v>0</v>
      </c>
      <c r="Y179" s="114" t="b">
        <v>0</v>
      </c>
      <c r="Z179" s="114" t="b">
        <v>0</v>
      </c>
      <c r="AA179" s="114" t="b">
        <v>0</v>
      </c>
      <c r="AB179" s="114" t="b">
        <v>0</v>
      </c>
      <c r="AC179" s="114" t="b">
        <v>0</v>
      </c>
      <c r="AD179" s="114" t="b">
        <v>0</v>
      </c>
      <c r="AE179" s="114" t="b">
        <v>0</v>
      </c>
      <c r="AF179" s="114" t="b">
        <v>0</v>
      </c>
      <c r="AG179" s="114" t="b">
        <v>0</v>
      </c>
      <c r="AH179" s="114" t="b">
        <v>0</v>
      </c>
      <c r="AI179" s="114" t="b">
        <v>0</v>
      </c>
      <c r="AJ179" s="114" t="b">
        <v>0</v>
      </c>
      <c r="AK179" s="114" t="b">
        <v>0</v>
      </c>
      <c r="AL179" s="115" t="str">
        <f t="shared" si="1"/>
        <v>0 dari 31 (0%)</v>
      </c>
    </row>
    <row r="180" ht="22.5" customHeight="1">
      <c r="A180" s="10">
        <v>179.0</v>
      </c>
      <c r="B180" s="11"/>
      <c r="C180" s="140"/>
      <c r="D180" s="138"/>
      <c r="E180" s="138"/>
      <c r="F180" s="13"/>
      <c r="G180" s="114" t="b">
        <v>0</v>
      </c>
      <c r="H180" s="114" t="b">
        <v>0</v>
      </c>
      <c r="I180" s="114" t="b">
        <v>0</v>
      </c>
      <c r="J180" s="114" t="b">
        <v>0</v>
      </c>
      <c r="K180" s="114" t="b">
        <v>0</v>
      </c>
      <c r="L180" s="114" t="b">
        <v>0</v>
      </c>
      <c r="M180" s="114" t="b">
        <v>0</v>
      </c>
      <c r="N180" s="114" t="b">
        <v>0</v>
      </c>
      <c r="O180" s="114" t="b">
        <v>0</v>
      </c>
      <c r="P180" s="114" t="b">
        <v>0</v>
      </c>
      <c r="Q180" s="114" t="b">
        <v>0</v>
      </c>
      <c r="R180" s="114" t="b">
        <v>0</v>
      </c>
      <c r="S180" s="114" t="b">
        <v>0</v>
      </c>
      <c r="T180" s="114" t="b">
        <v>0</v>
      </c>
      <c r="U180" s="114" t="b">
        <v>0</v>
      </c>
      <c r="V180" s="114" t="b">
        <v>0</v>
      </c>
      <c r="W180" s="114" t="b">
        <v>0</v>
      </c>
      <c r="X180" s="114" t="b">
        <v>0</v>
      </c>
      <c r="Y180" s="114" t="b">
        <v>0</v>
      </c>
      <c r="Z180" s="114" t="b">
        <v>0</v>
      </c>
      <c r="AA180" s="114" t="b">
        <v>0</v>
      </c>
      <c r="AB180" s="114" t="b">
        <v>0</v>
      </c>
      <c r="AC180" s="114" t="b">
        <v>0</v>
      </c>
      <c r="AD180" s="114" t="b">
        <v>0</v>
      </c>
      <c r="AE180" s="114" t="b">
        <v>0</v>
      </c>
      <c r="AF180" s="114" t="b">
        <v>0</v>
      </c>
      <c r="AG180" s="114" t="b">
        <v>0</v>
      </c>
      <c r="AH180" s="114" t="b">
        <v>0</v>
      </c>
      <c r="AI180" s="114" t="b">
        <v>0</v>
      </c>
      <c r="AJ180" s="114" t="b">
        <v>0</v>
      </c>
      <c r="AK180" s="114" t="b">
        <v>0</v>
      </c>
      <c r="AL180" s="115" t="str">
        <f t="shared" si="1"/>
        <v>0 dari 31 (0%)</v>
      </c>
    </row>
    <row r="181" ht="22.5" customHeight="1">
      <c r="A181" s="2">
        <v>180.0</v>
      </c>
      <c r="B181" s="11"/>
      <c r="C181" s="140"/>
      <c r="D181" s="138"/>
      <c r="E181" s="138"/>
      <c r="F181" s="13"/>
      <c r="G181" s="114" t="b">
        <v>0</v>
      </c>
      <c r="H181" s="114" t="b">
        <v>0</v>
      </c>
      <c r="I181" s="114" t="b">
        <v>0</v>
      </c>
      <c r="J181" s="114" t="b">
        <v>0</v>
      </c>
      <c r="K181" s="114" t="b">
        <v>0</v>
      </c>
      <c r="L181" s="114" t="b">
        <v>0</v>
      </c>
      <c r="M181" s="114" t="b">
        <v>0</v>
      </c>
      <c r="N181" s="114" t="b">
        <v>0</v>
      </c>
      <c r="O181" s="114" t="b">
        <v>0</v>
      </c>
      <c r="P181" s="114" t="b">
        <v>0</v>
      </c>
      <c r="Q181" s="114" t="b">
        <v>0</v>
      </c>
      <c r="R181" s="114" t="b">
        <v>0</v>
      </c>
      <c r="S181" s="114" t="b">
        <v>0</v>
      </c>
      <c r="T181" s="114" t="b">
        <v>0</v>
      </c>
      <c r="U181" s="114" t="b">
        <v>0</v>
      </c>
      <c r="V181" s="114" t="b">
        <v>0</v>
      </c>
      <c r="W181" s="114" t="b">
        <v>0</v>
      </c>
      <c r="X181" s="114" t="b">
        <v>0</v>
      </c>
      <c r="Y181" s="114" t="b">
        <v>0</v>
      </c>
      <c r="Z181" s="114" t="b">
        <v>0</v>
      </c>
      <c r="AA181" s="114" t="b">
        <v>0</v>
      </c>
      <c r="AB181" s="114" t="b">
        <v>0</v>
      </c>
      <c r="AC181" s="114" t="b">
        <v>0</v>
      </c>
      <c r="AD181" s="114" t="b">
        <v>0</v>
      </c>
      <c r="AE181" s="114" t="b">
        <v>0</v>
      </c>
      <c r="AF181" s="114" t="b">
        <v>0</v>
      </c>
      <c r="AG181" s="114" t="b">
        <v>0</v>
      </c>
      <c r="AH181" s="114" t="b">
        <v>0</v>
      </c>
      <c r="AI181" s="114" t="b">
        <v>0</v>
      </c>
      <c r="AJ181" s="114" t="b">
        <v>0</v>
      </c>
      <c r="AK181" s="114" t="b">
        <v>0</v>
      </c>
      <c r="AL181" s="115" t="str">
        <f t="shared" si="1"/>
        <v>0 dari 31 (0%)</v>
      </c>
    </row>
    <row r="182" ht="22.5" customHeight="1">
      <c r="A182" s="10">
        <v>181.0</v>
      </c>
      <c r="B182" s="11"/>
      <c r="C182" s="140"/>
      <c r="D182" s="138"/>
      <c r="E182" s="138"/>
      <c r="F182" s="13"/>
      <c r="G182" s="114" t="b">
        <v>0</v>
      </c>
      <c r="H182" s="114" t="b">
        <v>0</v>
      </c>
      <c r="I182" s="114" t="b">
        <v>0</v>
      </c>
      <c r="J182" s="114" t="b">
        <v>0</v>
      </c>
      <c r="K182" s="114" t="b">
        <v>0</v>
      </c>
      <c r="L182" s="114" t="b">
        <v>0</v>
      </c>
      <c r="M182" s="114" t="b">
        <v>0</v>
      </c>
      <c r="N182" s="114" t="b">
        <v>0</v>
      </c>
      <c r="O182" s="114" t="b">
        <v>0</v>
      </c>
      <c r="P182" s="114" t="b">
        <v>0</v>
      </c>
      <c r="Q182" s="114" t="b">
        <v>0</v>
      </c>
      <c r="R182" s="114" t="b">
        <v>0</v>
      </c>
      <c r="S182" s="114" t="b">
        <v>0</v>
      </c>
      <c r="T182" s="114" t="b">
        <v>0</v>
      </c>
      <c r="U182" s="114" t="b">
        <v>0</v>
      </c>
      <c r="V182" s="114" t="b">
        <v>0</v>
      </c>
      <c r="W182" s="114" t="b">
        <v>0</v>
      </c>
      <c r="X182" s="114" t="b">
        <v>0</v>
      </c>
      <c r="Y182" s="114" t="b">
        <v>0</v>
      </c>
      <c r="Z182" s="114" t="b">
        <v>0</v>
      </c>
      <c r="AA182" s="114" t="b">
        <v>0</v>
      </c>
      <c r="AB182" s="114" t="b">
        <v>0</v>
      </c>
      <c r="AC182" s="114" t="b">
        <v>0</v>
      </c>
      <c r="AD182" s="114" t="b">
        <v>0</v>
      </c>
      <c r="AE182" s="114" t="b">
        <v>0</v>
      </c>
      <c r="AF182" s="114" t="b">
        <v>0</v>
      </c>
      <c r="AG182" s="114" t="b">
        <v>0</v>
      </c>
      <c r="AH182" s="114" t="b">
        <v>0</v>
      </c>
      <c r="AI182" s="114" t="b">
        <v>0</v>
      </c>
      <c r="AJ182" s="114" t="b">
        <v>0</v>
      </c>
      <c r="AK182" s="114" t="b">
        <v>0</v>
      </c>
      <c r="AL182" s="115" t="str">
        <f t="shared" si="1"/>
        <v>0 dari 31 (0%)</v>
      </c>
    </row>
    <row r="183" ht="22.5" customHeight="1">
      <c r="A183" s="10">
        <v>182.0</v>
      </c>
      <c r="B183" s="11"/>
      <c r="C183" s="140"/>
      <c r="D183" s="138"/>
      <c r="E183" s="138"/>
      <c r="F183" s="13"/>
      <c r="G183" s="114" t="b">
        <v>0</v>
      </c>
      <c r="H183" s="114" t="b">
        <v>0</v>
      </c>
      <c r="I183" s="114" t="b">
        <v>0</v>
      </c>
      <c r="J183" s="114" t="b">
        <v>0</v>
      </c>
      <c r="K183" s="114" t="b">
        <v>0</v>
      </c>
      <c r="L183" s="114" t="b">
        <v>0</v>
      </c>
      <c r="M183" s="114" t="b">
        <v>0</v>
      </c>
      <c r="N183" s="114" t="b">
        <v>0</v>
      </c>
      <c r="O183" s="114" t="b">
        <v>0</v>
      </c>
      <c r="P183" s="114" t="b">
        <v>0</v>
      </c>
      <c r="Q183" s="114" t="b">
        <v>0</v>
      </c>
      <c r="R183" s="114" t="b">
        <v>0</v>
      </c>
      <c r="S183" s="114" t="b">
        <v>0</v>
      </c>
      <c r="T183" s="114" t="b">
        <v>0</v>
      </c>
      <c r="U183" s="114" t="b">
        <v>0</v>
      </c>
      <c r="V183" s="114" t="b">
        <v>0</v>
      </c>
      <c r="W183" s="114" t="b">
        <v>0</v>
      </c>
      <c r="X183" s="114" t="b">
        <v>0</v>
      </c>
      <c r="Y183" s="114" t="b">
        <v>0</v>
      </c>
      <c r="Z183" s="114" t="b">
        <v>0</v>
      </c>
      <c r="AA183" s="114" t="b">
        <v>0</v>
      </c>
      <c r="AB183" s="114" t="b">
        <v>0</v>
      </c>
      <c r="AC183" s="114" t="b">
        <v>0</v>
      </c>
      <c r="AD183" s="114" t="b">
        <v>0</v>
      </c>
      <c r="AE183" s="114" t="b">
        <v>0</v>
      </c>
      <c r="AF183" s="114" t="b">
        <v>0</v>
      </c>
      <c r="AG183" s="114" t="b">
        <v>0</v>
      </c>
      <c r="AH183" s="114" t="b">
        <v>0</v>
      </c>
      <c r="AI183" s="114" t="b">
        <v>0</v>
      </c>
      <c r="AJ183" s="114" t="b">
        <v>0</v>
      </c>
      <c r="AK183" s="114" t="b">
        <v>0</v>
      </c>
      <c r="AL183" s="115" t="str">
        <f t="shared" si="1"/>
        <v>0 dari 31 (0%)</v>
      </c>
    </row>
    <row r="184" ht="22.5" customHeight="1">
      <c r="A184" s="2">
        <v>183.0</v>
      </c>
      <c r="B184" s="11"/>
      <c r="C184" s="140"/>
      <c r="D184" s="138"/>
      <c r="E184" s="138"/>
      <c r="F184" s="13"/>
      <c r="G184" s="114" t="b">
        <v>0</v>
      </c>
      <c r="H184" s="114" t="b">
        <v>0</v>
      </c>
      <c r="I184" s="114" t="b">
        <v>0</v>
      </c>
      <c r="J184" s="114" t="b">
        <v>0</v>
      </c>
      <c r="K184" s="114" t="b">
        <v>0</v>
      </c>
      <c r="L184" s="114" t="b">
        <v>0</v>
      </c>
      <c r="M184" s="114" t="b">
        <v>0</v>
      </c>
      <c r="N184" s="114" t="b">
        <v>0</v>
      </c>
      <c r="O184" s="114" t="b">
        <v>0</v>
      </c>
      <c r="P184" s="114" t="b">
        <v>0</v>
      </c>
      <c r="Q184" s="114" t="b">
        <v>0</v>
      </c>
      <c r="R184" s="114" t="b">
        <v>0</v>
      </c>
      <c r="S184" s="114" t="b">
        <v>0</v>
      </c>
      <c r="T184" s="114" t="b">
        <v>0</v>
      </c>
      <c r="U184" s="114" t="b">
        <v>0</v>
      </c>
      <c r="V184" s="114" t="b">
        <v>0</v>
      </c>
      <c r="W184" s="114" t="b">
        <v>0</v>
      </c>
      <c r="X184" s="114" t="b">
        <v>0</v>
      </c>
      <c r="Y184" s="114" t="b">
        <v>0</v>
      </c>
      <c r="Z184" s="114" t="b">
        <v>0</v>
      </c>
      <c r="AA184" s="114" t="b">
        <v>0</v>
      </c>
      <c r="AB184" s="114" t="b">
        <v>0</v>
      </c>
      <c r="AC184" s="114" t="b">
        <v>0</v>
      </c>
      <c r="AD184" s="114" t="b">
        <v>0</v>
      </c>
      <c r="AE184" s="114" t="b">
        <v>0</v>
      </c>
      <c r="AF184" s="114" t="b">
        <v>0</v>
      </c>
      <c r="AG184" s="114" t="b">
        <v>0</v>
      </c>
      <c r="AH184" s="114" t="b">
        <v>0</v>
      </c>
      <c r="AI184" s="114" t="b">
        <v>0</v>
      </c>
      <c r="AJ184" s="114" t="b">
        <v>0</v>
      </c>
      <c r="AK184" s="114" t="b">
        <v>0</v>
      </c>
      <c r="AL184" s="115" t="str">
        <f t="shared" si="1"/>
        <v>0 dari 31 (0%)</v>
      </c>
    </row>
    <row r="185" ht="22.5" customHeight="1">
      <c r="A185" s="10">
        <v>184.0</v>
      </c>
      <c r="B185" s="11"/>
      <c r="C185" s="140"/>
      <c r="D185" s="138"/>
      <c r="E185" s="138"/>
      <c r="F185" s="13"/>
      <c r="G185" s="114" t="b">
        <v>0</v>
      </c>
      <c r="H185" s="114" t="b">
        <v>0</v>
      </c>
      <c r="I185" s="114" t="b">
        <v>0</v>
      </c>
      <c r="J185" s="114" t="b">
        <v>0</v>
      </c>
      <c r="K185" s="114" t="b">
        <v>0</v>
      </c>
      <c r="L185" s="114" t="b">
        <v>0</v>
      </c>
      <c r="M185" s="114" t="b">
        <v>0</v>
      </c>
      <c r="N185" s="114" t="b">
        <v>0</v>
      </c>
      <c r="O185" s="114" t="b">
        <v>0</v>
      </c>
      <c r="P185" s="114" t="b">
        <v>0</v>
      </c>
      <c r="Q185" s="114" t="b">
        <v>0</v>
      </c>
      <c r="R185" s="114" t="b">
        <v>0</v>
      </c>
      <c r="S185" s="114" t="b">
        <v>0</v>
      </c>
      <c r="T185" s="114" t="b">
        <v>0</v>
      </c>
      <c r="U185" s="114" t="b">
        <v>0</v>
      </c>
      <c r="V185" s="114" t="b">
        <v>0</v>
      </c>
      <c r="W185" s="114" t="b">
        <v>0</v>
      </c>
      <c r="X185" s="114" t="b">
        <v>0</v>
      </c>
      <c r="Y185" s="114" t="b">
        <v>0</v>
      </c>
      <c r="Z185" s="114" t="b">
        <v>0</v>
      </c>
      <c r="AA185" s="114" t="b">
        <v>0</v>
      </c>
      <c r="AB185" s="114" t="b">
        <v>0</v>
      </c>
      <c r="AC185" s="114" t="b">
        <v>0</v>
      </c>
      <c r="AD185" s="114" t="b">
        <v>0</v>
      </c>
      <c r="AE185" s="114" t="b">
        <v>0</v>
      </c>
      <c r="AF185" s="114" t="b">
        <v>0</v>
      </c>
      <c r="AG185" s="114" t="b">
        <v>0</v>
      </c>
      <c r="AH185" s="114" t="b">
        <v>0</v>
      </c>
      <c r="AI185" s="114" t="b">
        <v>0</v>
      </c>
      <c r="AJ185" s="114" t="b">
        <v>0</v>
      </c>
      <c r="AK185" s="114" t="b">
        <v>0</v>
      </c>
      <c r="AL185" s="115" t="str">
        <f t="shared" si="1"/>
        <v>0 dari 31 (0%)</v>
      </c>
    </row>
    <row r="186" ht="22.5" customHeight="1">
      <c r="A186" s="10">
        <v>185.0</v>
      </c>
      <c r="B186" s="11"/>
      <c r="C186" s="140"/>
      <c r="D186" s="138"/>
      <c r="E186" s="138"/>
      <c r="F186" s="13"/>
      <c r="G186" s="114" t="b">
        <v>0</v>
      </c>
      <c r="H186" s="114" t="b">
        <v>0</v>
      </c>
      <c r="I186" s="114" t="b">
        <v>0</v>
      </c>
      <c r="J186" s="114" t="b">
        <v>0</v>
      </c>
      <c r="K186" s="114" t="b">
        <v>0</v>
      </c>
      <c r="L186" s="114" t="b">
        <v>0</v>
      </c>
      <c r="M186" s="114" t="b">
        <v>0</v>
      </c>
      <c r="N186" s="114" t="b">
        <v>0</v>
      </c>
      <c r="O186" s="114" t="b">
        <v>0</v>
      </c>
      <c r="P186" s="114" t="b">
        <v>0</v>
      </c>
      <c r="Q186" s="114" t="b">
        <v>0</v>
      </c>
      <c r="R186" s="114" t="b">
        <v>0</v>
      </c>
      <c r="S186" s="114" t="b">
        <v>0</v>
      </c>
      <c r="T186" s="114" t="b">
        <v>0</v>
      </c>
      <c r="U186" s="114" t="b">
        <v>0</v>
      </c>
      <c r="V186" s="114" t="b">
        <v>0</v>
      </c>
      <c r="W186" s="114" t="b">
        <v>0</v>
      </c>
      <c r="X186" s="114" t="b">
        <v>0</v>
      </c>
      <c r="Y186" s="114" t="b">
        <v>0</v>
      </c>
      <c r="Z186" s="114" t="b">
        <v>0</v>
      </c>
      <c r="AA186" s="114" t="b">
        <v>0</v>
      </c>
      <c r="AB186" s="114" t="b">
        <v>0</v>
      </c>
      <c r="AC186" s="114" t="b">
        <v>0</v>
      </c>
      <c r="AD186" s="114" t="b">
        <v>0</v>
      </c>
      <c r="AE186" s="114" t="b">
        <v>0</v>
      </c>
      <c r="AF186" s="114" t="b">
        <v>0</v>
      </c>
      <c r="AG186" s="114" t="b">
        <v>0</v>
      </c>
      <c r="AH186" s="114" t="b">
        <v>0</v>
      </c>
      <c r="AI186" s="114" t="b">
        <v>0</v>
      </c>
      <c r="AJ186" s="114" t="b">
        <v>0</v>
      </c>
      <c r="AK186" s="114" t="b">
        <v>0</v>
      </c>
      <c r="AL186" s="115" t="str">
        <f t="shared" si="1"/>
        <v>0 dari 31 (0%)</v>
      </c>
    </row>
    <row r="187" ht="22.5" customHeight="1">
      <c r="A187" s="2">
        <v>186.0</v>
      </c>
      <c r="B187" s="11"/>
      <c r="C187" s="140"/>
      <c r="D187" s="138"/>
      <c r="E187" s="138"/>
      <c r="F187" s="13"/>
      <c r="G187" s="114" t="b">
        <v>0</v>
      </c>
      <c r="H187" s="114" t="b">
        <v>0</v>
      </c>
      <c r="I187" s="114" t="b">
        <v>0</v>
      </c>
      <c r="J187" s="114" t="b">
        <v>0</v>
      </c>
      <c r="K187" s="114" t="b">
        <v>0</v>
      </c>
      <c r="L187" s="114" t="b">
        <v>0</v>
      </c>
      <c r="M187" s="114" t="b">
        <v>0</v>
      </c>
      <c r="N187" s="114" t="b">
        <v>0</v>
      </c>
      <c r="O187" s="114" t="b">
        <v>0</v>
      </c>
      <c r="P187" s="114" t="b">
        <v>0</v>
      </c>
      <c r="Q187" s="114" t="b">
        <v>0</v>
      </c>
      <c r="R187" s="114" t="b">
        <v>0</v>
      </c>
      <c r="S187" s="114" t="b">
        <v>0</v>
      </c>
      <c r="T187" s="114" t="b">
        <v>0</v>
      </c>
      <c r="U187" s="114" t="b">
        <v>0</v>
      </c>
      <c r="V187" s="114" t="b">
        <v>0</v>
      </c>
      <c r="W187" s="114" t="b">
        <v>0</v>
      </c>
      <c r="X187" s="114" t="b">
        <v>0</v>
      </c>
      <c r="Y187" s="114" t="b">
        <v>0</v>
      </c>
      <c r="Z187" s="114" t="b">
        <v>0</v>
      </c>
      <c r="AA187" s="114" t="b">
        <v>0</v>
      </c>
      <c r="AB187" s="114" t="b">
        <v>0</v>
      </c>
      <c r="AC187" s="114" t="b">
        <v>0</v>
      </c>
      <c r="AD187" s="114" t="b">
        <v>0</v>
      </c>
      <c r="AE187" s="114" t="b">
        <v>0</v>
      </c>
      <c r="AF187" s="114" t="b">
        <v>0</v>
      </c>
      <c r="AG187" s="114" t="b">
        <v>0</v>
      </c>
      <c r="AH187" s="114" t="b">
        <v>0</v>
      </c>
      <c r="AI187" s="114" t="b">
        <v>0</v>
      </c>
      <c r="AJ187" s="114" t="b">
        <v>0</v>
      </c>
      <c r="AK187" s="114" t="b">
        <v>0</v>
      </c>
      <c r="AL187" s="115" t="str">
        <f t="shared" si="1"/>
        <v>0 dari 31 (0%)</v>
      </c>
    </row>
    <row r="188" ht="22.5" customHeight="1">
      <c r="A188" s="10">
        <v>187.0</v>
      </c>
      <c r="B188" s="11"/>
      <c r="C188" s="140"/>
      <c r="D188" s="138"/>
      <c r="E188" s="138"/>
      <c r="F188" s="13"/>
      <c r="G188" s="114" t="b">
        <v>0</v>
      </c>
      <c r="H188" s="114" t="b">
        <v>0</v>
      </c>
      <c r="I188" s="114" t="b">
        <v>0</v>
      </c>
      <c r="J188" s="114" t="b">
        <v>0</v>
      </c>
      <c r="K188" s="114" t="b">
        <v>0</v>
      </c>
      <c r="L188" s="114" t="b">
        <v>0</v>
      </c>
      <c r="M188" s="114" t="b">
        <v>0</v>
      </c>
      <c r="N188" s="114" t="b">
        <v>0</v>
      </c>
      <c r="O188" s="114" t="b">
        <v>0</v>
      </c>
      <c r="P188" s="114" t="b">
        <v>0</v>
      </c>
      <c r="Q188" s="114" t="b">
        <v>0</v>
      </c>
      <c r="R188" s="114" t="b">
        <v>0</v>
      </c>
      <c r="S188" s="114" t="b">
        <v>0</v>
      </c>
      <c r="T188" s="114" t="b">
        <v>0</v>
      </c>
      <c r="U188" s="114" t="b">
        <v>0</v>
      </c>
      <c r="V188" s="114" t="b">
        <v>0</v>
      </c>
      <c r="W188" s="114" t="b">
        <v>0</v>
      </c>
      <c r="X188" s="114" t="b">
        <v>0</v>
      </c>
      <c r="Y188" s="114" t="b">
        <v>0</v>
      </c>
      <c r="Z188" s="114" t="b">
        <v>0</v>
      </c>
      <c r="AA188" s="114" t="b">
        <v>0</v>
      </c>
      <c r="AB188" s="114" t="b">
        <v>0</v>
      </c>
      <c r="AC188" s="114" t="b">
        <v>0</v>
      </c>
      <c r="AD188" s="114" t="b">
        <v>0</v>
      </c>
      <c r="AE188" s="114" t="b">
        <v>0</v>
      </c>
      <c r="AF188" s="114" t="b">
        <v>0</v>
      </c>
      <c r="AG188" s="114" t="b">
        <v>0</v>
      </c>
      <c r="AH188" s="114" t="b">
        <v>0</v>
      </c>
      <c r="AI188" s="114" t="b">
        <v>0</v>
      </c>
      <c r="AJ188" s="114" t="b">
        <v>0</v>
      </c>
      <c r="AK188" s="114" t="b">
        <v>0</v>
      </c>
      <c r="AL188" s="115" t="str">
        <f t="shared" si="1"/>
        <v>0 dari 31 (0%)</v>
      </c>
    </row>
    <row r="189" ht="22.5" customHeight="1">
      <c r="A189" s="10">
        <v>188.0</v>
      </c>
      <c r="B189" s="11"/>
      <c r="C189" s="140"/>
      <c r="D189" s="138"/>
      <c r="E189" s="138"/>
      <c r="F189" s="13"/>
      <c r="G189" s="114" t="b">
        <v>0</v>
      </c>
      <c r="H189" s="114" t="b">
        <v>0</v>
      </c>
      <c r="I189" s="114" t="b">
        <v>0</v>
      </c>
      <c r="J189" s="114" t="b">
        <v>0</v>
      </c>
      <c r="K189" s="114" t="b">
        <v>0</v>
      </c>
      <c r="L189" s="114" t="b">
        <v>0</v>
      </c>
      <c r="M189" s="114" t="b">
        <v>0</v>
      </c>
      <c r="N189" s="114" t="b">
        <v>0</v>
      </c>
      <c r="O189" s="114" t="b">
        <v>0</v>
      </c>
      <c r="P189" s="114" t="b">
        <v>0</v>
      </c>
      <c r="Q189" s="114" t="b">
        <v>0</v>
      </c>
      <c r="R189" s="114" t="b">
        <v>0</v>
      </c>
      <c r="S189" s="114" t="b">
        <v>0</v>
      </c>
      <c r="T189" s="114" t="b">
        <v>0</v>
      </c>
      <c r="U189" s="114" t="b">
        <v>0</v>
      </c>
      <c r="V189" s="114" t="b">
        <v>0</v>
      </c>
      <c r="W189" s="114" t="b">
        <v>0</v>
      </c>
      <c r="X189" s="114" t="b">
        <v>0</v>
      </c>
      <c r="Y189" s="114" t="b">
        <v>0</v>
      </c>
      <c r="Z189" s="114" t="b">
        <v>0</v>
      </c>
      <c r="AA189" s="114" t="b">
        <v>0</v>
      </c>
      <c r="AB189" s="114" t="b">
        <v>0</v>
      </c>
      <c r="AC189" s="114" t="b">
        <v>0</v>
      </c>
      <c r="AD189" s="114" t="b">
        <v>0</v>
      </c>
      <c r="AE189" s="114" t="b">
        <v>0</v>
      </c>
      <c r="AF189" s="114" t="b">
        <v>0</v>
      </c>
      <c r="AG189" s="114" t="b">
        <v>0</v>
      </c>
      <c r="AH189" s="114" t="b">
        <v>0</v>
      </c>
      <c r="AI189" s="114" t="b">
        <v>0</v>
      </c>
      <c r="AJ189" s="114" t="b">
        <v>0</v>
      </c>
      <c r="AK189" s="114" t="b">
        <v>0</v>
      </c>
      <c r="AL189" s="115" t="str">
        <f t="shared" si="1"/>
        <v>0 dari 31 (0%)</v>
      </c>
    </row>
    <row r="190" ht="22.5" customHeight="1">
      <c r="A190" s="2">
        <v>189.0</v>
      </c>
      <c r="B190" s="11"/>
      <c r="C190" s="140"/>
      <c r="D190" s="138"/>
      <c r="E190" s="138"/>
      <c r="F190" s="13"/>
      <c r="G190" s="114" t="b">
        <v>0</v>
      </c>
      <c r="H190" s="114" t="b">
        <v>0</v>
      </c>
      <c r="I190" s="114" t="b">
        <v>0</v>
      </c>
      <c r="J190" s="114" t="b">
        <v>0</v>
      </c>
      <c r="K190" s="114" t="b">
        <v>0</v>
      </c>
      <c r="L190" s="114" t="b">
        <v>0</v>
      </c>
      <c r="M190" s="114" t="b">
        <v>0</v>
      </c>
      <c r="N190" s="114" t="b">
        <v>0</v>
      </c>
      <c r="O190" s="114" t="b">
        <v>0</v>
      </c>
      <c r="P190" s="114" t="b">
        <v>0</v>
      </c>
      <c r="Q190" s="114" t="b">
        <v>0</v>
      </c>
      <c r="R190" s="114" t="b">
        <v>0</v>
      </c>
      <c r="S190" s="114" t="b">
        <v>0</v>
      </c>
      <c r="T190" s="114" t="b">
        <v>0</v>
      </c>
      <c r="U190" s="114" t="b">
        <v>0</v>
      </c>
      <c r="V190" s="114" t="b">
        <v>0</v>
      </c>
      <c r="W190" s="114" t="b">
        <v>0</v>
      </c>
      <c r="X190" s="114" t="b">
        <v>0</v>
      </c>
      <c r="Y190" s="114" t="b">
        <v>0</v>
      </c>
      <c r="Z190" s="114" t="b">
        <v>0</v>
      </c>
      <c r="AA190" s="114" t="b">
        <v>0</v>
      </c>
      <c r="AB190" s="114" t="b">
        <v>0</v>
      </c>
      <c r="AC190" s="114" t="b">
        <v>0</v>
      </c>
      <c r="AD190" s="114" t="b">
        <v>0</v>
      </c>
      <c r="AE190" s="114" t="b">
        <v>0</v>
      </c>
      <c r="AF190" s="114" t="b">
        <v>0</v>
      </c>
      <c r="AG190" s="114" t="b">
        <v>0</v>
      </c>
      <c r="AH190" s="114" t="b">
        <v>0</v>
      </c>
      <c r="AI190" s="114" t="b">
        <v>0</v>
      </c>
      <c r="AJ190" s="114" t="b">
        <v>0</v>
      </c>
      <c r="AK190" s="114" t="b">
        <v>0</v>
      </c>
      <c r="AL190" s="115" t="str">
        <f t="shared" si="1"/>
        <v>0 dari 31 (0%)</v>
      </c>
    </row>
    <row r="191" ht="22.5" customHeight="1">
      <c r="A191" s="10">
        <v>190.0</v>
      </c>
      <c r="B191" s="11"/>
      <c r="C191" s="140"/>
      <c r="D191" s="138"/>
      <c r="E191" s="138"/>
      <c r="F191" s="13"/>
      <c r="G191" s="114" t="b">
        <v>0</v>
      </c>
      <c r="H191" s="114" t="b">
        <v>0</v>
      </c>
      <c r="I191" s="114" t="b">
        <v>0</v>
      </c>
      <c r="J191" s="114" t="b">
        <v>0</v>
      </c>
      <c r="K191" s="114" t="b">
        <v>0</v>
      </c>
      <c r="L191" s="114" t="b">
        <v>0</v>
      </c>
      <c r="M191" s="114" t="b">
        <v>0</v>
      </c>
      <c r="N191" s="114" t="b">
        <v>0</v>
      </c>
      <c r="O191" s="114" t="b">
        <v>0</v>
      </c>
      <c r="P191" s="114" t="b">
        <v>0</v>
      </c>
      <c r="Q191" s="114" t="b">
        <v>0</v>
      </c>
      <c r="R191" s="114" t="b">
        <v>0</v>
      </c>
      <c r="S191" s="114" t="b">
        <v>0</v>
      </c>
      <c r="T191" s="114" t="b">
        <v>0</v>
      </c>
      <c r="U191" s="114" t="b">
        <v>0</v>
      </c>
      <c r="V191" s="114" t="b">
        <v>0</v>
      </c>
      <c r="W191" s="114" t="b">
        <v>0</v>
      </c>
      <c r="X191" s="114" t="b">
        <v>0</v>
      </c>
      <c r="Y191" s="114" t="b">
        <v>0</v>
      </c>
      <c r="Z191" s="114" t="b">
        <v>0</v>
      </c>
      <c r="AA191" s="114" t="b">
        <v>0</v>
      </c>
      <c r="AB191" s="114" t="b">
        <v>0</v>
      </c>
      <c r="AC191" s="114" t="b">
        <v>0</v>
      </c>
      <c r="AD191" s="114" t="b">
        <v>0</v>
      </c>
      <c r="AE191" s="114" t="b">
        <v>0</v>
      </c>
      <c r="AF191" s="114" t="b">
        <v>0</v>
      </c>
      <c r="AG191" s="114" t="b">
        <v>0</v>
      </c>
      <c r="AH191" s="114" t="b">
        <v>0</v>
      </c>
      <c r="AI191" s="114" t="b">
        <v>0</v>
      </c>
      <c r="AJ191" s="114" t="b">
        <v>0</v>
      </c>
      <c r="AK191" s="114" t="b">
        <v>0</v>
      </c>
      <c r="AL191" s="115" t="str">
        <f t="shared" si="1"/>
        <v>0 dari 31 (0%)</v>
      </c>
    </row>
    <row r="192" ht="22.5" customHeight="1">
      <c r="A192" s="10">
        <v>191.0</v>
      </c>
      <c r="B192" s="11"/>
      <c r="C192" s="140"/>
      <c r="D192" s="138"/>
      <c r="E192" s="138"/>
      <c r="F192" s="13"/>
      <c r="G192" s="114" t="b">
        <v>0</v>
      </c>
      <c r="H192" s="114" t="b">
        <v>0</v>
      </c>
      <c r="I192" s="114" t="b">
        <v>0</v>
      </c>
      <c r="J192" s="114" t="b">
        <v>0</v>
      </c>
      <c r="K192" s="114" t="b">
        <v>0</v>
      </c>
      <c r="L192" s="114" t="b">
        <v>0</v>
      </c>
      <c r="M192" s="114" t="b">
        <v>0</v>
      </c>
      <c r="N192" s="114" t="b">
        <v>0</v>
      </c>
      <c r="O192" s="114" t="b">
        <v>0</v>
      </c>
      <c r="P192" s="114" t="b">
        <v>0</v>
      </c>
      <c r="Q192" s="114" t="b">
        <v>0</v>
      </c>
      <c r="R192" s="114" t="b">
        <v>0</v>
      </c>
      <c r="S192" s="114" t="b">
        <v>0</v>
      </c>
      <c r="T192" s="114" t="b">
        <v>0</v>
      </c>
      <c r="U192" s="114" t="b">
        <v>0</v>
      </c>
      <c r="V192" s="114" t="b">
        <v>0</v>
      </c>
      <c r="W192" s="114" t="b">
        <v>0</v>
      </c>
      <c r="X192" s="114" t="b">
        <v>0</v>
      </c>
      <c r="Y192" s="114" t="b">
        <v>0</v>
      </c>
      <c r="Z192" s="114" t="b">
        <v>0</v>
      </c>
      <c r="AA192" s="114" t="b">
        <v>0</v>
      </c>
      <c r="AB192" s="114" t="b">
        <v>0</v>
      </c>
      <c r="AC192" s="114" t="b">
        <v>0</v>
      </c>
      <c r="AD192" s="114" t="b">
        <v>0</v>
      </c>
      <c r="AE192" s="114" t="b">
        <v>0</v>
      </c>
      <c r="AF192" s="114" t="b">
        <v>0</v>
      </c>
      <c r="AG192" s="114" t="b">
        <v>0</v>
      </c>
      <c r="AH192" s="114" t="b">
        <v>0</v>
      </c>
      <c r="AI192" s="114" t="b">
        <v>0</v>
      </c>
      <c r="AJ192" s="114" t="b">
        <v>0</v>
      </c>
      <c r="AK192" s="114" t="b">
        <v>0</v>
      </c>
      <c r="AL192" s="115" t="str">
        <f t="shared" si="1"/>
        <v>0 dari 31 (0%)</v>
      </c>
    </row>
    <row r="193" ht="22.5" customHeight="1">
      <c r="A193" s="2">
        <v>192.0</v>
      </c>
      <c r="B193" s="11"/>
      <c r="C193" s="140"/>
      <c r="D193" s="138"/>
      <c r="E193" s="138"/>
      <c r="F193" s="13"/>
      <c r="G193" s="114" t="b">
        <v>0</v>
      </c>
      <c r="H193" s="114" t="b">
        <v>0</v>
      </c>
      <c r="I193" s="114" t="b">
        <v>0</v>
      </c>
      <c r="J193" s="114" t="b">
        <v>0</v>
      </c>
      <c r="K193" s="114" t="b">
        <v>0</v>
      </c>
      <c r="L193" s="114" t="b">
        <v>0</v>
      </c>
      <c r="M193" s="114" t="b">
        <v>0</v>
      </c>
      <c r="N193" s="114" t="b">
        <v>0</v>
      </c>
      <c r="O193" s="114" t="b">
        <v>0</v>
      </c>
      <c r="P193" s="114" t="b">
        <v>0</v>
      </c>
      <c r="Q193" s="114" t="b">
        <v>0</v>
      </c>
      <c r="R193" s="114" t="b">
        <v>0</v>
      </c>
      <c r="S193" s="114" t="b">
        <v>0</v>
      </c>
      <c r="T193" s="114" t="b">
        <v>0</v>
      </c>
      <c r="U193" s="114" t="b">
        <v>0</v>
      </c>
      <c r="V193" s="114" t="b">
        <v>0</v>
      </c>
      <c r="W193" s="114" t="b">
        <v>0</v>
      </c>
      <c r="X193" s="114" t="b">
        <v>0</v>
      </c>
      <c r="Y193" s="114" t="b">
        <v>0</v>
      </c>
      <c r="Z193" s="114" t="b">
        <v>0</v>
      </c>
      <c r="AA193" s="114" t="b">
        <v>0</v>
      </c>
      <c r="AB193" s="114" t="b">
        <v>0</v>
      </c>
      <c r="AC193" s="114" t="b">
        <v>0</v>
      </c>
      <c r="AD193" s="114" t="b">
        <v>0</v>
      </c>
      <c r="AE193" s="114" t="b">
        <v>0</v>
      </c>
      <c r="AF193" s="114" t="b">
        <v>0</v>
      </c>
      <c r="AG193" s="114" t="b">
        <v>0</v>
      </c>
      <c r="AH193" s="114" t="b">
        <v>0</v>
      </c>
      <c r="AI193" s="114" t="b">
        <v>0</v>
      </c>
      <c r="AJ193" s="114" t="b">
        <v>0</v>
      </c>
      <c r="AK193" s="114" t="b">
        <v>0</v>
      </c>
      <c r="AL193" s="115" t="str">
        <f t="shared" si="1"/>
        <v>0 dari 31 (0%)</v>
      </c>
    </row>
    <row r="194" ht="22.5" customHeight="1">
      <c r="A194" s="10">
        <v>193.0</v>
      </c>
      <c r="B194" s="11"/>
      <c r="C194" s="140"/>
      <c r="D194" s="138"/>
      <c r="E194" s="138"/>
      <c r="F194" s="13"/>
      <c r="G194" s="114" t="b">
        <v>0</v>
      </c>
      <c r="H194" s="114" t="b">
        <v>0</v>
      </c>
      <c r="I194" s="114" t="b">
        <v>0</v>
      </c>
      <c r="J194" s="114" t="b">
        <v>0</v>
      </c>
      <c r="K194" s="114" t="b">
        <v>0</v>
      </c>
      <c r="L194" s="114" t="b">
        <v>0</v>
      </c>
      <c r="M194" s="114" t="b">
        <v>0</v>
      </c>
      <c r="N194" s="114" t="b">
        <v>0</v>
      </c>
      <c r="O194" s="114" t="b">
        <v>0</v>
      </c>
      <c r="P194" s="114" t="b">
        <v>0</v>
      </c>
      <c r="Q194" s="114" t="b">
        <v>0</v>
      </c>
      <c r="R194" s="114" t="b">
        <v>0</v>
      </c>
      <c r="S194" s="114" t="b">
        <v>0</v>
      </c>
      <c r="T194" s="114" t="b">
        <v>0</v>
      </c>
      <c r="U194" s="114" t="b">
        <v>0</v>
      </c>
      <c r="V194" s="114" t="b">
        <v>0</v>
      </c>
      <c r="W194" s="114" t="b">
        <v>0</v>
      </c>
      <c r="X194" s="114" t="b">
        <v>0</v>
      </c>
      <c r="Y194" s="114" t="b">
        <v>0</v>
      </c>
      <c r="Z194" s="114" t="b">
        <v>0</v>
      </c>
      <c r="AA194" s="114" t="b">
        <v>0</v>
      </c>
      <c r="AB194" s="114" t="b">
        <v>0</v>
      </c>
      <c r="AC194" s="114" t="b">
        <v>0</v>
      </c>
      <c r="AD194" s="114" t="b">
        <v>0</v>
      </c>
      <c r="AE194" s="114" t="b">
        <v>0</v>
      </c>
      <c r="AF194" s="114" t="b">
        <v>0</v>
      </c>
      <c r="AG194" s="114" t="b">
        <v>0</v>
      </c>
      <c r="AH194" s="114" t="b">
        <v>0</v>
      </c>
      <c r="AI194" s="114" t="b">
        <v>0</v>
      </c>
      <c r="AJ194" s="114" t="b">
        <v>0</v>
      </c>
      <c r="AK194" s="114" t="b">
        <v>0</v>
      </c>
      <c r="AL194" s="115" t="str">
        <f t="shared" si="1"/>
        <v>0 dari 31 (0%)</v>
      </c>
    </row>
    <row r="195" ht="22.5" customHeight="1">
      <c r="A195" s="10">
        <v>194.0</v>
      </c>
      <c r="B195" s="11"/>
      <c r="C195" s="140"/>
      <c r="D195" s="138"/>
      <c r="E195" s="138"/>
      <c r="F195" s="13"/>
      <c r="G195" s="114" t="b">
        <v>0</v>
      </c>
      <c r="H195" s="114" t="b">
        <v>0</v>
      </c>
      <c r="I195" s="114" t="b">
        <v>0</v>
      </c>
      <c r="J195" s="114" t="b">
        <v>0</v>
      </c>
      <c r="K195" s="114" t="b">
        <v>0</v>
      </c>
      <c r="L195" s="114" t="b">
        <v>0</v>
      </c>
      <c r="M195" s="114" t="b">
        <v>0</v>
      </c>
      <c r="N195" s="114" t="b">
        <v>0</v>
      </c>
      <c r="O195" s="114" t="b">
        <v>0</v>
      </c>
      <c r="P195" s="114" t="b">
        <v>0</v>
      </c>
      <c r="Q195" s="114" t="b">
        <v>0</v>
      </c>
      <c r="R195" s="114" t="b">
        <v>0</v>
      </c>
      <c r="S195" s="114" t="b">
        <v>0</v>
      </c>
      <c r="T195" s="114" t="b">
        <v>0</v>
      </c>
      <c r="U195" s="114" t="b">
        <v>0</v>
      </c>
      <c r="V195" s="114" t="b">
        <v>0</v>
      </c>
      <c r="W195" s="114" t="b">
        <v>0</v>
      </c>
      <c r="X195" s="114" t="b">
        <v>0</v>
      </c>
      <c r="Y195" s="114" t="b">
        <v>0</v>
      </c>
      <c r="Z195" s="114" t="b">
        <v>0</v>
      </c>
      <c r="AA195" s="114" t="b">
        <v>0</v>
      </c>
      <c r="AB195" s="114" t="b">
        <v>0</v>
      </c>
      <c r="AC195" s="114" t="b">
        <v>0</v>
      </c>
      <c r="AD195" s="114" t="b">
        <v>0</v>
      </c>
      <c r="AE195" s="114" t="b">
        <v>0</v>
      </c>
      <c r="AF195" s="114" t="b">
        <v>0</v>
      </c>
      <c r="AG195" s="114" t="b">
        <v>0</v>
      </c>
      <c r="AH195" s="114" t="b">
        <v>0</v>
      </c>
      <c r="AI195" s="114" t="b">
        <v>0</v>
      </c>
      <c r="AJ195" s="114" t="b">
        <v>0</v>
      </c>
      <c r="AK195" s="114" t="b">
        <v>0</v>
      </c>
      <c r="AL195" s="115" t="str">
        <f t="shared" si="1"/>
        <v>0 dari 31 (0%)</v>
      </c>
    </row>
    <row r="196" ht="22.5" customHeight="1">
      <c r="A196" s="2">
        <v>195.0</v>
      </c>
      <c r="B196" s="11"/>
      <c r="C196" s="140"/>
      <c r="D196" s="138"/>
      <c r="E196" s="138"/>
      <c r="F196" s="13"/>
      <c r="G196" s="114" t="b">
        <v>0</v>
      </c>
      <c r="H196" s="114" t="b">
        <v>0</v>
      </c>
      <c r="I196" s="114" t="b">
        <v>0</v>
      </c>
      <c r="J196" s="114" t="b">
        <v>0</v>
      </c>
      <c r="K196" s="114" t="b">
        <v>0</v>
      </c>
      <c r="L196" s="114" t="b">
        <v>0</v>
      </c>
      <c r="M196" s="114" t="b">
        <v>0</v>
      </c>
      <c r="N196" s="114" t="b">
        <v>0</v>
      </c>
      <c r="O196" s="114" t="b">
        <v>0</v>
      </c>
      <c r="P196" s="114" t="b">
        <v>0</v>
      </c>
      <c r="Q196" s="114" t="b">
        <v>0</v>
      </c>
      <c r="R196" s="114" t="b">
        <v>0</v>
      </c>
      <c r="S196" s="114" t="b">
        <v>0</v>
      </c>
      <c r="T196" s="114" t="b">
        <v>0</v>
      </c>
      <c r="U196" s="114" t="b">
        <v>0</v>
      </c>
      <c r="V196" s="114" t="b">
        <v>0</v>
      </c>
      <c r="W196" s="114" t="b">
        <v>0</v>
      </c>
      <c r="X196" s="114" t="b">
        <v>0</v>
      </c>
      <c r="Y196" s="114" t="b">
        <v>0</v>
      </c>
      <c r="Z196" s="114" t="b">
        <v>0</v>
      </c>
      <c r="AA196" s="114" t="b">
        <v>0</v>
      </c>
      <c r="AB196" s="114" t="b">
        <v>0</v>
      </c>
      <c r="AC196" s="114" t="b">
        <v>0</v>
      </c>
      <c r="AD196" s="114" t="b">
        <v>0</v>
      </c>
      <c r="AE196" s="114" t="b">
        <v>0</v>
      </c>
      <c r="AF196" s="114" t="b">
        <v>0</v>
      </c>
      <c r="AG196" s="114" t="b">
        <v>0</v>
      </c>
      <c r="AH196" s="114" t="b">
        <v>0</v>
      </c>
      <c r="AI196" s="114" t="b">
        <v>0</v>
      </c>
      <c r="AJ196" s="114" t="b">
        <v>0</v>
      </c>
      <c r="AK196" s="114" t="b">
        <v>0</v>
      </c>
      <c r="AL196" s="115" t="str">
        <f t="shared" si="1"/>
        <v>0 dari 31 (0%)</v>
      </c>
    </row>
    <row r="197" ht="22.5" customHeight="1">
      <c r="A197" s="10">
        <v>196.0</v>
      </c>
      <c r="B197" s="11"/>
      <c r="C197" s="140"/>
      <c r="D197" s="138"/>
      <c r="E197" s="138"/>
      <c r="F197" s="13"/>
      <c r="G197" s="114" t="b">
        <v>0</v>
      </c>
      <c r="H197" s="114" t="b">
        <v>0</v>
      </c>
      <c r="I197" s="114" t="b">
        <v>0</v>
      </c>
      <c r="J197" s="114" t="b">
        <v>0</v>
      </c>
      <c r="K197" s="114" t="b">
        <v>0</v>
      </c>
      <c r="L197" s="114" t="b">
        <v>0</v>
      </c>
      <c r="M197" s="114" t="b">
        <v>0</v>
      </c>
      <c r="N197" s="114" t="b">
        <v>0</v>
      </c>
      <c r="O197" s="114" t="b">
        <v>0</v>
      </c>
      <c r="P197" s="114" t="b">
        <v>0</v>
      </c>
      <c r="Q197" s="114" t="b">
        <v>0</v>
      </c>
      <c r="R197" s="114" t="b">
        <v>0</v>
      </c>
      <c r="S197" s="114" t="b">
        <v>0</v>
      </c>
      <c r="T197" s="114" t="b">
        <v>0</v>
      </c>
      <c r="U197" s="114" t="b">
        <v>0</v>
      </c>
      <c r="V197" s="114" t="b">
        <v>0</v>
      </c>
      <c r="W197" s="114" t="b">
        <v>0</v>
      </c>
      <c r="X197" s="114" t="b">
        <v>0</v>
      </c>
      <c r="Y197" s="114" t="b">
        <v>0</v>
      </c>
      <c r="Z197" s="114" t="b">
        <v>0</v>
      </c>
      <c r="AA197" s="114" t="b">
        <v>0</v>
      </c>
      <c r="AB197" s="114" t="b">
        <v>0</v>
      </c>
      <c r="AC197" s="114" t="b">
        <v>0</v>
      </c>
      <c r="AD197" s="114" t="b">
        <v>0</v>
      </c>
      <c r="AE197" s="114" t="b">
        <v>0</v>
      </c>
      <c r="AF197" s="114" t="b">
        <v>0</v>
      </c>
      <c r="AG197" s="114" t="b">
        <v>0</v>
      </c>
      <c r="AH197" s="114" t="b">
        <v>0</v>
      </c>
      <c r="AI197" s="114" t="b">
        <v>0</v>
      </c>
      <c r="AJ197" s="114" t="b">
        <v>0</v>
      </c>
      <c r="AK197" s="114" t="b">
        <v>0</v>
      </c>
      <c r="AL197" s="115" t="str">
        <f t="shared" si="1"/>
        <v>0 dari 31 (0%)</v>
      </c>
    </row>
    <row r="198" ht="22.5" customHeight="1">
      <c r="A198" s="2">
        <v>197.0</v>
      </c>
      <c r="B198" s="11"/>
      <c r="C198" s="140"/>
      <c r="D198" s="138"/>
      <c r="E198" s="138"/>
      <c r="F198" s="13"/>
      <c r="G198" s="114" t="b">
        <v>0</v>
      </c>
      <c r="H198" s="114" t="b">
        <v>0</v>
      </c>
      <c r="I198" s="114" t="b">
        <v>0</v>
      </c>
      <c r="J198" s="114" t="b">
        <v>0</v>
      </c>
      <c r="K198" s="114" t="b">
        <v>0</v>
      </c>
      <c r="L198" s="114" t="b">
        <v>0</v>
      </c>
      <c r="M198" s="114" t="b">
        <v>0</v>
      </c>
      <c r="N198" s="114" t="b">
        <v>0</v>
      </c>
      <c r="O198" s="114" t="b">
        <v>0</v>
      </c>
      <c r="P198" s="114" t="b">
        <v>0</v>
      </c>
      <c r="Q198" s="114" t="b">
        <v>0</v>
      </c>
      <c r="R198" s="114" t="b">
        <v>0</v>
      </c>
      <c r="S198" s="114" t="b">
        <v>0</v>
      </c>
      <c r="T198" s="114" t="b">
        <v>0</v>
      </c>
      <c r="U198" s="114" t="b">
        <v>0</v>
      </c>
      <c r="V198" s="114" t="b">
        <v>0</v>
      </c>
      <c r="W198" s="114" t="b">
        <v>0</v>
      </c>
      <c r="X198" s="114" t="b">
        <v>0</v>
      </c>
      <c r="Y198" s="114" t="b">
        <v>0</v>
      </c>
      <c r="Z198" s="114" t="b">
        <v>0</v>
      </c>
      <c r="AA198" s="114" t="b">
        <v>0</v>
      </c>
      <c r="AB198" s="114" t="b">
        <v>0</v>
      </c>
      <c r="AC198" s="114" t="b">
        <v>0</v>
      </c>
      <c r="AD198" s="114" t="b">
        <v>0</v>
      </c>
      <c r="AE198" s="114" t="b">
        <v>0</v>
      </c>
      <c r="AF198" s="114" t="b">
        <v>0</v>
      </c>
      <c r="AG198" s="114" t="b">
        <v>0</v>
      </c>
      <c r="AH198" s="114" t="b">
        <v>0</v>
      </c>
      <c r="AI198" s="114" t="b">
        <v>0</v>
      </c>
      <c r="AJ198" s="114" t="b">
        <v>0</v>
      </c>
      <c r="AK198" s="114" t="b">
        <v>0</v>
      </c>
      <c r="AL198" s="115" t="str">
        <f t="shared" si="1"/>
        <v>0 dari 31 (0%)</v>
      </c>
    </row>
    <row r="199" ht="22.5" customHeight="1">
      <c r="A199" s="10">
        <v>198.0</v>
      </c>
      <c r="B199" s="11"/>
      <c r="C199" s="140"/>
      <c r="D199" s="138"/>
      <c r="E199" s="138"/>
      <c r="F199" s="13"/>
      <c r="G199" s="114" t="b">
        <v>0</v>
      </c>
      <c r="H199" s="114" t="b">
        <v>0</v>
      </c>
      <c r="I199" s="114" t="b">
        <v>0</v>
      </c>
      <c r="J199" s="114" t="b">
        <v>0</v>
      </c>
      <c r="K199" s="114" t="b">
        <v>0</v>
      </c>
      <c r="L199" s="114" t="b">
        <v>0</v>
      </c>
      <c r="M199" s="114" t="b">
        <v>0</v>
      </c>
      <c r="N199" s="114" t="b">
        <v>0</v>
      </c>
      <c r="O199" s="114" t="b">
        <v>0</v>
      </c>
      <c r="P199" s="114" t="b">
        <v>0</v>
      </c>
      <c r="Q199" s="114" t="b">
        <v>0</v>
      </c>
      <c r="R199" s="114" t="b">
        <v>0</v>
      </c>
      <c r="S199" s="114" t="b">
        <v>0</v>
      </c>
      <c r="T199" s="114" t="b">
        <v>0</v>
      </c>
      <c r="U199" s="114" t="b">
        <v>0</v>
      </c>
      <c r="V199" s="114" t="b">
        <v>0</v>
      </c>
      <c r="W199" s="114" t="b">
        <v>0</v>
      </c>
      <c r="X199" s="114" t="b">
        <v>0</v>
      </c>
      <c r="Y199" s="114" t="b">
        <v>0</v>
      </c>
      <c r="Z199" s="114" t="b">
        <v>0</v>
      </c>
      <c r="AA199" s="114" t="b">
        <v>0</v>
      </c>
      <c r="AB199" s="114" t="b">
        <v>0</v>
      </c>
      <c r="AC199" s="114" t="b">
        <v>0</v>
      </c>
      <c r="AD199" s="114" t="b">
        <v>0</v>
      </c>
      <c r="AE199" s="114" t="b">
        <v>0</v>
      </c>
      <c r="AF199" s="114" t="b">
        <v>0</v>
      </c>
      <c r="AG199" s="114" t="b">
        <v>0</v>
      </c>
      <c r="AH199" s="114" t="b">
        <v>0</v>
      </c>
      <c r="AI199" s="114" t="b">
        <v>0</v>
      </c>
      <c r="AJ199" s="114" t="b">
        <v>0</v>
      </c>
      <c r="AK199" s="114" t="b">
        <v>0</v>
      </c>
      <c r="AL199" s="115" t="str">
        <f t="shared" si="1"/>
        <v>0 dari 31 (0%)</v>
      </c>
    </row>
    <row r="200" ht="22.5" customHeight="1">
      <c r="A200" s="10">
        <v>199.0</v>
      </c>
      <c r="B200" s="11"/>
      <c r="C200" s="140"/>
      <c r="D200" s="138"/>
      <c r="E200" s="138"/>
      <c r="F200" s="13"/>
      <c r="G200" s="114" t="b">
        <v>0</v>
      </c>
      <c r="H200" s="114" t="b">
        <v>0</v>
      </c>
      <c r="I200" s="114" t="b">
        <v>0</v>
      </c>
      <c r="J200" s="114" t="b">
        <v>0</v>
      </c>
      <c r="K200" s="114" t="b">
        <v>0</v>
      </c>
      <c r="L200" s="114" t="b">
        <v>0</v>
      </c>
      <c r="M200" s="114" t="b">
        <v>0</v>
      </c>
      <c r="N200" s="114" t="b">
        <v>0</v>
      </c>
      <c r="O200" s="114" t="b">
        <v>0</v>
      </c>
      <c r="P200" s="114" t="b">
        <v>0</v>
      </c>
      <c r="Q200" s="114" t="b">
        <v>0</v>
      </c>
      <c r="R200" s="114" t="b">
        <v>0</v>
      </c>
      <c r="S200" s="114" t="b">
        <v>0</v>
      </c>
      <c r="T200" s="114" t="b">
        <v>0</v>
      </c>
      <c r="U200" s="114" t="b">
        <v>0</v>
      </c>
      <c r="V200" s="114" t="b">
        <v>0</v>
      </c>
      <c r="W200" s="114" t="b">
        <v>0</v>
      </c>
      <c r="X200" s="114" t="b">
        <v>0</v>
      </c>
      <c r="Y200" s="114" t="b">
        <v>0</v>
      </c>
      <c r="Z200" s="114" t="b">
        <v>0</v>
      </c>
      <c r="AA200" s="114" t="b">
        <v>0</v>
      </c>
      <c r="AB200" s="114" t="b">
        <v>0</v>
      </c>
      <c r="AC200" s="114" t="b">
        <v>0</v>
      </c>
      <c r="AD200" s="114" t="b">
        <v>0</v>
      </c>
      <c r="AE200" s="114" t="b">
        <v>0</v>
      </c>
      <c r="AF200" s="114" t="b">
        <v>0</v>
      </c>
      <c r="AG200" s="114" t="b">
        <v>0</v>
      </c>
      <c r="AH200" s="114" t="b">
        <v>0</v>
      </c>
      <c r="AI200" s="114" t="b">
        <v>0</v>
      </c>
      <c r="AJ200" s="114" t="b">
        <v>0</v>
      </c>
      <c r="AK200" s="114" t="b">
        <v>0</v>
      </c>
      <c r="AL200" s="115" t="str">
        <f t="shared" si="1"/>
        <v>0 dari 31 (0%)</v>
      </c>
    </row>
    <row r="201" ht="22.5" customHeight="1">
      <c r="A201" s="2">
        <v>200.0</v>
      </c>
      <c r="B201" s="11"/>
      <c r="C201" s="140"/>
      <c r="D201" s="138"/>
      <c r="E201" s="138"/>
      <c r="F201" s="13"/>
      <c r="G201" s="114" t="b">
        <v>0</v>
      </c>
      <c r="H201" s="114" t="b">
        <v>0</v>
      </c>
      <c r="I201" s="114" t="b">
        <v>0</v>
      </c>
      <c r="J201" s="114" t="b">
        <v>0</v>
      </c>
      <c r="K201" s="114" t="b">
        <v>0</v>
      </c>
      <c r="L201" s="114" t="b">
        <v>0</v>
      </c>
      <c r="M201" s="114" t="b">
        <v>0</v>
      </c>
      <c r="N201" s="114" t="b">
        <v>0</v>
      </c>
      <c r="O201" s="114" t="b">
        <v>0</v>
      </c>
      <c r="P201" s="114" t="b">
        <v>0</v>
      </c>
      <c r="Q201" s="114" t="b">
        <v>0</v>
      </c>
      <c r="R201" s="114" t="b">
        <v>0</v>
      </c>
      <c r="S201" s="114" t="b">
        <v>0</v>
      </c>
      <c r="T201" s="114" t="b">
        <v>0</v>
      </c>
      <c r="U201" s="114" t="b">
        <v>0</v>
      </c>
      <c r="V201" s="114" t="b">
        <v>0</v>
      </c>
      <c r="W201" s="114" t="b">
        <v>0</v>
      </c>
      <c r="X201" s="114" t="b">
        <v>0</v>
      </c>
      <c r="Y201" s="114" t="b">
        <v>0</v>
      </c>
      <c r="Z201" s="114" t="b">
        <v>0</v>
      </c>
      <c r="AA201" s="114" t="b">
        <v>0</v>
      </c>
      <c r="AB201" s="114" t="b">
        <v>0</v>
      </c>
      <c r="AC201" s="114" t="b">
        <v>0</v>
      </c>
      <c r="AD201" s="114" t="b">
        <v>0</v>
      </c>
      <c r="AE201" s="114" t="b">
        <v>0</v>
      </c>
      <c r="AF201" s="114" t="b">
        <v>0</v>
      </c>
      <c r="AG201" s="114" t="b">
        <v>0</v>
      </c>
      <c r="AH201" s="114" t="b">
        <v>0</v>
      </c>
      <c r="AI201" s="114" t="b">
        <v>0</v>
      </c>
      <c r="AJ201" s="114" t="b">
        <v>0</v>
      </c>
      <c r="AK201" s="114" t="b">
        <v>0</v>
      </c>
      <c r="AL201" s="115" t="str">
        <f t="shared" si="1"/>
        <v>0 dari 31 (0%)</v>
      </c>
    </row>
    <row r="202" ht="22.5" customHeight="1">
      <c r="A202" s="10">
        <v>201.0</v>
      </c>
      <c r="B202" s="11"/>
      <c r="C202" s="140"/>
      <c r="D202" s="138"/>
      <c r="E202" s="138"/>
      <c r="F202" s="13"/>
      <c r="G202" s="114" t="b">
        <v>0</v>
      </c>
      <c r="H202" s="114" t="b">
        <v>0</v>
      </c>
      <c r="I202" s="114" t="b">
        <v>0</v>
      </c>
      <c r="J202" s="114" t="b">
        <v>0</v>
      </c>
      <c r="K202" s="114" t="b">
        <v>0</v>
      </c>
      <c r="L202" s="114" t="b">
        <v>0</v>
      </c>
      <c r="M202" s="114" t="b">
        <v>0</v>
      </c>
      <c r="N202" s="114" t="b">
        <v>0</v>
      </c>
      <c r="O202" s="114" t="b">
        <v>0</v>
      </c>
      <c r="P202" s="114" t="b">
        <v>0</v>
      </c>
      <c r="Q202" s="114" t="b">
        <v>0</v>
      </c>
      <c r="R202" s="114" t="b">
        <v>0</v>
      </c>
      <c r="S202" s="114" t="b">
        <v>0</v>
      </c>
      <c r="T202" s="114" t="b">
        <v>0</v>
      </c>
      <c r="U202" s="114" t="b">
        <v>0</v>
      </c>
      <c r="V202" s="114" t="b">
        <v>0</v>
      </c>
      <c r="W202" s="114" t="b">
        <v>0</v>
      </c>
      <c r="X202" s="114" t="b">
        <v>0</v>
      </c>
      <c r="Y202" s="114" t="b">
        <v>0</v>
      </c>
      <c r="Z202" s="114" t="b">
        <v>0</v>
      </c>
      <c r="AA202" s="114" t="b">
        <v>0</v>
      </c>
      <c r="AB202" s="114" t="b">
        <v>0</v>
      </c>
      <c r="AC202" s="114" t="b">
        <v>0</v>
      </c>
      <c r="AD202" s="114" t="b">
        <v>0</v>
      </c>
      <c r="AE202" s="114" t="b">
        <v>0</v>
      </c>
      <c r="AF202" s="114" t="b">
        <v>0</v>
      </c>
      <c r="AG202" s="114" t="b">
        <v>0</v>
      </c>
      <c r="AH202" s="114" t="b">
        <v>0</v>
      </c>
      <c r="AI202" s="114" t="b">
        <v>0</v>
      </c>
      <c r="AJ202" s="114" t="b">
        <v>0</v>
      </c>
      <c r="AK202" s="114" t="b">
        <v>0</v>
      </c>
      <c r="AL202" s="115" t="str">
        <f t="shared" si="1"/>
        <v>0 dari 31 (0%)</v>
      </c>
    </row>
    <row r="203" ht="22.5" customHeight="1">
      <c r="A203" s="2">
        <v>202.0</v>
      </c>
      <c r="B203" s="11"/>
      <c r="C203" s="140"/>
      <c r="D203" s="138"/>
      <c r="E203" s="138"/>
      <c r="F203" s="13"/>
      <c r="G203" s="114" t="b">
        <v>0</v>
      </c>
      <c r="H203" s="114" t="b">
        <v>0</v>
      </c>
      <c r="I203" s="114" t="b">
        <v>0</v>
      </c>
      <c r="J203" s="114" t="b">
        <v>0</v>
      </c>
      <c r="K203" s="114" t="b">
        <v>0</v>
      </c>
      <c r="L203" s="114" t="b">
        <v>0</v>
      </c>
      <c r="M203" s="114" t="b">
        <v>0</v>
      </c>
      <c r="N203" s="114" t="b">
        <v>0</v>
      </c>
      <c r="O203" s="114" t="b">
        <v>0</v>
      </c>
      <c r="P203" s="114" t="b">
        <v>0</v>
      </c>
      <c r="Q203" s="114" t="b">
        <v>0</v>
      </c>
      <c r="R203" s="114" t="b">
        <v>0</v>
      </c>
      <c r="S203" s="114" t="b">
        <v>0</v>
      </c>
      <c r="T203" s="114" t="b">
        <v>0</v>
      </c>
      <c r="U203" s="114" t="b">
        <v>0</v>
      </c>
      <c r="V203" s="114" t="b">
        <v>0</v>
      </c>
      <c r="W203" s="114" t="b">
        <v>0</v>
      </c>
      <c r="X203" s="114" t="b">
        <v>0</v>
      </c>
      <c r="Y203" s="114" t="b">
        <v>0</v>
      </c>
      <c r="Z203" s="114" t="b">
        <v>0</v>
      </c>
      <c r="AA203" s="114" t="b">
        <v>0</v>
      </c>
      <c r="AB203" s="114" t="b">
        <v>0</v>
      </c>
      <c r="AC203" s="114" t="b">
        <v>0</v>
      </c>
      <c r="AD203" s="114" t="b">
        <v>0</v>
      </c>
      <c r="AE203" s="114" t="b">
        <v>0</v>
      </c>
      <c r="AF203" s="114" t="b">
        <v>0</v>
      </c>
      <c r="AG203" s="114" t="b">
        <v>0</v>
      </c>
      <c r="AH203" s="114" t="b">
        <v>0</v>
      </c>
      <c r="AI203" s="114" t="b">
        <v>0</v>
      </c>
      <c r="AJ203" s="114" t="b">
        <v>0</v>
      </c>
      <c r="AK203" s="114" t="b">
        <v>0</v>
      </c>
      <c r="AL203" s="115" t="str">
        <f t="shared" si="1"/>
        <v>0 dari 31 (0%)</v>
      </c>
    </row>
    <row r="204" ht="22.5" customHeight="1">
      <c r="A204" s="10">
        <v>203.0</v>
      </c>
      <c r="B204" s="11"/>
      <c r="C204" s="140"/>
      <c r="D204" s="138"/>
      <c r="E204" s="138"/>
      <c r="F204" s="13"/>
      <c r="G204" s="114" t="b">
        <v>0</v>
      </c>
      <c r="H204" s="114" t="b">
        <v>0</v>
      </c>
      <c r="I204" s="114" t="b">
        <v>0</v>
      </c>
      <c r="J204" s="114" t="b">
        <v>0</v>
      </c>
      <c r="K204" s="114" t="b">
        <v>0</v>
      </c>
      <c r="L204" s="114" t="b">
        <v>0</v>
      </c>
      <c r="M204" s="114" t="b">
        <v>0</v>
      </c>
      <c r="N204" s="114" t="b">
        <v>0</v>
      </c>
      <c r="O204" s="114" t="b">
        <v>0</v>
      </c>
      <c r="P204" s="114" t="b">
        <v>0</v>
      </c>
      <c r="Q204" s="114" t="b">
        <v>0</v>
      </c>
      <c r="R204" s="114" t="b">
        <v>0</v>
      </c>
      <c r="S204" s="114" t="b">
        <v>0</v>
      </c>
      <c r="T204" s="114" t="b">
        <v>0</v>
      </c>
      <c r="U204" s="114" t="b">
        <v>0</v>
      </c>
      <c r="V204" s="114" t="b">
        <v>0</v>
      </c>
      <c r="W204" s="114" t="b">
        <v>0</v>
      </c>
      <c r="X204" s="114" t="b">
        <v>0</v>
      </c>
      <c r="Y204" s="114" t="b">
        <v>0</v>
      </c>
      <c r="Z204" s="114" t="b">
        <v>0</v>
      </c>
      <c r="AA204" s="114" t="b">
        <v>0</v>
      </c>
      <c r="AB204" s="114" t="b">
        <v>0</v>
      </c>
      <c r="AC204" s="114" t="b">
        <v>0</v>
      </c>
      <c r="AD204" s="114" t="b">
        <v>0</v>
      </c>
      <c r="AE204" s="114" t="b">
        <v>0</v>
      </c>
      <c r="AF204" s="114" t="b">
        <v>0</v>
      </c>
      <c r="AG204" s="114" t="b">
        <v>0</v>
      </c>
      <c r="AH204" s="114" t="b">
        <v>0</v>
      </c>
      <c r="AI204" s="114" t="b">
        <v>0</v>
      </c>
      <c r="AJ204" s="114" t="b">
        <v>0</v>
      </c>
      <c r="AK204" s="114" t="b">
        <v>0</v>
      </c>
      <c r="AL204" s="115" t="str">
        <f t="shared" si="1"/>
        <v>0 dari 31 (0%)</v>
      </c>
    </row>
    <row r="205" ht="22.5" customHeight="1">
      <c r="A205" s="10">
        <v>204.0</v>
      </c>
      <c r="B205" s="11"/>
      <c r="C205" s="140"/>
      <c r="D205" s="138"/>
      <c r="E205" s="138"/>
      <c r="F205" s="13"/>
      <c r="G205" s="114" t="b">
        <v>0</v>
      </c>
      <c r="H205" s="114" t="b">
        <v>0</v>
      </c>
      <c r="I205" s="114" t="b">
        <v>0</v>
      </c>
      <c r="J205" s="114" t="b">
        <v>0</v>
      </c>
      <c r="K205" s="114" t="b">
        <v>0</v>
      </c>
      <c r="L205" s="114" t="b">
        <v>0</v>
      </c>
      <c r="M205" s="114" t="b">
        <v>0</v>
      </c>
      <c r="N205" s="114" t="b">
        <v>0</v>
      </c>
      <c r="O205" s="114" t="b">
        <v>0</v>
      </c>
      <c r="P205" s="114" t="b">
        <v>0</v>
      </c>
      <c r="Q205" s="114" t="b">
        <v>0</v>
      </c>
      <c r="R205" s="114" t="b">
        <v>0</v>
      </c>
      <c r="S205" s="114" t="b">
        <v>0</v>
      </c>
      <c r="T205" s="114" t="b">
        <v>0</v>
      </c>
      <c r="U205" s="114" t="b">
        <v>0</v>
      </c>
      <c r="V205" s="114" t="b">
        <v>0</v>
      </c>
      <c r="W205" s="114" t="b">
        <v>0</v>
      </c>
      <c r="X205" s="114" t="b">
        <v>0</v>
      </c>
      <c r="Y205" s="114" t="b">
        <v>0</v>
      </c>
      <c r="Z205" s="114" t="b">
        <v>0</v>
      </c>
      <c r="AA205" s="114" t="b">
        <v>0</v>
      </c>
      <c r="AB205" s="114" t="b">
        <v>0</v>
      </c>
      <c r="AC205" s="114" t="b">
        <v>0</v>
      </c>
      <c r="AD205" s="114" t="b">
        <v>0</v>
      </c>
      <c r="AE205" s="114" t="b">
        <v>0</v>
      </c>
      <c r="AF205" s="114" t="b">
        <v>0</v>
      </c>
      <c r="AG205" s="114" t="b">
        <v>0</v>
      </c>
      <c r="AH205" s="114" t="b">
        <v>0</v>
      </c>
      <c r="AI205" s="114" t="b">
        <v>0</v>
      </c>
      <c r="AJ205" s="114" t="b">
        <v>0</v>
      </c>
      <c r="AK205" s="114" t="b">
        <v>0</v>
      </c>
      <c r="AL205" s="115" t="str">
        <f t="shared" si="1"/>
        <v>0 dari 31 (0%)</v>
      </c>
    </row>
    <row r="206" ht="22.5" customHeight="1">
      <c r="A206" s="2">
        <v>205.0</v>
      </c>
      <c r="B206" s="11"/>
      <c r="C206" s="140"/>
      <c r="D206" s="138"/>
      <c r="E206" s="138"/>
      <c r="F206" s="13"/>
      <c r="G206" s="114" t="b">
        <v>0</v>
      </c>
      <c r="H206" s="114" t="b">
        <v>0</v>
      </c>
      <c r="I206" s="114" t="b">
        <v>0</v>
      </c>
      <c r="J206" s="114" t="b">
        <v>0</v>
      </c>
      <c r="K206" s="114" t="b">
        <v>0</v>
      </c>
      <c r="L206" s="114" t="b">
        <v>0</v>
      </c>
      <c r="M206" s="114" t="b">
        <v>0</v>
      </c>
      <c r="N206" s="114" t="b">
        <v>0</v>
      </c>
      <c r="O206" s="114" t="b">
        <v>0</v>
      </c>
      <c r="P206" s="114" t="b">
        <v>0</v>
      </c>
      <c r="Q206" s="114" t="b">
        <v>0</v>
      </c>
      <c r="R206" s="114" t="b">
        <v>0</v>
      </c>
      <c r="S206" s="114" t="b">
        <v>0</v>
      </c>
      <c r="T206" s="114" t="b">
        <v>0</v>
      </c>
      <c r="U206" s="114" t="b">
        <v>0</v>
      </c>
      <c r="V206" s="114" t="b">
        <v>0</v>
      </c>
      <c r="W206" s="114" t="b">
        <v>0</v>
      </c>
      <c r="X206" s="114" t="b">
        <v>0</v>
      </c>
      <c r="Y206" s="114" t="b">
        <v>0</v>
      </c>
      <c r="Z206" s="114" t="b">
        <v>0</v>
      </c>
      <c r="AA206" s="114" t="b">
        <v>0</v>
      </c>
      <c r="AB206" s="114" t="b">
        <v>0</v>
      </c>
      <c r="AC206" s="114" t="b">
        <v>0</v>
      </c>
      <c r="AD206" s="114" t="b">
        <v>0</v>
      </c>
      <c r="AE206" s="114" t="b">
        <v>0</v>
      </c>
      <c r="AF206" s="114" t="b">
        <v>0</v>
      </c>
      <c r="AG206" s="114" t="b">
        <v>0</v>
      </c>
      <c r="AH206" s="114" t="b">
        <v>0</v>
      </c>
      <c r="AI206" s="114" t="b">
        <v>0</v>
      </c>
      <c r="AJ206" s="114" t="b">
        <v>0</v>
      </c>
      <c r="AK206" s="114" t="b">
        <v>0</v>
      </c>
      <c r="AL206" s="115" t="str">
        <f t="shared" si="1"/>
        <v>0 dari 31 (0%)</v>
      </c>
    </row>
    <row r="207" ht="22.5" customHeight="1">
      <c r="A207" s="10">
        <v>206.0</v>
      </c>
      <c r="B207" s="11"/>
      <c r="C207" s="140"/>
      <c r="D207" s="138"/>
      <c r="E207" s="138"/>
      <c r="F207" s="13"/>
      <c r="G207" s="114" t="b">
        <v>0</v>
      </c>
      <c r="H207" s="114" t="b">
        <v>0</v>
      </c>
      <c r="I207" s="114" t="b">
        <v>0</v>
      </c>
      <c r="J207" s="114" t="b">
        <v>0</v>
      </c>
      <c r="K207" s="114" t="b">
        <v>0</v>
      </c>
      <c r="L207" s="114" t="b">
        <v>0</v>
      </c>
      <c r="M207" s="114" t="b">
        <v>0</v>
      </c>
      <c r="N207" s="114" t="b">
        <v>0</v>
      </c>
      <c r="O207" s="114" t="b">
        <v>0</v>
      </c>
      <c r="P207" s="114" t="b">
        <v>0</v>
      </c>
      <c r="Q207" s="114" t="b">
        <v>0</v>
      </c>
      <c r="R207" s="114" t="b">
        <v>0</v>
      </c>
      <c r="S207" s="114" t="b">
        <v>0</v>
      </c>
      <c r="T207" s="114" t="b">
        <v>0</v>
      </c>
      <c r="U207" s="114" t="b">
        <v>0</v>
      </c>
      <c r="V207" s="114" t="b">
        <v>0</v>
      </c>
      <c r="W207" s="114" t="b">
        <v>0</v>
      </c>
      <c r="X207" s="114" t="b">
        <v>0</v>
      </c>
      <c r="Y207" s="114" t="b">
        <v>0</v>
      </c>
      <c r="Z207" s="114" t="b">
        <v>0</v>
      </c>
      <c r="AA207" s="114" t="b">
        <v>0</v>
      </c>
      <c r="AB207" s="114" t="b">
        <v>0</v>
      </c>
      <c r="AC207" s="114" t="b">
        <v>0</v>
      </c>
      <c r="AD207" s="114" t="b">
        <v>0</v>
      </c>
      <c r="AE207" s="114" t="b">
        <v>0</v>
      </c>
      <c r="AF207" s="114" t="b">
        <v>0</v>
      </c>
      <c r="AG207" s="114" t="b">
        <v>0</v>
      </c>
      <c r="AH207" s="114" t="b">
        <v>0</v>
      </c>
      <c r="AI207" s="114" t="b">
        <v>0</v>
      </c>
      <c r="AJ207" s="114" t="b">
        <v>0</v>
      </c>
      <c r="AK207" s="114" t="b">
        <v>0</v>
      </c>
      <c r="AL207" s="115" t="str">
        <f t="shared" si="1"/>
        <v>0 dari 31 (0%)</v>
      </c>
    </row>
    <row r="208" ht="22.5" customHeight="1">
      <c r="A208" s="2">
        <v>207.0</v>
      </c>
      <c r="B208" s="11"/>
      <c r="C208" s="140"/>
      <c r="D208" s="138"/>
      <c r="E208" s="138"/>
      <c r="F208" s="13"/>
      <c r="G208" s="114" t="b">
        <v>0</v>
      </c>
      <c r="H208" s="114" t="b">
        <v>0</v>
      </c>
      <c r="I208" s="114" t="b">
        <v>0</v>
      </c>
      <c r="J208" s="114" t="b">
        <v>0</v>
      </c>
      <c r="K208" s="114" t="b">
        <v>0</v>
      </c>
      <c r="L208" s="114" t="b">
        <v>0</v>
      </c>
      <c r="M208" s="114" t="b">
        <v>0</v>
      </c>
      <c r="N208" s="114" t="b">
        <v>0</v>
      </c>
      <c r="O208" s="114" t="b">
        <v>0</v>
      </c>
      <c r="P208" s="114" t="b">
        <v>0</v>
      </c>
      <c r="Q208" s="114" t="b">
        <v>0</v>
      </c>
      <c r="R208" s="114" t="b">
        <v>0</v>
      </c>
      <c r="S208" s="114" t="b">
        <v>0</v>
      </c>
      <c r="T208" s="114" t="b">
        <v>0</v>
      </c>
      <c r="U208" s="114" t="b">
        <v>0</v>
      </c>
      <c r="V208" s="114" t="b">
        <v>0</v>
      </c>
      <c r="W208" s="114" t="b">
        <v>0</v>
      </c>
      <c r="X208" s="114" t="b">
        <v>0</v>
      </c>
      <c r="Y208" s="114" t="b">
        <v>0</v>
      </c>
      <c r="Z208" s="114" t="b">
        <v>0</v>
      </c>
      <c r="AA208" s="114" t="b">
        <v>0</v>
      </c>
      <c r="AB208" s="114" t="b">
        <v>0</v>
      </c>
      <c r="AC208" s="114" t="b">
        <v>0</v>
      </c>
      <c r="AD208" s="114" t="b">
        <v>0</v>
      </c>
      <c r="AE208" s="114" t="b">
        <v>0</v>
      </c>
      <c r="AF208" s="114" t="b">
        <v>0</v>
      </c>
      <c r="AG208" s="114" t="b">
        <v>0</v>
      </c>
      <c r="AH208" s="114" t="b">
        <v>0</v>
      </c>
      <c r="AI208" s="114" t="b">
        <v>0</v>
      </c>
      <c r="AJ208" s="114" t="b">
        <v>0</v>
      </c>
      <c r="AK208" s="114" t="b">
        <v>0</v>
      </c>
      <c r="AL208" s="115" t="str">
        <f t="shared" si="1"/>
        <v>0 dari 31 (0%)</v>
      </c>
    </row>
    <row r="209" ht="22.5" customHeight="1">
      <c r="A209" s="10">
        <v>208.0</v>
      </c>
      <c r="B209" s="11"/>
      <c r="C209" s="140"/>
      <c r="D209" s="138"/>
      <c r="E209" s="138"/>
      <c r="F209" s="13"/>
      <c r="G209" s="114" t="b">
        <v>0</v>
      </c>
      <c r="H209" s="114" t="b">
        <v>0</v>
      </c>
      <c r="I209" s="114" t="b">
        <v>0</v>
      </c>
      <c r="J209" s="114" t="b">
        <v>0</v>
      </c>
      <c r="K209" s="114" t="b">
        <v>0</v>
      </c>
      <c r="L209" s="114" t="b">
        <v>0</v>
      </c>
      <c r="M209" s="114" t="b">
        <v>0</v>
      </c>
      <c r="N209" s="114" t="b">
        <v>0</v>
      </c>
      <c r="O209" s="114" t="b">
        <v>0</v>
      </c>
      <c r="P209" s="114" t="b">
        <v>0</v>
      </c>
      <c r="Q209" s="114" t="b">
        <v>0</v>
      </c>
      <c r="R209" s="114" t="b">
        <v>0</v>
      </c>
      <c r="S209" s="114" t="b">
        <v>0</v>
      </c>
      <c r="T209" s="114" t="b">
        <v>0</v>
      </c>
      <c r="U209" s="114" t="b">
        <v>0</v>
      </c>
      <c r="V209" s="114" t="b">
        <v>0</v>
      </c>
      <c r="W209" s="114" t="b">
        <v>0</v>
      </c>
      <c r="X209" s="114" t="b">
        <v>0</v>
      </c>
      <c r="Y209" s="114" t="b">
        <v>0</v>
      </c>
      <c r="Z209" s="114" t="b">
        <v>0</v>
      </c>
      <c r="AA209" s="114" t="b">
        <v>0</v>
      </c>
      <c r="AB209" s="114" t="b">
        <v>0</v>
      </c>
      <c r="AC209" s="114" t="b">
        <v>0</v>
      </c>
      <c r="AD209" s="114" t="b">
        <v>0</v>
      </c>
      <c r="AE209" s="114" t="b">
        <v>0</v>
      </c>
      <c r="AF209" s="114" t="b">
        <v>0</v>
      </c>
      <c r="AG209" s="114" t="b">
        <v>0</v>
      </c>
      <c r="AH209" s="114" t="b">
        <v>0</v>
      </c>
      <c r="AI209" s="114" t="b">
        <v>0</v>
      </c>
      <c r="AJ209" s="114" t="b">
        <v>0</v>
      </c>
      <c r="AK209" s="114" t="b">
        <v>0</v>
      </c>
      <c r="AL209" s="115" t="str">
        <f t="shared" si="1"/>
        <v>0 dari 31 (0%)</v>
      </c>
    </row>
    <row r="210" ht="22.5" customHeight="1">
      <c r="A210" s="10">
        <v>209.0</v>
      </c>
      <c r="B210" s="11"/>
      <c r="C210" s="140"/>
      <c r="D210" s="138"/>
      <c r="E210" s="138"/>
      <c r="F210" s="13"/>
      <c r="G210" s="114" t="b">
        <v>0</v>
      </c>
      <c r="H210" s="114" t="b">
        <v>0</v>
      </c>
      <c r="I210" s="114" t="b">
        <v>0</v>
      </c>
      <c r="J210" s="114" t="b">
        <v>0</v>
      </c>
      <c r="K210" s="114" t="b">
        <v>0</v>
      </c>
      <c r="L210" s="114" t="b">
        <v>0</v>
      </c>
      <c r="M210" s="114" t="b">
        <v>0</v>
      </c>
      <c r="N210" s="114" t="b">
        <v>0</v>
      </c>
      <c r="O210" s="114" t="b">
        <v>0</v>
      </c>
      <c r="P210" s="114" t="b">
        <v>0</v>
      </c>
      <c r="Q210" s="114" t="b">
        <v>0</v>
      </c>
      <c r="R210" s="114" t="b">
        <v>0</v>
      </c>
      <c r="S210" s="114" t="b">
        <v>0</v>
      </c>
      <c r="T210" s="114" t="b">
        <v>0</v>
      </c>
      <c r="U210" s="114" t="b">
        <v>0</v>
      </c>
      <c r="V210" s="114" t="b">
        <v>0</v>
      </c>
      <c r="W210" s="114" t="b">
        <v>0</v>
      </c>
      <c r="X210" s="114" t="b">
        <v>0</v>
      </c>
      <c r="Y210" s="114" t="b">
        <v>0</v>
      </c>
      <c r="Z210" s="114" t="b">
        <v>0</v>
      </c>
      <c r="AA210" s="114" t="b">
        <v>0</v>
      </c>
      <c r="AB210" s="114" t="b">
        <v>0</v>
      </c>
      <c r="AC210" s="114" t="b">
        <v>0</v>
      </c>
      <c r="AD210" s="114" t="b">
        <v>0</v>
      </c>
      <c r="AE210" s="114" t="b">
        <v>0</v>
      </c>
      <c r="AF210" s="114" t="b">
        <v>0</v>
      </c>
      <c r="AG210" s="114" t="b">
        <v>0</v>
      </c>
      <c r="AH210" s="114" t="b">
        <v>0</v>
      </c>
      <c r="AI210" s="114" t="b">
        <v>0</v>
      </c>
      <c r="AJ210" s="114" t="b">
        <v>0</v>
      </c>
      <c r="AK210" s="114" t="b">
        <v>0</v>
      </c>
      <c r="AL210" s="115" t="str">
        <f t="shared" si="1"/>
        <v>0 dari 31 (0%)</v>
      </c>
    </row>
    <row r="211" ht="22.5" customHeight="1">
      <c r="A211" s="2">
        <v>210.0</v>
      </c>
      <c r="B211" s="11"/>
      <c r="C211" s="140"/>
      <c r="D211" s="138"/>
      <c r="E211" s="138"/>
      <c r="F211" s="13"/>
      <c r="G211" s="114" t="b">
        <v>0</v>
      </c>
      <c r="H211" s="114" t="b">
        <v>0</v>
      </c>
      <c r="I211" s="114" t="b">
        <v>0</v>
      </c>
      <c r="J211" s="114" t="b">
        <v>0</v>
      </c>
      <c r="K211" s="114" t="b">
        <v>0</v>
      </c>
      <c r="L211" s="114" t="b">
        <v>0</v>
      </c>
      <c r="M211" s="114" t="b">
        <v>0</v>
      </c>
      <c r="N211" s="114" t="b">
        <v>0</v>
      </c>
      <c r="O211" s="114" t="b">
        <v>0</v>
      </c>
      <c r="P211" s="114" t="b">
        <v>0</v>
      </c>
      <c r="Q211" s="114" t="b">
        <v>0</v>
      </c>
      <c r="R211" s="114" t="b">
        <v>0</v>
      </c>
      <c r="S211" s="114" t="b">
        <v>0</v>
      </c>
      <c r="T211" s="114" t="b">
        <v>0</v>
      </c>
      <c r="U211" s="114" t="b">
        <v>0</v>
      </c>
      <c r="V211" s="114" t="b">
        <v>0</v>
      </c>
      <c r="W211" s="114" t="b">
        <v>0</v>
      </c>
      <c r="X211" s="114" t="b">
        <v>0</v>
      </c>
      <c r="Y211" s="114" t="b">
        <v>0</v>
      </c>
      <c r="Z211" s="114" t="b">
        <v>0</v>
      </c>
      <c r="AA211" s="114" t="b">
        <v>0</v>
      </c>
      <c r="AB211" s="114" t="b">
        <v>0</v>
      </c>
      <c r="AC211" s="114" t="b">
        <v>0</v>
      </c>
      <c r="AD211" s="114" t="b">
        <v>0</v>
      </c>
      <c r="AE211" s="114" t="b">
        <v>0</v>
      </c>
      <c r="AF211" s="114" t="b">
        <v>0</v>
      </c>
      <c r="AG211" s="114" t="b">
        <v>0</v>
      </c>
      <c r="AH211" s="114" t="b">
        <v>0</v>
      </c>
      <c r="AI211" s="114" t="b">
        <v>0</v>
      </c>
      <c r="AJ211" s="114" t="b">
        <v>0</v>
      </c>
      <c r="AK211" s="114" t="b">
        <v>0</v>
      </c>
      <c r="AL211" s="115" t="str">
        <f t="shared" si="1"/>
        <v>0 dari 31 (0%)</v>
      </c>
    </row>
    <row r="212" ht="22.5" customHeight="1">
      <c r="A212" s="10">
        <v>211.0</v>
      </c>
      <c r="B212" s="11"/>
      <c r="C212" s="140"/>
      <c r="D212" s="138"/>
      <c r="E212" s="138"/>
      <c r="F212" s="13"/>
      <c r="G212" s="114" t="b">
        <v>0</v>
      </c>
      <c r="H212" s="114" t="b">
        <v>0</v>
      </c>
      <c r="I212" s="114" t="b">
        <v>0</v>
      </c>
      <c r="J212" s="114" t="b">
        <v>0</v>
      </c>
      <c r="K212" s="114" t="b">
        <v>0</v>
      </c>
      <c r="L212" s="114" t="b">
        <v>0</v>
      </c>
      <c r="M212" s="114" t="b">
        <v>0</v>
      </c>
      <c r="N212" s="114" t="b">
        <v>0</v>
      </c>
      <c r="O212" s="114" t="b">
        <v>0</v>
      </c>
      <c r="P212" s="114" t="b">
        <v>0</v>
      </c>
      <c r="Q212" s="114" t="b">
        <v>0</v>
      </c>
      <c r="R212" s="114" t="b">
        <v>0</v>
      </c>
      <c r="S212" s="114" t="b">
        <v>0</v>
      </c>
      <c r="T212" s="114" t="b">
        <v>0</v>
      </c>
      <c r="U212" s="114" t="b">
        <v>0</v>
      </c>
      <c r="V212" s="114" t="b">
        <v>0</v>
      </c>
      <c r="W212" s="114" t="b">
        <v>0</v>
      </c>
      <c r="X212" s="114" t="b">
        <v>0</v>
      </c>
      <c r="Y212" s="114" t="b">
        <v>0</v>
      </c>
      <c r="Z212" s="114" t="b">
        <v>0</v>
      </c>
      <c r="AA212" s="114" t="b">
        <v>0</v>
      </c>
      <c r="AB212" s="114" t="b">
        <v>0</v>
      </c>
      <c r="AC212" s="114" t="b">
        <v>0</v>
      </c>
      <c r="AD212" s="114" t="b">
        <v>0</v>
      </c>
      <c r="AE212" s="114" t="b">
        <v>0</v>
      </c>
      <c r="AF212" s="114" t="b">
        <v>0</v>
      </c>
      <c r="AG212" s="114" t="b">
        <v>0</v>
      </c>
      <c r="AH212" s="114" t="b">
        <v>0</v>
      </c>
      <c r="AI212" s="114" t="b">
        <v>0</v>
      </c>
      <c r="AJ212" s="114" t="b">
        <v>0</v>
      </c>
      <c r="AK212" s="114" t="b">
        <v>0</v>
      </c>
      <c r="AL212" s="115" t="str">
        <f t="shared" si="1"/>
        <v>0 dari 31 (0%)</v>
      </c>
    </row>
    <row r="213" ht="22.5" customHeight="1">
      <c r="A213" s="2">
        <v>212.0</v>
      </c>
      <c r="B213" s="11"/>
      <c r="C213" s="140"/>
      <c r="D213" s="138"/>
      <c r="E213" s="138"/>
      <c r="F213" s="13"/>
      <c r="G213" s="114" t="b">
        <v>0</v>
      </c>
      <c r="H213" s="114" t="b">
        <v>0</v>
      </c>
      <c r="I213" s="114" t="b">
        <v>0</v>
      </c>
      <c r="J213" s="114" t="b">
        <v>0</v>
      </c>
      <c r="K213" s="114" t="b">
        <v>0</v>
      </c>
      <c r="L213" s="114" t="b">
        <v>0</v>
      </c>
      <c r="M213" s="114" t="b">
        <v>0</v>
      </c>
      <c r="N213" s="114" t="b">
        <v>0</v>
      </c>
      <c r="O213" s="114" t="b">
        <v>0</v>
      </c>
      <c r="P213" s="114" t="b">
        <v>0</v>
      </c>
      <c r="Q213" s="114" t="b">
        <v>0</v>
      </c>
      <c r="R213" s="114" t="b">
        <v>0</v>
      </c>
      <c r="S213" s="114" t="b">
        <v>0</v>
      </c>
      <c r="T213" s="114" t="b">
        <v>0</v>
      </c>
      <c r="U213" s="114" t="b">
        <v>0</v>
      </c>
      <c r="V213" s="114" t="b">
        <v>0</v>
      </c>
      <c r="W213" s="114" t="b">
        <v>0</v>
      </c>
      <c r="X213" s="114" t="b">
        <v>0</v>
      </c>
      <c r="Y213" s="114" t="b">
        <v>0</v>
      </c>
      <c r="Z213" s="114" t="b">
        <v>0</v>
      </c>
      <c r="AA213" s="114" t="b">
        <v>0</v>
      </c>
      <c r="AB213" s="114" t="b">
        <v>0</v>
      </c>
      <c r="AC213" s="114" t="b">
        <v>0</v>
      </c>
      <c r="AD213" s="114" t="b">
        <v>0</v>
      </c>
      <c r="AE213" s="114" t="b">
        <v>0</v>
      </c>
      <c r="AF213" s="114" t="b">
        <v>0</v>
      </c>
      <c r="AG213" s="114" t="b">
        <v>0</v>
      </c>
      <c r="AH213" s="114" t="b">
        <v>0</v>
      </c>
      <c r="AI213" s="114" t="b">
        <v>0</v>
      </c>
      <c r="AJ213" s="114" t="b">
        <v>0</v>
      </c>
      <c r="AK213" s="114" t="b">
        <v>0</v>
      </c>
      <c r="AL213" s="115" t="str">
        <f t="shared" si="1"/>
        <v>0 dari 31 (0%)</v>
      </c>
    </row>
    <row r="214" ht="22.5" customHeight="1">
      <c r="A214" s="10">
        <v>213.0</v>
      </c>
      <c r="B214" s="11"/>
      <c r="C214" s="140"/>
      <c r="D214" s="138"/>
      <c r="E214" s="138"/>
      <c r="F214" s="13"/>
      <c r="G214" s="114" t="b">
        <v>0</v>
      </c>
      <c r="H214" s="114" t="b">
        <v>0</v>
      </c>
      <c r="I214" s="114" t="b">
        <v>0</v>
      </c>
      <c r="J214" s="114" t="b">
        <v>0</v>
      </c>
      <c r="K214" s="114" t="b">
        <v>0</v>
      </c>
      <c r="L214" s="114" t="b">
        <v>0</v>
      </c>
      <c r="M214" s="114" t="b">
        <v>0</v>
      </c>
      <c r="N214" s="114" t="b">
        <v>0</v>
      </c>
      <c r="O214" s="114" t="b">
        <v>0</v>
      </c>
      <c r="P214" s="114" t="b">
        <v>0</v>
      </c>
      <c r="Q214" s="114" t="b">
        <v>0</v>
      </c>
      <c r="R214" s="114" t="b">
        <v>0</v>
      </c>
      <c r="S214" s="114" t="b">
        <v>0</v>
      </c>
      <c r="T214" s="114" t="b">
        <v>0</v>
      </c>
      <c r="U214" s="114" t="b">
        <v>0</v>
      </c>
      <c r="V214" s="114" t="b">
        <v>0</v>
      </c>
      <c r="W214" s="114" t="b">
        <v>0</v>
      </c>
      <c r="X214" s="114" t="b">
        <v>0</v>
      </c>
      <c r="Y214" s="114" t="b">
        <v>0</v>
      </c>
      <c r="Z214" s="114" t="b">
        <v>0</v>
      </c>
      <c r="AA214" s="114" t="b">
        <v>0</v>
      </c>
      <c r="AB214" s="114" t="b">
        <v>0</v>
      </c>
      <c r="AC214" s="114" t="b">
        <v>0</v>
      </c>
      <c r="AD214" s="114" t="b">
        <v>0</v>
      </c>
      <c r="AE214" s="114" t="b">
        <v>0</v>
      </c>
      <c r="AF214" s="114" t="b">
        <v>0</v>
      </c>
      <c r="AG214" s="114" t="b">
        <v>0</v>
      </c>
      <c r="AH214" s="114" t="b">
        <v>0</v>
      </c>
      <c r="AI214" s="114" t="b">
        <v>0</v>
      </c>
      <c r="AJ214" s="114" t="b">
        <v>0</v>
      </c>
      <c r="AK214" s="114" t="b">
        <v>0</v>
      </c>
      <c r="AL214" s="115" t="str">
        <f t="shared" si="1"/>
        <v>0 dari 31 (0%)</v>
      </c>
    </row>
    <row r="215" ht="22.5" customHeight="1">
      <c r="A215" s="10">
        <v>214.0</v>
      </c>
      <c r="B215" s="11"/>
      <c r="C215" s="140"/>
      <c r="D215" s="138"/>
      <c r="E215" s="138"/>
      <c r="F215" s="13"/>
      <c r="G215" s="114" t="b">
        <v>0</v>
      </c>
      <c r="H215" s="114" t="b">
        <v>0</v>
      </c>
      <c r="I215" s="114" t="b">
        <v>0</v>
      </c>
      <c r="J215" s="114" t="b">
        <v>0</v>
      </c>
      <c r="K215" s="114" t="b">
        <v>0</v>
      </c>
      <c r="L215" s="114" t="b">
        <v>0</v>
      </c>
      <c r="M215" s="114" t="b">
        <v>0</v>
      </c>
      <c r="N215" s="114" t="b">
        <v>0</v>
      </c>
      <c r="O215" s="114" t="b">
        <v>0</v>
      </c>
      <c r="P215" s="114" t="b">
        <v>0</v>
      </c>
      <c r="Q215" s="114" t="b">
        <v>0</v>
      </c>
      <c r="R215" s="114" t="b">
        <v>0</v>
      </c>
      <c r="S215" s="114" t="b">
        <v>0</v>
      </c>
      <c r="T215" s="114" t="b">
        <v>0</v>
      </c>
      <c r="U215" s="114" t="b">
        <v>0</v>
      </c>
      <c r="V215" s="114" t="b">
        <v>0</v>
      </c>
      <c r="W215" s="114" t="b">
        <v>0</v>
      </c>
      <c r="X215" s="114" t="b">
        <v>0</v>
      </c>
      <c r="Y215" s="114" t="b">
        <v>0</v>
      </c>
      <c r="Z215" s="114" t="b">
        <v>0</v>
      </c>
      <c r="AA215" s="114" t="b">
        <v>0</v>
      </c>
      <c r="AB215" s="114" t="b">
        <v>0</v>
      </c>
      <c r="AC215" s="114" t="b">
        <v>0</v>
      </c>
      <c r="AD215" s="114" t="b">
        <v>0</v>
      </c>
      <c r="AE215" s="114" t="b">
        <v>0</v>
      </c>
      <c r="AF215" s="114" t="b">
        <v>0</v>
      </c>
      <c r="AG215" s="114" t="b">
        <v>0</v>
      </c>
      <c r="AH215" s="114" t="b">
        <v>0</v>
      </c>
      <c r="AI215" s="114" t="b">
        <v>0</v>
      </c>
      <c r="AJ215" s="114" t="b">
        <v>0</v>
      </c>
      <c r="AK215" s="114" t="b">
        <v>0</v>
      </c>
      <c r="AL215" s="115" t="str">
        <f t="shared" si="1"/>
        <v>0 dari 31 (0%)</v>
      </c>
    </row>
    <row r="216" ht="22.5" customHeight="1">
      <c r="A216" s="2">
        <v>215.0</v>
      </c>
      <c r="B216" s="11"/>
      <c r="C216" s="140"/>
      <c r="D216" s="138"/>
      <c r="E216" s="138"/>
      <c r="F216" s="13"/>
      <c r="G216" s="114" t="b">
        <v>0</v>
      </c>
      <c r="H216" s="114" t="b">
        <v>0</v>
      </c>
      <c r="I216" s="114" t="b">
        <v>0</v>
      </c>
      <c r="J216" s="114" t="b">
        <v>0</v>
      </c>
      <c r="K216" s="114" t="b">
        <v>0</v>
      </c>
      <c r="L216" s="114" t="b">
        <v>0</v>
      </c>
      <c r="M216" s="114" t="b">
        <v>0</v>
      </c>
      <c r="N216" s="114" t="b">
        <v>0</v>
      </c>
      <c r="O216" s="114" t="b">
        <v>0</v>
      </c>
      <c r="P216" s="114" t="b">
        <v>0</v>
      </c>
      <c r="Q216" s="114" t="b">
        <v>0</v>
      </c>
      <c r="R216" s="114" t="b">
        <v>0</v>
      </c>
      <c r="S216" s="114" t="b">
        <v>0</v>
      </c>
      <c r="T216" s="114" t="b">
        <v>0</v>
      </c>
      <c r="U216" s="114" t="b">
        <v>0</v>
      </c>
      <c r="V216" s="114" t="b">
        <v>0</v>
      </c>
      <c r="W216" s="114" t="b">
        <v>0</v>
      </c>
      <c r="X216" s="114" t="b">
        <v>0</v>
      </c>
      <c r="Y216" s="114" t="b">
        <v>0</v>
      </c>
      <c r="Z216" s="114" t="b">
        <v>0</v>
      </c>
      <c r="AA216" s="114" t="b">
        <v>0</v>
      </c>
      <c r="AB216" s="114" t="b">
        <v>0</v>
      </c>
      <c r="AC216" s="114" t="b">
        <v>0</v>
      </c>
      <c r="AD216" s="114" t="b">
        <v>0</v>
      </c>
      <c r="AE216" s="114" t="b">
        <v>0</v>
      </c>
      <c r="AF216" s="114" t="b">
        <v>0</v>
      </c>
      <c r="AG216" s="114" t="b">
        <v>0</v>
      </c>
      <c r="AH216" s="114" t="b">
        <v>0</v>
      </c>
      <c r="AI216" s="114" t="b">
        <v>0</v>
      </c>
      <c r="AJ216" s="114" t="b">
        <v>0</v>
      </c>
      <c r="AK216" s="114" t="b">
        <v>0</v>
      </c>
      <c r="AL216" s="115" t="str">
        <f t="shared" si="1"/>
        <v>0 dari 31 (0%)</v>
      </c>
    </row>
    <row r="217" ht="22.5" customHeight="1">
      <c r="A217" s="10">
        <v>216.0</v>
      </c>
      <c r="B217" s="11"/>
      <c r="C217" s="140"/>
      <c r="D217" s="138"/>
      <c r="E217" s="138"/>
      <c r="F217" s="13"/>
      <c r="G217" s="114" t="b">
        <v>0</v>
      </c>
      <c r="H217" s="114" t="b">
        <v>0</v>
      </c>
      <c r="I217" s="114" t="b">
        <v>0</v>
      </c>
      <c r="J217" s="114" t="b">
        <v>0</v>
      </c>
      <c r="K217" s="114" t="b">
        <v>0</v>
      </c>
      <c r="L217" s="114" t="b">
        <v>0</v>
      </c>
      <c r="M217" s="114" t="b">
        <v>0</v>
      </c>
      <c r="N217" s="114" t="b">
        <v>0</v>
      </c>
      <c r="O217" s="114" t="b">
        <v>0</v>
      </c>
      <c r="P217" s="114" t="b">
        <v>0</v>
      </c>
      <c r="Q217" s="114" t="b">
        <v>0</v>
      </c>
      <c r="R217" s="114" t="b">
        <v>0</v>
      </c>
      <c r="S217" s="114" t="b">
        <v>0</v>
      </c>
      <c r="T217" s="114" t="b">
        <v>0</v>
      </c>
      <c r="U217" s="114" t="b">
        <v>0</v>
      </c>
      <c r="V217" s="114" t="b">
        <v>0</v>
      </c>
      <c r="W217" s="114" t="b">
        <v>0</v>
      </c>
      <c r="X217" s="114" t="b">
        <v>0</v>
      </c>
      <c r="Y217" s="114" t="b">
        <v>0</v>
      </c>
      <c r="Z217" s="114" t="b">
        <v>0</v>
      </c>
      <c r="AA217" s="114" t="b">
        <v>0</v>
      </c>
      <c r="AB217" s="114" t="b">
        <v>0</v>
      </c>
      <c r="AC217" s="114" t="b">
        <v>0</v>
      </c>
      <c r="AD217" s="114" t="b">
        <v>0</v>
      </c>
      <c r="AE217" s="114" t="b">
        <v>0</v>
      </c>
      <c r="AF217" s="114" t="b">
        <v>0</v>
      </c>
      <c r="AG217" s="114" t="b">
        <v>0</v>
      </c>
      <c r="AH217" s="114" t="b">
        <v>0</v>
      </c>
      <c r="AI217" s="114" t="b">
        <v>0</v>
      </c>
      <c r="AJ217" s="114" t="b">
        <v>0</v>
      </c>
      <c r="AK217" s="114" t="b">
        <v>0</v>
      </c>
      <c r="AL217" s="115" t="str">
        <f t="shared" si="1"/>
        <v>0 dari 31 (0%)</v>
      </c>
    </row>
    <row r="218" ht="22.5" customHeight="1">
      <c r="A218" s="2">
        <v>217.0</v>
      </c>
      <c r="B218" s="11"/>
      <c r="C218" s="140"/>
      <c r="D218" s="138"/>
      <c r="E218" s="138"/>
      <c r="F218" s="13"/>
      <c r="G218" s="114" t="b">
        <v>0</v>
      </c>
      <c r="H218" s="114" t="b">
        <v>0</v>
      </c>
      <c r="I218" s="114" t="b">
        <v>0</v>
      </c>
      <c r="J218" s="114" t="b">
        <v>0</v>
      </c>
      <c r="K218" s="114" t="b">
        <v>0</v>
      </c>
      <c r="L218" s="114" t="b">
        <v>0</v>
      </c>
      <c r="M218" s="114" t="b">
        <v>0</v>
      </c>
      <c r="N218" s="114" t="b">
        <v>0</v>
      </c>
      <c r="O218" s="114" t="b">
        <v>0</v>
      </c>
      <c r="P218" s="114" t="b">
        <v>0</v>
      </c>
      <c r="Q218" s="114" t="b">
        <v>0</v>
      </c>
      <c r="R218" s="114" t="b">
        <v>0</v>
      </c>
      <c r="S218" s="114" t="b">
        <v>0</v>
      </c>
      <c r="T218" s="114" t="b">
        <v>0</v>
      </c>
      <c r="U218" s="114" t="b">
        <v>0</v>
      </c>
      <c r="V218" s="114" t="b">
        <v>0</v>
      </c>
      <c r="W218" s="114" t="b">
        <v>0</v>
      </c>
      <c r="X218" s="114" t="b">
        <v>0</v>
      </c>
      <c r="Y218" s="114" t="b">
        <v>0</v>
      </c>
      <c r="Z218" s="114" t="b">
        <v>0</v>
      </c>
      <c r="AA218" s="114" t="b">
        <v>0</v>
      </c>
      <c r="AB218" s="114" t="b">
        <v>0</v>
      </c>
      <c r="AC218" s="114" t="b">
        <v>0</v>
      </c>
      <c r="AD218" s="114" t="b">
        <v>0</v>
      </c>
      <c r="AE218" s="114" t="b">
        <v>0</v>
      </c>
      <c r="AF218" s="114" t="b">
        <v>0</v>
      </c>
      <c r="AG218" s="114" t="b">
        <v>0</v>
      </c>
      <c r="AH218" s="114" t="b">
        <v>0</v>
      </c>
      <c r="AI218" s="114" t="b">
        <v>0</v>
      </c>
      <c r="AJ218" s="114" t="b">
        <v>0</v>
      </c>
      <c r="AK218" s="114" t="b">
        <v>0</v>
      </c>
      <c r="AL218" s="115" t="str">
        <f t="shared" si="1"/>
        <v>0 dari 31 (0%)</v>
      </c>
    </row>
    <row r="219" ht="22.5" customHeight="1">
      <c r="A219" s="10">
        <v>218.0</v>
      </c>
      <c r="B219" s="11"/>
      <c r="C219" s="140"/>
      <c r="D219" s="138"/>
      <c r="E219" s="138"/>
      <c r="F219" s="13"/>
      <c r="G219" s="114" t="b">
        <v>0</v>
      </c>
      <c r="H219" s="114" t="b">
        <v>0</v>
      </c>
      <c r="I219" s="114" t="b">
        <v>0</v>
      </c>
      <c r="J219" s="114" t="b">
        <v>0</v>
      </c>
      <c r="K219" s="114" t="b">
        <v>0</v>
      </c>
      <c r="L219" s="114" t="b">
        <v>0</v>
      </c>
      <c r="M219" s="114" t="b">
        <v>0</v>
      </c>
      <c r="N219" s="114" t="b">
        <v>0</v>
      </c>
      <c r="O219" s="114" t="b">
        <v>0</v>
      </c>
      <c r="P219" s="114" t="b">
        <v>0</v>
      </c>
      <c r="Q219" s="114" t="b">
        <v>0</v>
      </c>
      <c r="R219" s="114" t="b">
        <v>0</v>
      </c>
      <c r="S219" s="114" t="b">
        <v>0</v>
      </c>
      <c r="T219" s="114" t="b">
        <v>0</v>
      </c>
      <c r="U219" s="114" t="b">
        <v>0</v>
      </c>
      <c r="V219" s="114" t="b">
        <v>0</v>
      </c>
      <c r="W219" s="114" t="b">
        <v>0</v>
      </c>
      <c r="X219" s="114" t="b">
        <v>0</v>
      </c>
      <c r="Y219" s="114" t="b">
        <v>0</v>
      </c>
      <c r="Z219" s="114" t="b">
        <v>0</v>
      </c>
      <c r="AA219" s="114" t="b">
        <v>0</v>
      </c>
      <c r="AB219" s="114" t="b">
        <v>0</v>
      </c>
      <c r="AC219" s="114" t="b">
        <v>0</v>
      </c>
      <c r="AD219" s="114" t="b">
        <v>0</v>
      </c>
      <c r="AE219" s="114" t="b">
        <v>0</v>
      </c>
      <c r="AF219" s="114" t="b">
        <v>0</v>
      </c>
      <c r="AG219" s="114" t="b">
        <v>0</v>
      </c>
      <c r="AH219" s="114" t="b">
        <v>0</v>
      </c>
      <c r="AI219" s="114" t="b">
        <v>0</v>
      </c>
      <c r="AJ219" s="114" t="b">
        <v>0</v>
      </c>
      <c r="AK219" s="114" t="b">
        <v>0</v>
      </c>
      <c r="AL219" s="115" t="str">
        <f t="shared" si="1"/>
        <v>0 dari 31 (0%)</v>
      </c>
    </row>
    <row r="220" ht="22.5" customHeight="1">
      <c r="A220" s="10">
        <v>219.0</v>
      </c>
      <c r="B220" s="11"/>
      <c r="C220" s="140"/>
      <c r="D220" s="138"/>
      <c r="E220" s="138"/>
      <c r="F220" s="13"/>
      <c r="G220" s="114" t="b">
        <v>0</v>
      </c>
      <c r="H220" s="114" t="b">
        <v>0</v>
      </c>
      <c r="I220" s="114" t="b">
        <v>0</v>
      </c>
      <c r="J220" s="114" t="b">
        <v>0</v>
      </c>
      <c r="K220" s="114" t="b">
        <v>0</v>
      </c>
      <c r="L220" s="114" t="b">
        <v>0</v>
      </c>
      <c r="M220" s="114" t="b">
        <v>0</v>
      </c>
      <c r="N220" s="114" t="b">
        <v>0</v>
      </c>
      <c r="O220" s="114" t="b">
        <v>0</v>
      </c>
      <c r="P220" s="114" t="b">
        <v>0</v>
      </c>
      <c r="Q220" s="114" t="b">
        <v>0</v>
      </c>
      <c r="R220" s="114" t="b">
        <v>0</v>
      </c>
      <c r="S220" s="114" t="b">
        <v>0</v>
      </c>
      <c r="T220" s="114" t="b">
        <v>0</v>
      </c>
      <c r="U220" s="114" t="b">
        <v>0</v>
      </c>
      <c r="V220" s="114" t="b">
        <v>0</v>
      </c>
      <c r="W220" s="114" t="b">
        <v>0</v>
      </c>
      <c r="X220" s="114" t="b">
        <v>0</v>
      </c>
      <c r="Y220" s="114" t="b">
        <v>0</v>
      </c>
      <c r="Z220" s="114" t="b">
        <v>0</v>
      </c>
      <c r="AA220" s="114" t="b">
        <v>0</v>
      </c>
      <c r="AB220" s="114" t="b">
        <v>0</v>
      </c>
      <c r="AC220" s="114" t="b">
        <v>0</v>
      </c>
      <c r="AD220" s="114" t="b">
        <v>0</v>
      </c>
      <c r="AE220" s="114" t="b">
        <v>0</v>
      </c>
      <c r="AF220" s="114" t="b">
        <v>0</v>
      </c>
      <c r="AG220" s="114" t="b">
        <v>0</v>
      </c>
      <c r="AH220" s="114" t="b">
        <v>0</v>
      </c>
      <c r="AI220" s="114" t="b">
        <v>0</v>
      </c>
      <c r="AJ220" s="114" t="b">
        <v>0</v>
      </c>
      <c r="AK220" s="114" t="b">
        <v>0</v>
      </c>
      <c r="AL220" s="115" t="str">
        <f t="shared" si="1"/>
        <v>0 dari 31 (0%)</v>
      </c>
    </row>
    <row r="221" ht="22.5" customHeight="1">
      <c r="A221" s="2">
        <v>220.0</v>
      </c>
      <c r="B221" s="11"/>
      <c r="C221" s="140"/>
      <c r="D221" s="138"/>
      <c r="E221" s="138"/>
      <c r="F221" s="13"/>
      <c r="G221" s="114" t="b">
        <v>0</v>
      </c>
      <c r="H221" s="114" t="b">
        <v>0</v>
      </c>
      <c r="I221" s="114" t="b">
        <v>0</v>
      </c>
      <c r="J221" s="114" t="b">
        <v>0</v>
      </c>
      <c r="K221" s="114" t="b">
        <v>0</v>
      </c>
      <c r="L221" s="114" t="b">
        <v>0</v>
      </c>
      <c r="M221" s="114" t="b">
        <v>0</v>
      </c>
      <c r="N221" s="114" t="b">
        <v>0</v>
      </c>
      <c r="O221" s="114" t="b">
        <v>0</v>
      </c>
      <c r="P221" s="114" t="b">
        <v>0</v>
      </c>
      <c r="Q221" s="114" t="b">
        <v>0</v>
      </c>
      <c r="R221" s="114" t="b">
        <v>0</v>
      </c>
      <c r="S221" s="114" t="b">
        <v>0</v>
      </c>
      <c r="T221" s="114" t="b">
        <v>0</v>
      </c>
      <c r="U221" s="114" t="b">
        <v>0</v>
      </c>
      <c r="V221" s="114" t="b">
        <v>0</v>
      </c>
      <c r="W221" s="114" t="b">
        <v>0</v>
      </c>
      <c r="X221" s="114" t="b">
        <v>0</v>
      </c>
      <c r="Y221" s="114" t="b">
        <v>0</v>
      </c>
      <c r="Z221" s="114" t="b">
        <v>0</v>
      </c>
      <c r="AA221" s="114" t="b">
        <v>0</v>
      </c>
      <c r="AB221" s="114" t="b">
        <v>0</v>
      </c>
      <c r="AC221" s="114" t="b">
        <v>0</v>
      </c>
      <c r="AD221" s="114" t="b">
        <v>0</v>
      </c>
      <c r="AE221" s="114" t="b">
        <v>0</v>
      </c>
      <c r="AF221" s="114" t="b">
        <v>0</v>
      </c>
      <c r="AG221" s="114" t="b">
        <v>0</v>
      </c>
      <c r="AH221" s="114" t="b">
        <v>0</v>
      </c>
      <c r="AI221" s="114" t="b">
        <v>0</v>
      </c>
      <c r="AJ221" s="114" t="b">
        <v>0</v>
      </c>
      <c r="AK221" s="114" t="b">
        <v>0</v>
      </c>
      <c r="AL221" s="115" t="str">
        <f t="shared" si="1"/>
        <v>0 dari 31 (0%)</v>
      </c>
    </row>
    <row r="222" ht="22.5" customHeight="1">
      <c r="A222" s="10">
        <v>221.0</v>
      </c>
      <c r="B222" s="11"/>
      <c r="C222" s="140"/>
      <c r="D222" s="138"/>
      <c r="E222" s="138"/>
      <c r="F222" s="13"/>
      <c r="G222" s="114" t="b">
        <v>0</v>
      </c>
      <c r="H222" s="114" t="b">
        <v>0</v>
      </c>
      <c r="I222" s="114" t="b">
        <v>0</v>
      </c>
      <c r="J222" s="114" t="b">
        <v>0</v>
      </c>
      <c r="K222" s="114" t="b">
        <v>0</v>
      </c>
      <c r="L222" s="114" t="b">
        <v>0</v>
      </c>
      <c r="M222" s="114" t="b">
        <v>0</v>
      </c>
      <c r="N222" s="114" t="b">
        <v>0</v>
      </c>
      <c r="O222" s="114" t="b">
        <v>0</v>
      </c>
      <c r="P222" s="114" t="b">
        <v>0</v>
      </c>
      <c r="Q222" s="114" t="b">
        <v>0</v>
      </c>
      <c r="R222" s="114" t="b">
        <v>0</v>
      </c>
      <c r="S222" s="114" t="b">
        <v>0</v>
      </c>
      <c r="T222" s="114" t="b">
        <v>0</v>
      </c>
      <c r="U222" s="114" t="b">
        <v>0</v>
      </c>
      <c r="V222" s="114" t="b">
        <v>0</v>
      </c>
      <c r="W222" s="114" t="b">
        <v>0</v>
      </c>
      <c r="X222" s="114" t="b">
        <v>0</v>
      </c>
      <c r="Y222" s="114" t="b">
        <v>0</v>
      </c>
      <c r="Z222" s="114" t="b">
        <v>0</v>
      </c>
      <c r="AA222" s="114" t="b">
        <v>0</v>
      </c>
      <c r="AB222" s="114" t="b">
        <v>0</v>
      </c>
      <c r="AC222" s="114" t="b">
        <v>0</v>
      </c>
      <c r="AD222" s="114" t="b">
        <v>0</v>
      </c>
      <c r="AE222" s="114" t="b">
        <v>0</v>
      </c>
      <c r="AF222" s="114" t="b">
        <v>0</v>
      </c>
      <c r="AG222" s="114" t="b">
        <v>0</v>
      </c>
      <c r="AH222" s="114" t="b">
        <v>0</v>
      </c>
      <c r="AI222" s="114" t="b">
        <v>0</v>
      </c>
      <c r="AJ222" s="114" t="b">
        <v>0</v>
      </c>
      <c r="AK222" s="114" t="b">
        <v>0</v>
      </c>
      <c r="AL222" s="115" t="str">
        <f t="shared" si="1"/>
        <v>0 dari 31 (0%)</v>
      </c>
    </row>
    <row r="223" ht="22.5" customHeight="1">
      <c r="A223" s="2">
        <v>222.0</v>
      </c>
      <c r="B223" s="11"/>
      <c r="C223" s="140"/>
      <c r="D223" s="138"/>
      <c r="E223" s="138"/>
      <c r="F223" s="13"/>
      <c r="G223" s="114" t="b">
        <v>0</v>
      </c>
      <c r="H223" s="114" t="b">
        <v>0</v>
      </c>
      <c r="I223" s="114" t="b">
        <v>0</v>
      </c>
      <c r="J223" s="114" t="b">
        <v>0</v>
      </c>
      <c r="K223" s="114" t="b">
        <v>0</v>
      </c>
      <c r="L223" s="114" t="b">
        <v>0</v>
      </c>
      <c r="M223" s="114" t="b">
        <v>0</v>
      </c>
      <c r="N223" s="114" t="b">
        <v>0</v>
      </c>
      <c r="O223" s="114" t="b">
        <v>0</v>
      </c>
      <c r="P223" s="114" t="b">
        <v>0</v>
      </c>
      <c r="Q223" s="114" t="b">
        <v>0</v>
      </c>
      <c r="R223" s="114" t="b">
        <v>0</v>
      </c>
      <c r="S223" s="114" t="b">
        <v>0</v>
      </c>
      <c r="T223" s="114" t="b">
        <v>0</v>
      </c>
      <c r="U223" s="114" t="b">
        <v>0</v>
      </c>
      <c r="V223" s="114" t="b">
        <v>0</v>
      </c>
      <c r="W223" s="114" t="b">
        <v>0</v>
      </c>
      <c r="X223" s="114" t="b">
        <v>0</v>
      </c>
      <c r="Y223" s="114" t="b">
        <v>0</v>
      </c>
      <c r="Z223" s="114" t="b">
        <v>0</v>
      </c>
      <c r="AA223" s="114" t="b">
        <v>0</v>
      </c>
      <c r="AB223" s="114" t="b">
        <v>0</v>
      </c>
      <c r="AC223" s="114" t="b">
        <v>0</v>
      </c>
      <c r="AD223" s="114" t="b">
        <v>0</v>
      </c>
      <c r="AE223" s="114" t="b">
        <v>0</v>
      </c>
      <c r="AF223" s="114" t="b">
        <v>0</v>
      </c>
      <c r="AG223" s="114" t="b">
        <v>0</v>
      </c>
      <c r="AH223" s="114" t="b">
        <v>0</v>
      </c>
      <c r="AI223" s="114" t="b">
        <v>0</v>
      </c>
      <c r="AJ223" s="114" t="b">
        <v>0</v>
      </c>
      <c r="AK223" s="114" t="b">
        <v>0</v>
      </c>
      <c r="AL223" s="115" t="str">
        <f t="shared" si="1"/>
        <v>0 dari 31 (0%)</v>
      </c>
    </row>
    <row r="224" ht="22.5" customHeight="1">
      <c r="A224" s="10">
        <v>223.0</v>
      </c>
      <c r="B224" s="11"/>
      <c r="C224" s="140"/>
      <c r="D224" s="138"/>
      <c r="E224" s="138"/>
      <c r="F224" s="13"/>
      <c r="G224" s="114" t="b">
        <v>0</v>
      </c>
      <c r="H224" s="114" t="b">
        <v>0</v>
      </c>
      <c r="I224" s="114" t="b">
        <v>0</v>
      </c>
      <c r="J224" s="114" t="b">
        <v>0</v>
      </c>
      <c r="K224" s="114" t="b">
        <v>0</v>
      </c>
      <c r="L224" s="114" t="b">
        <v>0</v>
      </c>
      <c r="M224" s="114" t="b">
        <v>0</v>
      </c>
      <c r="N224" s="114" t="b">
        <v>0</v>
      </c>
      <c r="O224" s="114" t="b">
        <v>0</v>
      </c>
      <c r="P224" s="114" t="b">
        <v>0</v>
      </c>
      <c r="Q224" s="114" t="b">
        <v>0</v>
      </c>
      <c r="R224" s="114" t="b">
        <v>0</v>
      </c>
      <c r="S224" s="114" t="b">
        <v>0</v>
      </c>
      <c r="T224" s="114" t="b">
        <v>0</v>
      </c>
      <c r="U224" s="114" t="b">
        <v>0</v>
      </c>
      <c r="V224" s="114" t="b">
        <v>0</v>
      </c>
      <c r="W224" s="114" t="b">
        <v>0</v>
      </c>
      <c r="X224" s="114" t="b">
        <v>0</v>
      </c>
      <c r="Y224" s="114" t="b">
        <v>0</v>
      </c>
      <c r="Z224" s="114" t="b">
        <v>0</v>
      </c>
      <c r="AA224" s="114" t="b">
        <v>0</v>
      </c>
      <c r="AB224" s="114" t="b">
        <v>0</v>
      </c>
      <c r="AC224" s="114" t="b">
        <v>0</v>
      </c>
      <c r="AD224" s="114" t="b">
        <v>0</v>
      </c>
      <c r="AE224" s="114" t="b">
        <v>0</v>
      </c>
      <c r="AF224" s="114" t="b">
        <v>0</v>
      </c>
      <c r="AG224" s="114" t="b">
        <v>0</v>
      </c>
      <c r="AH224" s="114" t="b">
        <v>0</v>
      </c>
      <c r="AI224" s="114" t="b">
        <v>0</v>
      </c>
      <c r="AJ224" s="114" t="b">
        <v>0</v>
      </c>
      <c r="AK224" s="114" t="b">
        <v>0</v>
      </c>
      <c r="AL224" s="115" t="str">
        <f t="shared" si="1"/>
        <v>0 dari 31 (0%)</v>
      </c>
    </row>
    <row r="225" ht="22.5" customHeight="1">
      <c r="A225" s="10">
        <v>224.0</v>
      </c>
      <c r="B225" s="11"/>
      <c r="C225" s="140"/>
      <c r="D225" s="138"/>
      <c r="E225" s="138"/>
      <c r="F225" s="13"/>
      <c r="G225" s="114" t="b">
        <v>0</v>
      </c>
      <c r="H225" s="114" t="b">
        <v>0</v>
      </c>
      <c r="I225" s="114" t="b">
        <v>0</v>
      </c>
      <c r="J225" s="114" t="b">
        <v>0</v>
      </c>
      <c r="K225" s="114" t="b">
        <v>0</v>
      </c>
      <c r="L225" s="114" t="b">
        <v>0</v>
      </c>
      <c r="M225" s="114" t="b">
        <v>0</v>
      </c>
      <c r="N225" s="114" t="b">
        <v>0</v>
      </c>
      <c r="O225" s="114" t="b">
        <v>0</v>
      </c>
      <c r="P225" s="114" t="b">
        <v>0</v>
      </c>
      <c r="Q225" s="114" t="b">
        <v>0</v>
      </c>
      <c r="R225" s="114" t="b">
        <v>0</v>
      </c>
      <c r="S225" s="114" t="b">
        <v>0</v>
      </c>
      <c r="T225" s="114" t="b">
        <v>0</v>
      </c>
      <c r="U225" s="114" t="b">
        <v>0</v>
      </c>
      <c r="V225" s="114" t="b">
        <v>0</v>
      </c>
      <c r="W225" s="114" t="b">
        <v>0</v>
      </c>
      <c r="X225" s="114" t="b">
        <v>0</v>
      </c>
      <c r="Y225" s="114" t="b">
        <v>0</v>
      </c>
      <c r="Z225" s="114" t="b">
        <v>0</v>
      </c>
      <c r="AA225" s="114" t="b">
        <v>0</v>
      </c>
      <c r="AB225" s="114" t="b">
        <v>0</v>
      </c>
      <c r="AC225" s="114" t="b">
        <v>0</v>
      </c>
      <c r="AD225" s="114" t="b">
        <v>0</v>
      </c>
      <c r="AE225" s="114" t="b">
        <v>0</v>
      </c>
      <c r="AF225" s="114" t="b">
        <v>0</v>
      </c>
      <c r="AG225" s="114" t="b">
        <v>0</v>
      </c>
      <c r="AH225" s="114" t="b">
        <v>0</v>
      </c>
      <c r="AI225" s="114" t="b">
        <v>0</v>
      </c>
      <c r="AJ225" s="114" t="b">
        <v>0</v>
      </c>
      <c r="AK225" s="114" t="b">
        <v>0</v>
      </c>
      <c r="AL225" s="115" t="str">
        <f t="shared" si="1"/>
        <v>0 dari 31 (0%)</v>
      </c>
    </row>
    <row r="226" ht="22.5" customHeight="1">
      <c r="A226" s="2">
        <v>225.0</v>
      </c>
      <c r="B226" s="11"/>
      <c r="C226" s="140"/>
      <c r="D226" s="138"/>
      <c r="E226" s="138"/>
      <c r="F226" s="13"/>
      <c r="G226" s="114" t="b">
        <v>0</v>
      </c>
      <c r="H226" s="114" t="b">
        <v>0</v>
      </c>
      <c r="I226" s="114" t="b">
        <v>0</v>
      </c>
      <c r="J226" s="114" t="b">
        <v>0</v>
      </c>
      <c r="K226" s="114" t="b">
        <v>0</v>
      </c>
      <c r="L226" s="114" t="b">
        <v>0</v>
      </c>
      <c r="M226" s="114" t="b">
        <v>0</v>
      </c>
      <c r="N226" s="114" t="b">
        <v>0</v>
      </c>
      <c r="O226" s="114" t="b">
        <v>0</v>
      </c>
      <c r="P226" s="114" t="b">
        <v>0</v>
      </c>
      <c r="Q226" s="114" t="b">
        <v>0</v>
      </c>
      <c r="R226" s="114" t="b">
        <v>0</v>
      </c>
      <c r="S226" s="114" t="b">
        <v>0</v>
      </c>
      <c r="T226" s="114" t="b">
        <v>0</v>
      </c>
      <c r="U226" s="114" t="b">
        <v>0</v>
      </c>
      <c r="V226" s="114" t="b">
        <v>0</v>
      </c>
      <c r="W226" s="114" t="b">
        <v>0</v>
      </c>
      <c r="X226" s="114" t="b">
        <v>0</v>
      </c>
      <c r="Y226" s="114" t="b">
        <v>0</v>
      </c>
      <c r="Z226" s="114" t="b">
        <v>0</v>
      </c>
      <c r="AA226" s="114" t="b">
        <v>0</v>
      </c>
      <c r="AB226" s="114" t="b">
        <v>0</v>
      </c>
      <c r="AC226" s="114" t="b">
        <v>0</v>
      </c>
      <c r="AD226" s="114" t="b">
        <v>0</v>
      </c>
      <c r="AE226" s="114" t="b">
        <v>0</v>
      </c>
      <c r="AF226" s="114" t="b">
        <v>0</v>
      </c>
      <c r="AG226" s="114" t="b">
        <v>0</v>
      </c>
      <c r="AH226" s="114" t="b">
        <v>0</v>
      </c>
      <c r="AI226" s="114" t="b">
        <v>0</v>
      </c>
      <c r="AJ226" s="114" t="b">
        <v>0</v>
      </c>
      <c r="AK226" s="114" t="b">
        <v>0</v>
      </c>
      <c r="AL226" s="115" t="str">
        <f t="shared" si="1"/>
        <v>0 dari 31 (0%)</v>
      </c>
    </row>
    <row r="227" ht="22.5" customHeight="1">
      <c r="A227" s="10">
        <v>226.0</v>
      </c>
      <c r="B227" s="11"/>
      <c r="C227" s="140"/>
      <c r="D227" s="138"/>
      <c r="E227" s="138"/>
      <c r="F227" s="13"/>
      <c r="G227" s="114" t="b">
        <v>0</v>
      </c>
      <c r="H227" s="114" t="b">
        <v>0</v>
      </c>
      <c r="I227" s="114" t="b">
        <v>0</v>
      </c>
      <c r="J227" s="114" t="b">
        <v>0</v>
      </c>
      <c r="K227" s="114" t="b">
        <v>0</v>
      </c>
      <c r="L227" s="114" t="b">
        <v>0</v>
      </c>
      <c r="M227" s="114" t="b">
        <v>0</v>
      </c>
      <c r="N227" s="114" t="b">
        <v>0</v>
      </c>
      <c r="O227" s="114" t="b">
        <v>0</v>
      </c>
      <c r="P227" s="114" t="b">
        <v>0</v>
      </c>
      <c r="Q227" s="114" t="b">
        <v>0</v>
      </c>
      <c r="R227" s="114" t="b">
        <v>0</v>
      </c>
      <c r="S227" s="114" t="b">
        <v>0</v>
      </c>
      <c r="T227" s="114" t="b">
        <v>0</v>
      </c>
      <c r="U227" s="114" t="b">
        <v>0</v>
      </c>
      <c r="V227" s="114" t="b">
        <v>0</v>
      </c>
      <c r="W227" s="114" t="b">
        <v>0</v>
      </c>
      <c r="X227" s="114" t="b">
        <v>0</v>
      </c>
      <c r="Y227" s="114" t="b">
        <v>0</v>
      </c>
      <c r="Z227" s="114" t="b">
        <v>0</v>
      </c>
      <c r="AA227" s="114" t="b">
        <v>0</v>
      </c>
      <c r="AB227" s="114" t="b">
        <v>0</v>
      </c>
      <c r="AC227" s="114" t="b">
        <v>0</v>
      </c>
      <c r="AD227" s="114" t="b">
        <v>0</v>
      </c>
      <c r="AE227" s="114" t="b">
        <v>0</v>
      </c>
      <c r="AF227" s="114" t="b">
        <v>0</v>
      </c>
      <c r="AG227" s="114" t="b">
        <v>0</v>
      </c>
      <c r="AH227" s="114" t="b">
        <v>0</v>
      </c>
      <c r="AI227" s="114" t="b">
        <v>0</v>
      </c>
      <c r="AJ227" s="114" t="b">
        <v>0</v>
      </c>
      <c r="AK227" s="114" t="b">
        <v>0</v>
      </c>
      <c r="AL227" s="115" t="str">
        <f t="shared" si="1"/>
        <v>0 dari 31 (0%)</v>
      </c>
    </row>
    <row r="228" ht="22.5" customHeight="1">
      <c r="A228" s="2">
        <v>227.0</v>
      </c>
      <c r="B228" s="11"/>
      <c r="C228" s="140"/>
      <c r="D228" s="138"/>
      <c r="E228" s="138"/>
      <c r="F228" s="13"/>
      <c r="G228" s="114" t="b">
        <v>0</v>
      </c>
      <c r="H228" s="114" t="b">
        <v>0</v>
      </c>
      <c r="I228" s="114" t="b">
        <v>0</v>
      </c>
      <c r="J228" s="114" t="b">
        <v>0</v>
      </c>
      <c r="K228" s="114" t="b">
        <v>0</v>
      </c>
      <c r="L228" s="114" t="b">
        <v>0</v>
      </c>
      <c r="M228" s="114" t="b">
        <v>0</v>
      </c>
      <c r="N228" s="114" t="b">
        <v>0</v>
      </c>
      <c r="O228" s="114" t="b">
        <v>0</v>
      </c>
      <c r="P228" s="114" t="b">
        <v>0</v>
      </c>
      <c r="Q228" s="114" t="b">
        <v>0</v>
      </c>
      <c r="R228" s="114" t="b">
        <v>0</v>
      </c>
      <c r="S228" s="114" t="b">
        <v>0</v>
      </c>
      <c r="T228" s="114" t="b">
        <v>0</v>
      </c>
      <c r="U228" s="114" t="b">
        <v>0</v>
      </c>
      <c r="V228" s="114" t="b">
        <v>0</v>
      </c>
      <c r="W228" s="114" t="b">
        <v>0</v>
      </c>
      <c r="X228" s="114" t="b">
        <v>0</v>
      </c>
      <c r="Y228" s="114" t="b">
        <v>0</v>
      </c>
      <c r="Z228" s="114" t="b">
        <v>0</v>
      </c>
      <c r="AA228" s="114" t="b">
        <v>0</v>
      </c>
      <c r="AB228" s="114" t="b">
        <v>0</v>
      </c>
      <c r="AC228" s="114" t="b">
        <v>0</v>
      </c>
      <c r="AD228" s="114" t="b">
        <v>0</v>
      </c>
      <c r="AE228" s="114" t="b">
        <v>0</v>
      </c>
      <c r="AF228" s="114" t="b">
        <v>0</v>
      </c>
      <c r="AG228" s="114" t="b">
        <v>0</v>
      </c>
      <c r="AH228" s="114" t="b">
        <v>0</v>
      </c>
      <c r="AI228" s="114" t="b">
        <v>0</v>
      </c>
      <c r="AJ228" s="114" t="b">
        <v>0</v>
      </c>
      <c r="AK228" s="114" t="b">
        <v>0</v>
      </c>
      <c r="AL228" s="115" t="str">
        <f t="shared" si="1"/>
        <v>0 dari 31 (0%)</v>
      </c>
    </row>
    <row r="229" ht="22.5" customHeight="1">
      <c r="A229" s="10">
        <v>228.0</v>
      </c>
      <c r="B229" s="11"/>
      <c r="C229" s="140"/>
      <c r="D229" s="138"/>
      <c r="E229" s="138"/>
      <c r="F229" s="13"/>
      <c r="G229" s="114" t="b">
        <v>0</v>
      </c>
      <c r="H229" s="114" t="b">
        <v>0</v>
      </c>
      <c r="I229" s="114" t="b">
        <v>0</v>
      </c>
      <c r="J229" s="114" t="b">
        <v>0</v>
      </c>
      <c r="K229" s="114" t="b">
        <v>0</v>
      </c>
      <c r="L229" s="114" t="b">
        <v>0</v>
      </c>
      <c r="M229" s="114" t="b">
        <v>0</v>
      </c>
      <c r="N229" s="114" t="b">
        <v>0</v>
      </c>
      <c r="O229" s="114" t="b">
        <v>0</v>
      </c>
      <c r="P229" s="114" t="b">
        <v>0</v>
      </c>
      <c r="Q229" s="114" t="b">
        <v>0</v>
      </c>
      <c r="R229" s="114" t="b">
        <v>0</v>
      </c>
      <c r="S229" s="114" t="b">
        <v>0</v>
      </c>
      <c r="T229" s="114" t="b">
        <v>0</v>
      </c>
      <c r="U229" s="114" t="b">
        <v>0</v>
      </c>
      <c r="V229" s="114" t="b">
        <v>0</v>
      </c>
      <c r="W229" s="114" t="b">
        <v>0</v>
      </c>
      <c r="X229" s="114" t="b">
        <v>0</v>
      </c>
      <c r="Y229" s="114" t="b">
        <v>0</v>
      </c>
      <c r="Z229" s="114" t="b">
        <v>0</v>
      </c>
      <c r="AA229" s="114" t="b">
        <v>0</v>
      </c>
      <c r="AB229" s="114" t="b">
        <v>0</v>
      </c>
      <c r="AC229" s="114" t="b">
        <v>0</v>
      </c>
      <c r="AD229" s="114" t="b">
        <v>0</v>
      </c>
      <c r="AE229" s="114" t="b">
        <v>0</v>
      </c>
      <c r="AF229" s="114" t="b">
        <v>0</v>
      </c>
      <c r="AG229" s="114" t="b">
        <v>0</v>
      </c>
      <c r="AH229" s="114" t="b">
        <v>0</v>
      </c>
      <c r="AI229" s="114" t="b">
        <v>0</v>
      </c>
      <c r="AJ229" s="114" t="b">
        <v>0</v>
      </c>
      <c r="AK229" s="114" t="b">
        <v>0</v>
      </c>
      <c r="AL229" s="115" t="str">
        <f t="shared" si="1"/>
        <v>0 dari 31 (0%)</v>
      </c>
    </row>
    <row r="230" ht="22.5" customHeight="1">
      <c r="A230" s="10">
        <v>229.0</v>
      </c>
      <c r="B230" s="11"/>
      <c r="C230" s="140"/>
      <c r="D230" s="138"/>
      <c r="E230" s="138"/>
      <c r="F230" s="13"/>
      <c r="G230" s="114" t="b">
        <v>0</v>
      </c>
      <c r="H230" s="114" t="b">
        <v>0</v>
      </c>
      <c r="I230" s="114" t="b">
        <v>0</v>
      </c>
      <c r="J230" s="114" t="b">
        <v>0</v>
      </c>
      <c r="K230" s="114" t="b">
        <v>0</v>
      </c>
      <c r="L230" s="114" t="b">
        <v>0</v>
      </c>
      <c r="M230" s="114" t="b">
        <v>0</v>
      </c>
      <c r="N230" s="114" t="b">
        <v>0</v>
      </c>
      <c r="O230" s="114" t="b">
        <v>0</v>
      </c>
      <c r="P230" s="114" t="b">
        <v>0</v>
      </c>
      <c r="Q230" s="114" t="b">
        <v>0</v>
      </c>
      <c r="R230" s="114" t="b">
        <v>0</v>
      </c>
      <c r="S230" s="114" t="b">
        <v>0</v>
      </c>
      <c r="T230" s="114" t="b">
        <v>0</v>
      </c>
      <c r="U230" s="114" t="b">
        <v>0</v>
      </c>
      <c r="V230" s="114" t="b">
        <v>0</v>
      </c>
      <c r="W230" s="114" t="b">
        <v>0</v>
      </c>
      <c r="X230" s="114" t="b">
        <v>0</v>
      </c>
      <c r="Y230" s="114" t="b">
        <v>0</v>
      </c>
      <c r="Z230" s="114" t="b">
        <v>0</v>
      </c>
      <c r="AA230" s="114" t="b">
        <v>0</v>
      </c>
      <c r="AB230" s="114" t="b">
        <v>0</v>
      </c>
      <c r="AC230" s="114" t="b">
        <v>0</v>
      </c>
      <c r="AD230" s="114" t="b">
        <v>0</v>
      </c>
      <c r="AE230" s="114" t="b">
        <v>0</v>
      </c>
      <c r="AF230" s="114" t="b">
        <v>0</v>
      </c>
      <c r="AG230" s="114" t="b">
        <v>0</v>
      </c>
      <c r="AH230" s="114" t="b">
        <v>0</v>
      </c>
      <c r="AI230" s="114" t="b">
        <v>0</v>
      </c>
      <c r="AJ230" s="114" t="b">
        <v>0</v>
      </c>
      <c r="AK230" s="114" t="b">
        <v>0</v>
      </c>
      <c r="AL230" s="115" t="str">
        <f t="shared" si="1"/>
        <v>0 dari 31 (0%)</v>
      </c>
    </row>
    <row r="231" ht="22.5" customHeight="1">
      <c r="A231" s="2">
        <v>230.0</v>
      </c>
      <c r="B231" s="11"/>
      <c r="C231" s="140"/>
      <c r="D231" s="138"/>
      <c r="E231" s="138"/>
      <c r="F231" s="13"/>
      <c r="G231" s="114" t="b">
        <v>0</v>
      </c>
      <c r="H231" s="114" t="b">
        <v>0</v>
      </c>
      <c r="I231" s="114" t="b">
        <v>0</v>
      </c>
      <c r="J231" s="114" t="b">
        <v>0</v>
      </c>
      <c r="K231" s="114" t="b">
        <v>0</v>
      </c>
      <c r="L231" s="114" t="b">
        <v>0</v>
      </c>
      <c r="M231" s="114" t="b">
        <v>0</v>
      </c>
      <c r="N231" s="114" t="b">
        <v>0</v>
      </c>
      <c r="O231" s="114" t="b">
        <v>0</v>
      </c>
      <c r="P231" s="114" t="b">
        <v>0</v>
      </c>
      <c r="Q231" s="114" t="b">
        <v>0</v>
      </c>
      <c r="R231" s="114" t="b">
        <v>0</v>
      </c>
      <c r="S231" s="114" t="b">
        <v>0</v>
      </c>
      <c r="T231" s="114" t="b">
        <v>0</v>
      </c>
      <c r="U231" s="114" t="b">
        <v>0</v>
      </c>
      <c r="V231" s="114" t="b">
        <v>0</v>
      </c>
      <c r="W231" s="114" t="b">
        <v>0</v>
      </c>
      <c r="X231" s="114" t="b">
        <v>0</v>
      </c>
      <c r="Y231" s="114" t="b">
        <v>0</v>
      </c>
      <c r="Z231" s="114" t="b">
        <v>0</v>
      </c>
      <c r="AA231" s="114" t="b">
        <v>0</v>
      </c>
      <c r="AB231" s="114" t="b">
        <v>0</v>
      </c>
      <c r="AC231" s="114" t="b">
        <v>0</v>
      </c>
      <c r="AD231" s="114" t="b">
        <v>0</v>
      </c>
      <c r="AE231" s="114" t="b">
        <v>0</v>
      </c>
      <c r="AF231" s="114" t="b">
        <v>0</v>
      </c>
      <c r="AG231" s="114" t="b">
        <v>0</v>
      </c>
      <c r="AH231" s="114" t="b">
        <v>0</v>
      </c>
      <c r="AI231" s="114" t="b">
        <v>0</v>
      </c>
      <c r="AJ231" s="114" t="b">
        <v>0</v>
      </c>
      <c r="AK231" s="114" t="b">
        <v>0</v>
      </c>
      <c r="AL231" s="115" t="str">
        <f t="shared" si="1"/>
        <v>0 dari 31 (0%)</v>
      </c>
    </row>
    <row r="232" ht="22.5" customHeight="1">
      <c r="A232" s="10">
        <v>231.0</v>
      </c>
      <c r="B232" s="11"/>
      <c r="C232" s="140"/>
      <c r="D232" s="138"/>
      <c r="E232" s="138"/>
      <c r="F232" s="13"/>
      <c r="G232" s="114" t="b">
        <v>0</v>
      </c>
      <c r="H232" s="114" t="b">
        <v>0</v>
      </c>
      <c r="I232" s="114" t="b">
        <v>0</v>
      </c>
      <c r="J232" s="114" t="b">
        <v>0</v>
      </c>
      <c r="K232" s="114" t="b">
        <v>0</v>
      </c>
      <c r="L232" s="114" t="b">
        <v>0</v>
      </c>
      <c r="M232" s="114" t="b">
        <v>0</v>
      </c>
      <c r="N232" s="114" t="b">
        <v>0</v>
      </c>
      <c r="O232" s="114" t="b">
        <v>0</v>
      </c>
      <c r="P232" s="114" t="b">
        <v>0</v>
      </c>
      <c r="Q232" s="114" t="b">
        <v>0</v>
      </c>
      <c r="R232" s="114" t="b">
        <v>0</v>
      </c>
      <c r="S232" s="114" t="b">
        <v>0</v>
      </c>
      <c r="T232" s="114" t="b">
        <v>0</v>
      </c>
      <c r="U232" s="114" t="b">
        <v>0</v>
      </c>
      <c r="V232" s="114" t="b">
        <v>0</v>
      </c>
      <c r="W232" s="114" t="b">
        <v>0</v>
      </c>
      <c r="X232" s="114" t="b">
        <v>0</v>
      </c>
      <c r="Y232" s="114" t="b">
        <v>0</v>
      </c>
      <c r="Z232" s="114" t="b">
        <v>0</v>
      </c>
      <c r="AA232" s="114" t="b">
        <v>0</v>
      </c>
      <c r="AB232" s="114" t="b">
        <v>0</v>
      </c>
      <c r="AC232" s="114" t="b">
        <v>0</v>
      </c>
      <c r="AD232" s="114" t="b">
        <v>0</v>
      </c>
      <c r="AE232" s="114" t="b">
        <v>0</v>
      </c>
      <c r="AF232" s="114" t="b">
        <v>0</v>
      </c>
      <c r="AG232" s="114" t="b">
        <v>0</v>
      </c>
      <c r="AH232" s="114" t="b">
        <v>0</v>
      </c>
      <c r="AI232" s="114" t="b">
        <v>0</v>
      </c>
      <c r="AJ232" s="114" t="b">
        <v>0</v>
      </c>
      <c r="AK232" s="114" t="b">
        <v>0</v>
      </c>
      <c r="AL232" s="115" t="str">
        <f t="shared" si="1"/>
        <v>0 dari 31 (0%)</v>
      </c>
    </row>
    <row r="233" ht="22.5" customHeight="1">
      <c r="A233" s="2">
        <v>232.0</v>
      </c>
      <c r="B233" s="11"/>
      <c r="C233" s="140"/>
      <c r="D233" s="138"/>
      <c r="E233" s="138"/>
      <c r="F233" s="13"/>
      <c r="G233" s="114" t="b">
        <v>0</v>
      </c>
      <c r="H233" s="114" t="b">
        <v>0</v>
      </c>
      <c r="I233" s="114" t="b">
        <v>0</v>
      </c>
      <c r="J233" s="114" t="b">
        <v>0</v>
      </c>
      <c r="K233" s="114" t="b">
        <v>0</v>
      </c>
      <c r="L233" s="114" t="b">
        <v>0</v>
      </c>
      <c r="M233" s="114" t="b">
        <v>0</v>
      </c>
      <c r="N233" s="114" t="b">
        <v>0</v>
      </c>
      <c r="O233" s="114" t="b">
        <v>0</v>
      </c>
      <c r="P233" s="114" t="b">
        <v>0</v>
      </c>
      <c r="Q233" s="114" t="b">
        <v>0</v>
      </c>
      <c r="R233" s="114" t="b">
        <v>0</v>
      </c>
      <c r="S233" s="114" t="b">
        <v>0</v>
      </c>
      <c r="T233" s="114" t="b">
        <v>0</v>
      </c>
      <c r="U233" s="114" t="b">
        <v>0</v>
      </c>
      <c r="V233" s="114" t="b">
        <v>0</v>
      </c>
      <c r="W233" s="114" t="b">
        <v>0</v>
      </c>
      <c r="X233" s="114" t="b">
        <v>0</v>
      </c>
      <c r="Y233" s="114" t="b">
        <v>0</v>
      </c>
      <c r="Z233" s="114" t="b">
        <v>0</v>
      </c>
      <c r="AA233" s="114" t="b">
        <v>0</v>
      </c>
      <c r="AB233" s="114" t="b">
        <v>0</v>
      </c>
      <c r="AC233" s="114" t="b">
        <v>0</v>
      </c>
      <c r="AD233" s="114" t="b">
        <v>0</v>
      </c>
      <c r="AE233" s="114" t="b">
        <v>0</v>
      </c>
      <c r="AF233" s="114" t="b">
        <v>0</v>
      </c>
      <c r="AG233" s="114" t="b">
        <v>0</v>
      </c>
      <c r="AH233" s="114" t="b">
        <v>0</v>
      </c>
      <c r="AI233" s="114" t="b">
        <v>0</v>
      </c>
      <c r="AJ233" s="114" t="b">
        <v>0</v>
      </c>
      <c r="AK233" s="114" t="b">
        <v>0</v>
      </c>
      <c r="AL233" s="115" t="str">
        <f t="shared" si="1"/>
        <v>0 dari 31 (0%)</v>
      </c>
    </row>
    <row r="234" ht="22.5" customHeight="1">
      <c r="A234" s="10">
        <v>233.0</v>
      </c>
      <c r="B234" s="11"/>
      <c r="C234" s="140"/>
      <c r="D234" s="138"/>
      <c r="E234" s="138"/>
      <c r="F234" s="13"/>
      <c r="G234" s="114" t="b">
        <v>0</v>
      </c>
      <c r="H234" s="114" t="b">
        <v>0</v>
      </c>
      <c r="I234" s="114" t="b">
        <v>0</v>
      </c>
      <c r="J234" s="114" t="b">
        <v>0</v>
      </c>
      <c r="K234" s="114" t="b">
        <v>0</v>
      </c>
      <c r="L234" s="114" t="b">
        <v>0</v>
      </c>
      <c r="M234" s="114" t="b">
        <v>0</v>
      </c>
      <c r="N234" s="114" t="b">
        <v>0</v>
      </c>
      <c r="O234" s="114" t="b">
        <v>0</v>
      </c>
      <c r="P234" s="114" t="b">
        <v>0</v>
      </c>
      <c r="Q234" s="114" t="b">
        <v>0</v>
      </c>
      <c r="R234" s="114" t="b">
        <v>0</v>
      </c>
      <c r="S234" s="114" t="b">
        <v>0</v>
      </c>
      <c r="T234" s="114" t="b">
        <v>0</v>
      </c>
      <c r="U234" s="114" t="b">
        <v>0</v>
      </c>
      <c r="V234" s="114" t="b">
        <v>0</v>
      </c>
      <c r="W234" s="114" t="b">
        <v>0</v>
      </c>
      <c r="X234" s="114" t="b">
        <v>0</v>
      </c>
      <c r="Y234" s="114" t="b">
        <v>0</v>
      </c>
      <c r="Z234" s="114" t="b">
        <v>0</v>
      </c>
      <c r="AA234" s="114" t="b">
        <v>0</v>
      </c>
      <c r="AB234" s="114" t="b">
        <v>0</v>
      </c>
      <c r="AC234" s="114" t="b">
        <v>0</v>
      </c>
      <c r="AD234" s="114" t="b">
        <v>0</v>
      </c>
      <c r="AE234" s="114" t="b">
        <v>0</v>
      </c>
      <c r="AF234" s="114" t="b">
        <v>0</v>
      </c>
      <c r="AG234" s="114" t="b">
        <v>0</v>
      </c>
      <c r="AH234" s="114" t="b">
        <v>0</v>
      </c>
      <c r="AI234" s="114" t="b">
        <v>0</v>
      </c>
      <c r="AJ234" s="114" t="b">
        <v>0</v>
      </c>
      <c r="AK234" s="114" t="b">
        <v>0</v>
      </c>
      <c r="AL234" s="115" t="str">
        <f t="shared" si="1"/>
        <v>0 dari 31 (0%)</v>
      </c>
    </row>
    <row r="235" ht="22.5" customHeight="1">
      <c r="A235" s="10">
        <v>234.0</v>
      </c>
      <c r="B235" s="11"/>
      <c r="C235" s="140"/>
      <c r="D235" s="138"/>
      <c r="E235" s="138"/>
      <c r="F235" s="13"/>
      <c r="G235" s="114" t="b">
        <v>0</v>
      </c>
      <c r="H235" s="114" t="b">
        <v>0</v>
      </c>
      <c r="I235" s="114" t="b">
        <v>0</v>
      </c>
      <c r="J235" s="114" t="b">
        <v>0</v>
      </c>
      <c r="K235" s="114" t="b">
        <v>0</v>
      </c>
      <c r="L235" s="114" t="b">
        <v>0</v>
      </c>
      <c r="M235" s="114" t="b">
        <v>0</v>
      </c>
      <c r="N235" s="114" t="b">
        <v>0</v>
      </c>
      <c r="O235" s="114" t="b">
        <v>0</v>
      </c>
      <c r="P235" s="114" t="b">
        <v>0</v>
      </c>
      <c r="Q235" s="114" t="b">
        <v>0</v>
      </c>
      <c r="R235" s="114" t="b">
        <v>0</v>
      </c>
      <c r="S235" s="114" t="b">
        <v>0</v>
      </c>
      <c r="T235" s="114" t="b">
        <v>0</v>
      </c>
      <c r="U235" s="114" t="b">
        <v>0</v>
      </c>
      <c r="V235" s="114" t="b">
        <v>0</v>
      </c>
      <c r="W235" s="114" t="b">
        <v>0</v>
      </c>
      <c r="X235" s="114" t="b">
        <v>0</v>
      </c>
      <c r="Y235" s="114" t="b">
        <v>0</v>
      </c>
      <c r="Z235" s="114" t="b">
        <v>0</v>
      </c>
      <c r="AA235" s="114" t="b">
        <v>0</v>
      </c>
      <c r="AB235" s="114" t="b">
        <v>0</v>
      </c>
      <c r="AC235" s="114" t="b">
        <v>0</v>
      </c>
      <c r="AD235" s="114" t="b">
        <v>0</v>
      </c>
      <c r="AE235" s="114" t="b">
        <v>0</v>
      </c>
      <c r="AF235" s="114" t="b">
        <v>0</v>
      </c>
      <c r="AG235" s="114" t="b">
        <v>0</v>
      </c>
      <c r="AH235" s="114" t="b">
        <v>0</v>
      </c>
      <c r="AI235" s="114" t="b">
        <v>0</v>
      </c>
      <c r="AJ235" s="114" t="b">
        <v>0</v>
      </c>
      <c r="AK235" s="114" t="b">
        <v>0</v>
      </c>
      <c r="AL235" s="115" t="str">
        <f t="shared" si="1"/>
        <v>0 dari 31 (0%)</v>
      </c>
    </row>
    <row r="236" ht="22.5" customHeight="1">
      <c r="A236" s="2">
        <v>235.0</v>
      </c>
      <c r="B236" s="11"/>
      <c r="C236" s="140"/>
      <c r="D236" s="138"/>
      <c r="E236" s="138"/>
      <c r="F236" s="13"/>
      <c r="G236" s="114" t="b">
        <v>0</v>
      </c>
      <c r="H236" s="114" t="b">
        <v>0</v>
      </c>
      <c r="I236" s="114" t="b">
        <v>0</v>
      </c>
      <c r="J236" s="114" t="b">
        <v>0</v>
      </c>
      <c r="K236" s="114" t="b">
        <v>0</v>
      </c>
      <c r="L236" s="114" t="b">
        <v>0</v>
      </c>
      <c r="M236" s="114" t="b">
        <v>0</v>
      </c>
      <c r="N236" s="114" t="b">
        <v>0</v>
      </c>
      <c r="O236" s="114" t="b">
        <v>0</v>
      </c>
      <c r="P236" s="114" t="b">
        <v>0</v>
      </c>
      <c r="Q236" s="114" t="b">
        <v>0</v>
      </c>
      <c r="R236" s="114" t="b">
        <v>0</v>
      </c>
      <c r="S236" s="114" t="b">
        <v>0</v>
      </c>
      <c r="T236" s="114" t="b">
        <v>0</v>
      </c>
      <c r="U236" s="114" t="b">
        <v>0</v>
      </c>
      <c r="V236" s="114" t="b">
        <v>0</v>
      </c>
      <c r="W236" s="114" t="b">
        <v>0</v>
      </c>
      <c r="X236" s="114" t="b">
        <v>0</v>
      </c>
      <c r="Y236" s="114" t="b">
        <v>0</v>
      </c>
      <c r="Z236" s="114" t="b">
        <v>0</v>
      </c>
      <c r="AA236" s="114" t="b">
        <v>0</v>
      </c>
      <c r="AB236" s="114" t="b">
        <v>0</v>
      </c>
      <c r="AC236" s="114" t="b">
        <v>0</v>
      </c>
      <c r="AD236" s="114" t="b">
        <v>0</v>
      </c>
      <c r="AE236" s="114" t="b">
        <v>0</v>
      </c>
      <c r="AF236" s="114" t="b">
        <v>0</v>
      </c>
      <c r="AG236" s="114" t="b">
        <v>0</v>
      </c>
      <c r="AH236" s="114" t="b">
        <v>0</v>
      </c>
      <c r="AI236" s="114" t="b">
        <v>0</v>
      </c>
      <c r="AJ236" s="114" t="b">
        <v>0</v>
      </c>
      <c r="AK236" s="114" t="b">
        <v>0</v>
      </c>
      <c r="AL236" s="115" t="str">
        <f t="shared" si="1"/>
        <v>0 dari 31 (0%)</v>
      </c>
    </row>
    <row r="237" ht="22.5" customHeight="1">
      <c r="A237" s="10">
        <v>236.0</v>
      </c>
      <c r="B237" s="11"/>
      <c r="C237" s="140"/>
      <c r="D237" s="138"/>
      <c r="E237" s="138"/>
      <c r="F237" s="13"/>
      <c r="G237" s="114" t="b">
        <v>0</v>
      </c>
      <c r="H237" s="114" t="b">
        <v>0</v>
      </c>
      <c r="I237" s="114" t="b">
        <v>0</v>
      </c>
      <c r="J237" s="114" t="b">
        <v>0</v>
      </c>
      <c r="K237" s="114" t="b">
        <v>0</v>
      </c>
      <c r="L237" s="114" t="b">
        <v>0</v>
      </c>
      <c r="M237" s="114" t="b">
        <v>0</v>
      </c>
      <c r="N237" s="114" t="b">
        <v>0</v>
      </c>
      <c r="O237" s="114" t="b">
        <v>0</v>
      </c>
      <c r="P237" s="114" t="b">
        <v>0</v>
      </c>
      <c r="Q237" s="114" t="b">
        <v>0</v>
      </c>
      <c r="R237" s="114" t="b">
        <v>0</v>
      </c>
      <c r="S237" s="114" t="b">
        <v>0</v>
      </c>
      <c r="T237" s="114" t="b">
        <v>0</v>
      </c>
      <c r="U237" s="114" t="b">
        <v>0</v>
      </c>
      <c r="V237" s="114" t="b">
        <v>0</v>
      </c>
      <c r="W237" s="114" t="b">
        <v>0</v>
      </c>
      <c r="X237" s="114" t="b">
        <v>0</v>
      </c>
      <c r="Y237" s="114" t="b">
        <v>0</v>
      </c>
      <c r="Z237" s="114" t="b">
        <v>0</v>
      </c>
      <c r="AA237" s="114" t="b">
        <v>0</v>
      </c>
      <c r="AB237" s="114" t="b">
        <v>0</v>
      </c>
      <c r="AC237" s="114" t="b">
        <v>0</v>
      </c>
      <c r="AD237" s="114" t="b">
        <v>0</v>
      </c>
      <c r="AE237" s="114" t="b">
        <v>0</v>
      </c>
      <c r="AF237" s="114" t="b">
        <v>0</v>
      </c>
      <c r="AG237" s="114" t="b">
        <v>0</v>
      </c>
      <c r="AH237" s="114" t="b">
        <v>0</v>
      </c>
      <c r="AI237" s="114" t="b">
        <v>0</v>
      </c>
      <c r="AJ237" s="114" t="b">
        <v>0</v>
      </c>
      <c r="AK237" s="114" t="b">
        <v>0</v>
      </c>
      <c r="AL237" s="115" t="str">
        <f t="shared" si="1"/>
        <v>0 dari 31 (0%)</v>
      </c>
    </row>
    <row r="238" ht="22.5" customHeight="1">
      <c r="A238" s="2">
        <v>237.0</v>
      </c>
      <c r="B238" s="11"/>
      <c r="C238" s="140"/>
      <c r="D238" s="138"/>
      <c r="E238" s="138"/>
      <c r="F238" s="13"/>
      <c r="G238" s="114" t="b">
        <v>0</v>
      </c>
      <c r="H238" s="114" t="b">
        <v>0</v>
      </c>
      <c r="I238" s="114" t="b">
        <v>0</v>
      </c>
      <c r="J238" s="114" t="b">
        <v>0</v>
      </c>
      <c r="K238" s="114" t="b">
        <v>0</v>
      </c>
      <c r="L238" s="114" t="b">
        <v>0</v>
      </c>
      <c r="M238" s="114" t="b">
        <v>0</v>
      </c>
      <c r="N238" s="114" t="b">
        <v>0</v>
      </c>
      <c r="O238" s="114" t="b">
        <v>0</v>
      </c>
      <c r="P238" s="114" t="b">
        <v>0</v>
      </c>
      <c r="Q238" s="114" t="b">
        <v>0</v>
      </c>
      <c r="R238" s="114" t="b">
        <v>0</v>
      </c>
      <c r="S238" s="114" t="b">
        <v>0</v>
      </c>
      <c r="T238" s="114" t="b">
        <v>0</v>
      </c>
      <c r="U238" s="114" t="b">
        <v>0</v>
      </c>
      <c r="V238" s="114" t="b">
        <v>0</v>
      </c>
      <c r="W238" s="114" t="b">
        <v>0</v>
      </c>
      <c r="X238" s="114" t="b">
        <v>0</v>
      </c>
      <c r="Y238" s="114" t="b">
        <v>0</v>
      </c>
      <c r="Z238" s="114" t="b">
        <v>0</v>
      </c>
      <c r="AA238" s="114" t="b">
        <v>0</v>
      </c>
      <c r="AB238" s="114" t="b">
        <v>0</v>
      </c>
      <c r="AC238" s="114" t="b">
        <v>0</v>
      </c>
      <c r="AD238" s="114" t="b">
        <v>0</v>
      </c>
      <c r="AE238" s="114" t="b">
        <v>0</v>
      </c>
      <c r="AF238" s="114" t="b">
        <v>0</v>
      </c>
      <c r="AG238" s="114" t="b">
        <v>0</v>
      </c>
      <c r="AH238" s="114" t="b">
        <v>0</v>
      </c>
      <c r="AI238" s="114" t="b">
        <v>0</v>
      </c>
      <c r="AJ238" s="114" t="b">
        <v>0</v>
      </c>
      <c r="AK238" s="114" t="b">
        <v>0</v>
      </c>
      <c r="AL238" s="115" t="str">
        <f t="shared" si="1"/>
        <v>0 dari 31 (0%)</v>
      </c>
    </row>
    <row r="239" ht="22.5" customHeight="1">
      <c r="A239" s="10">
        <v>238.0</v>
      </c>
      <c r="B239" s="11"/>
      <c r="C239" s="140"/>
      <c r="D239" s="138"/>
      <c r="E239" s="138"/>
      <c r="F239" s="13"/>
      <c r="G239" s="114" t="b">
        <v>0</v>
      </c>
      <c r="H239" s="114" t="b">
        <v>0</v>
      </c>
      <c r="I239" s="114" t="b">
        <v>0</v>
      </c>
      <c r="J239" s="114" t="b">
        <v>0</v>
      </c>
      <c r="K239" s="114" t="b">
        <v>0</v>
      </c>
      <c r="L239" s="114" t="b">
        <v>0</v>
      </c>
      <c r="M239" s="114" t="b">
        <v>0</v>
      </c>
      <c r="N239" s="114" t="b">
        <v>0</v>
      </c>
      <c r="O239" s="114" t="b">
        <v>0</v>
      </c>
      <c r="P239" s="114" t="b">
        <v>0</v>
      </c>
      <c r="Q239" s="114" t="b">
        <v>0</v>
      </c>
      <c r="R239" s="114" t="b">
        <v>0</v>
      </c>
      <c r="S239" s="114" t="b">
        <v>0</v>
      </c>
      <c r="T239" s="114" t="b">
        <v>0</v>
      </c>
      <c r="U239" s="114" t="b">
        <v>0</v>
      </c>
      <c r="V239" s="114" t="b">
        <v>0</v>
      </c>
      <c r="W239" s="114" t="b">
        <v>0</v>
      </c>
      <c r="X239" s="114" t="b">
        <v>0</v>
      </c>
      <c r="Y239" s="114" t="b">
        <v>0</v>
      </c>
      <c r="Z239" s="114" t="b">
        <v>0</v>
      </c>
      <c r="AA239" s="114" t="b">
        <v>0</v>
      </c>
      <c r="AB239" s="114" t="b">
        <v>0</v>
      </c>
      <c r="AC239" s="114" t="b">
        <v>0</v>
      </c>
      <c r="AD239" s="114" t="b">
        <v>0</v>
      </c>
      <c r="AE239" s="114" t="b">
        <v>0</v>
      </c>
      <c r="AF239" s="114" t="b">
        <v>0</v>
      </c>
      <c r="AG239" s="114" t="b">
        <v>0</v>
      </c>
      <c r="AH239" s="114" t="b">
        <v>0</v>
      </c>
      <c r="AI239" s="114" t="b">
        <v>0</v>
      </c>
      <c r="AJ239" s="114" t="b">
        <v>0</v>
      </c>
      <c r="AK239" s="114" t="b">
        <v>0</v>
      </c>
      <c r="AL239" s="115" t="str">
        <f t="shared" si="1"/>
        <v>0 dari 31 (0%)</v>
      </c>
    </row>
    <row r="240" ht="22.5" customHeight="1">
      <c r="A240" s="10">
        <v>239.0</v>
      </c>
      <c r="B240" s="11"/>
      <c r="C240" s="140"/>
      <c r="D240" s="138"/>
      <c r="E240" s="138"/>
      <c r="F240" s="13"/>
      <c r="G240" s="114" t="b">
        <v>0</v>
      </c>
      <c r="H240" s="114" t="b">
        <v>0</v>
      </c>
      <c r="I240" s="114" t="b">
        <v>0</v>
      </c>
      <c r="J240" s="114" t="b">
        <v>0</v>
      </c>
      <c r="K240" s="114" t="b">
        <v>0</v>
      </c>
      <c r="L240" s="114" t="b">
        <v>0</v>
      </c>
      <c r="M240" s="114" t="b">
        <v>0</v>
      </c>
      <c r="N240" s="114" t="b">
        <v>0</v>
      </c>
      <c r="O240" s="114" t="b">
        <v>0</v>
      </c>
      <c r="P240" s="114" t="b">
        <v>0</v>
      </c>
      <c r="Q240" s="114" t="b">
        <v>0</v>
      </c>
      <c r="R240" s="114" t="b">
        <v>0</v>
      </c>
      <c r="S240" s="114" t="b">
        <v>0</v>
      </c>
      <c r="T240" s="114" t="b">
        <v>0</v>
      </c>
      <c r="U240" s="114" t="b">
        <v>0</v>
      </c>
      <c r="V240" s="114" t="b">
        <v>0</v>
      </c>
      <c r="W240" s="114" t="b">
        <v>0</v>
      </c>
      <c r="X240" s="114" t="b">
        <v>0</v>
      </c>
      <c r="Y240" s="114" t="b">
        <v>0</v>
      </c>
      <c r="Z240" s="114" t="b">
        <v>0</v>
      </c>
      <c r="AA240" s="114" t="b">
        <v>0</v>
      </c>
      <c r="AB240" s="114" t="b">
        <v>0</v>
      </c>
      <c r="AC240" s="114" t="b">
        <v>0</v>
      </c>
      <c r="AD240" s="114" t="b">
        <v>0</v>
      </c>
      <c r="AE240" s="114" t="b">
        <v>0</v>
      </c>
      <c r="AF240" s="114" t="b">
        <v>0</v>
      </c>
      <c r="AG240" s="114" t="b">
        <v>0</v>
      </c>
      <c r="AH240" s="114" t="b">
        <v>0</v>
      </c>
      <c r="AI240" s="114" t="b">
        <v>0</v>
      </c>
      <c r="AJ240" s="114" t="b">
        <v>0</v>
      </c>
      <c r="AK240" s="114" t="b">
        <v>0</v>
      </c>
      <c r="AL240" s="115" t="str">
        <f t="shared" si="1"/>
        <v>0 dari 31 (0%)</v>
      </c>
    </row>
    <row r="241" ht="22.5" customHeight="1">
      <c r="A241" s="2">
        <v>240.0</v>
      </c>
      <c r="B241" s="11"/>
      <c r="C241" s="140"/>
      <c r="D241" s="138"/>
      <c r="E241" s="138"/>
      <c r="F241" s="13"/>
      <c r="G241" s="114" t="b">
        <v>0</v>
      </c>
      <c r="H241" s="114" t="b">
        <v>0</v>
      </c>
      <c r="I241" s="114" t="b">
        <v>0</v>
      </c>
      <c r="J241" s="114" t="b">
        <v>0</v>
      </c>
      <c r="K241" s="114" t="b">
        <v>0</v>
      </c>
      <c r="L241" s="114" t="b">
        <v>0</v>
      </c>
      <c r="M241" s="114" t="b">
        <v>0</v>
      </c>
      <c r="N241" s="114" t="b">
        <v>0</v>
      </c>
      <c r="O241" s="114" t="b">
        <v>0</v>
      </c>
      <c r="P241" s="114" t="b">
        <v>0</v>
      </c>
      <c r="Q241" s="114" t="b">
        <v>0</v>
      </c>
      <c r="R241" s="114" t="b">
        <v>0</v>
      </c>
      <c r="S241" s="114" t="b">
        <v>0</v>
      </c>
      <c r="T241" s="114" t="b">
        <v>0</v>
      </c>
      <c r="U241" s="114" t="b">
        <v>0</v>
      </c>
      <c r="V241" s="114" t="b">
        <v>0</v>
      </c>
      <c r="W241" s="114" t="b">
        <v>0</v>
      </c>
      <c r="X241" s="114" t="b">
        <v>0</v>
      </c>
      <c r="Y241" s="114" t="b">
        <v>0</v>
      </c>
      <c r="Z241" s="114" t="b">
        <v>0</v>
      </c>
      <c r="AA241" s="114" t="b">
        <v>0</v>
      </c>
      <c r="AB241" s="114" t="b">
        <v>0</v>
      </c>
      <c r="AC241" s="114" t="b">
        <v>0</v>
      </c>
      <c r="AD241" s="114" t="b">
        <v>0</v>
      </c>
      <c r="AE241" s="114" t="b">
        <v>0</v>
      </c>
      <c r="AF241" s="114" t="b">
        <v>0</v>
      </c>
      <c r="AG241" s="114" t="b">
        <v>0</v>
      </c>
      <c r="AH241" s="114" t="b">
        <v>0</v>
      </c>
      <c r="AI241" s="114" t="b">
        <v>0</v>
      </c>
      <c r="AJ241" s="114" t="b">
        <v>0</v>
      </c>
      <c r="AK241" s="114" t="b">
        <v>0</v>
      </c>
      <c r="AL241" s="115" t="str">
        <f t="shared" si="1"/>
        <v>0 dari 31 (0%)</v>
      </c>
    </row>
    <row r="242" ht="22.5" customHeight="1">
      <c r="A242" s="10">
        <v>241.0</v>
      </c>
      <c r="B242" s="11"/>
      <c r="C242" s="140"/>
      <c r="D242" s="138"/>
      <c r="E242" s="138"/>
      <c r="F242" s="13"/>
      <c r="G242" s="114" t="b">
        <v>0</v>
      </c>
      <c r="H242" s="114" t="b">
        <v>0</v>
      </c>
      <c r="I242" s="114" t="b">
        <v>0</v>
      </c>
      <c r="J242" s="114" t="b">
        <v>0</v>
      </c>
      <c r="K242" s="114" t="b">
        <v>0</v>
      </c>
      <c r="L242" s="114" t="b">
        <v>0</v>
      </c>
      <c r="M242" s="114" t="b">
        <v>0</v>
      </c>
      <c r="N242" s="114" t="b">
        <v>0</v>
      </c>
      <c r="O242" s="114" t="b">
        <v>0</v>
      </c>
      <c r="P242" s="114" t="b">
        <v>0</v>
      </c>
      <c r="Q242" s="114" t="b">
        <v>0</v>
      </c>
      <c r="R242" s="114" t="b">
        <v>0</v>
      </c>
      <c r="S242" s="114" t="b">
        <v>0</v>
      </c>
      <c r="T242" s="114" t="b">
        <v>0</v>
      </c>
      <c r="U242" s="114" t="b">
        <v>0</v>
      </c>
      <c r="V242" s="114" t="b">
        <v>0</v>
      </c>
      <c r="W242" s="114" t="b">
        <v>0</v>
      </c>
      <c r="X242" s="114" t="b">
        <v>0</v>
      </c>
      <c r="Y242" s="114" t="b">
        <v>0</v>
      </c>
      <c r="Z242" s="114" t="b">
        <v>0</v>
      </c>
      <c r="AA242" s="114" t="b">
        <v>0</v>
      </c>
      <c r="AB242" s="114" t="b">
        <v>0</v>
      </c>
      <c r="AC242" s="114" t="b">
        <v>0</v>
      </c>
      <c r="AD242" s="114" t="b">
        <v>0</v>
      </c>
      <c r="AE242" s="114" t="b">
        <v>0</v>
      </c>
      <c r="AF242" s="114" t="b">
        <v>0</v>
      </c>
      <c r="AG242" s="114" t="b">
        <v>0</v>
      </c>
      <c r="AH242" s="114" t="b">
        <v>0</v>
      </c>
      <c r="AI242" s="114" t="b">
        <v>0</v>
      </c>
      <c r="AJ242" s="114" t="b">
        <v>0</v>
      </c>
      <c r="AK242" s="114" t="b">
        <v>0</v>
      </c>
      <c r="AL242" s="115" t="str">
        <f t="shared" si="1"/>
        <v>0 dari 31 (0%)</v>
      </c>
    </row>
    <row r="243" ht="22.5" customHeight="1">
      <c r="A243" s="2">
        <v>242.0</v>
      </c>
      <c r="B243" s="11"/>
      <c r="C243" s="140"/>
      <c r="D243" s="138"/>
      <c r="E243" s="138"/>
      <c r="F243" s="13"/>
      <c r="G243" s="114" t="b">
        <v>0</v>
      </c>
      <c r="H243" s="114" t="b">
        <v>0</v>
      </c>
      <c r="I243" s="114" t="b">
        <v>0</v>
      </c>
      <c r="J243" s="114" t="b">
        <v>0</v>
      </c>
      <c r="K243" s="114" t="b">
        <v>0</v>
      </c>
      <c r="L243" s="114" t="b">
        <v>0</v>
      </c>
      <c r="M243" s="114" t="b">
        <v>0</v>
      </c>
      <c r="N243" s="114" t="b">
        <v>0</v>
      </c>
      <c r="O243" s="114" t="b">
        <v>0</v>
      </c>
      <c r="P243" s="114" t="b">
        <v>0</v>
      </c>
      <c r="Q243" s="114" t="b">
        <v>0</v>
      </c>
      <c r="R243" s="114" t="b">
        <v>0</v>
      </c>
      <c r="S243" s="114" t="b">
        <v>0</v>
      </c>
      <c r="T243" s="114" t="b">
        <v>0</v>
      </c>
      <c r="U243" s="114" t="b">
        <v>0</v>
      </c>
      <c r="V243" s="114" t="b">
        <v>0</v>
      </c>
      <c r="W243" s="114" t="b">
        <v>0</v>
      </c>
      <c r="X243" s="114" t="b">
        <v>0</v>
      </c>
      <c r="Y243" s="114" t="b">
        <v>0</v>
      </c>
      <c r="Z243" s="114" t="b">
        <v>0</v>
      </c>
      <c r="AA243" s="114" t="b">
        <v>0</v>
      </c>
      <c r="AB243" s="114" t="b">
        <v>0</v>
      </c>
      <c r="AC243" s="114" t="b">
        <v>0</v>
      </c>
      <c r="AD243" s="114" t="b">
        <v>0</v>
      </c>
      <c r="AE243" s="114" t="b">
        <v>0</v>
      </c>
      <c r="AF243" s="114" t="b">
        <v>0</v>
      </c>
      <c r="AG243" s="114" t="b">
        <v>0</v>
      </c>
      <c r="AH243" s="114" t="b">
        <v>0</v>
      </c>
      <c r="AI243" s="114" t="b">
        <v>0</v>
      </c>
      <c r="AJ243" s="114" t="b">
        <v>0</v>
      </c>
      <c r="AK243" s="114" t="b">
        <v>0</v>
      </c>
      <c r="AL243" s="115" t="str">
        <f t="shared" si="1"/>
        <v>0 dari 31 (0%)</v>
      </c>
    </row>
    <row r="244" ht="22.5" customHeight="1">
      <c r="A244" s="10">
        <v>243.0</v>
      </c>
      <c r="B244" s="11"/>
      <c r="C244" s="140"/>
      <c r="D244" s="138"/>
      <c r="E244" s="138"/>
      <c r="F244" s="13"/>
      <c r="G244" s="114" t="b">
        <v>0</v>
      </c>
      <c r="H244" s="114" t="b">
        <v>0</v>
      </c>
      <c r="I244" s="114" t="b">
        <v>0</v>
      </c>
      <c r="J244" s="114" t="b">
        <v>0</v>
      </c>
      <c r="K244" s="114" t="b">
        <v>0</v>
      </c>
      <c r="L244" s="114" t="b">
        <v>0</v>
      </c>
      <c r="M244" s="114" t="b">
        <v>0</v>
      </c>
      <c r="N244" s="114" t="b">
        <v>0</v>
      </c>
      <c r="O244" s="114" t="b">
        <v>0</v>
      </c>
      <c r="P244" s="114" t="b">
        <v>0</v>
      </c>
      <c r="Q244" s="114" t="b">
        <v>0</v>
      </c>
      <c r="R244" s="114" t="b">
        <v>0</v>
      </c>
      <c r="S244" s="114" t="b">
        <v>0</v>
      </c>
      <c r="T244" s="114" t="b">
        <v>0</v>
      </c>
      <c r="U244" s="114" t="b">
        <v>0</v>
      </c>
      <c r="V244" s="114" t="b">
        <v>0</v>
      </c>
      <c r="W244" s="114" t="b">
        <v>0</v>
      </c>
      <c r="X244" s="114" t="b">
        <v>0</v>
      </c>
      <c r="Y244" s="114" t="b">
        <v>0</v>
      </c>
      <c r="Z244" s="114" t="b">
        <v>0</v>
      </c>
      <c r="AA244" s="114" t="b">
        <v>0</v>
      </c>
      <c r="AB244" s="114" t="b">
        <v>0</v>
      </c>
      <c r="AC244" s="114" t="b">
        <v>0</v>
      </c>
      <c r="AD244" s="114" t="b">
        <v>0</v>
      </c>
      <c r="AE244" s="114" t="b">
        <v>0</v>
      </c>
      <c r="AF244" s="114" t="b">
        <v>0</v>
      </c>
      <c r="AG244" s="114" t="b">
        <v>0</v>
      </c>
      <c r="AH244" s="114" t="b">
        <v>0</v>
      </c>
      <c r="AI244" s="114" t="b">
        <v>0</v>
      </c>
      <c r="AJ244" s="114" t="b">
        <v>0</v>
      </c>
      <c r="AK244" s="114" t="b">
        <v>0</v>
      </c>
      <c r="AL244" s="115" t="str">
        <f t="shared" si="1"/>
        <v>0 dari 31 (0%)</v>
      </c>
    </row>
    <row r="245" ht="22.5" customHeight="1">
      <c r="A245" s="10">
        <v>244.0</v>
      </c>
      <c r="B245" s="11"/>
      <c r="C245" s="140"/>
      <c r="D245" s="138"/>
      <c r="E245" s="138"/>
      <c r="F245" s="13"/>
      <c r="G245" s="114" t="b">
        <v>0</v>
      </c>
      <c r="H245" s="114" t="b">
        <v>0</v>
      </c>
      <c r="I245" s="114" t="b">
        <v>0</v>
      </c>
      <c r="J245" s="114" t="b">
        <v>0</v>
      </c>
      <c r="K245" s="114" t="b">
        <v>0</v>
      </c>
      <c r="L245" s="114" t="b">
        <v>0</v>
      </c>
      <c r="M245" s="114" t="b">
        <v>0</v>
      </c>
      <c r="N245" s="114" t="b">
        <v>0</v>
      </c>
      <c r="O245" s="114" t="b">
        <v>0</v>
      </c>
      <c r="P245" s="114" t="b">
        <v>0</v>
      </c>
      <c r="Q245" s="114" t="b">
        <v>0</v>
      </c>
      <c r="R245" s="114" t="b">
        <v>0</v>
      </c>
      <c r="S245" s="114" t="b">
        <v>0</v>
      </c>
      <c r="T245" s="114" t="b">
        <v>0</v>
      </c>
      <c r="U245" s="114" t="b">
        <v>0</v>
      </c>
      <c r="V245" s="114" t="b">
        <v>0</v>
      </c>
      <c r="W245" s="114" t="b">
        <v>0</v>
      </c>
      <c r="X245" s="114" t="b">
        <v>0</v>
      </c>
      <c r="Y245" s="114" t="b">
        <v>0</v>
      </c>
      <c r="Z245" s="114" t="b">
        <v>0</v>
      </c>
      <c r="AA245" s="114" t="b">
        <v>0</v>
      </c>
      <c r="AB245" s="114" t="b">
        <v>0</v>
      </c>
      <c r="AC245" s="114" t="b">
        <v>0</v>
      </c>
      <c r="AD245" s="114" t="b">
        <v>0</v>
      </c>
      <c r="AE245" s="114" t="b">
        <v>0</v>
      </c>
      <c r="AF245" s="114" t="b">
        <v>0</v>
      </c>
      <c r="AG245" s="114" t="b">
        <v>0</v>
      </c>
      <c r="AH245" s="114" t="b">
        <v>0</v>
      </c>
      <c r="AI245" s="114" t="b">
        <v>0</v>
      </c>
      <c r="AJ245" s="114" t="b">
        <v>0</v>
      </c>
      <c r="AK245" s="114" t="b">
        <v>0</v>
      </c>
      <c r="AL245" s="115" t="str">
        <f t="shared" si="1"/>
        <v>0 dari 31 (0%)</v>
      </c>
    </row>
    <row r="246" ht="22.5" customHeight="1">
      <c r="A246" s="2">
        <v>245.0</v>
      </c>
      <c r="B246" s="11"/>
      <c r="C246" s="140"/>
      <c r="D246" s="138"/>
      <c r="E246" s="138"/>
      <c r="F246" s="13"/>
      <c r="G246" s="114" t="b">
        <v>0</v>
      </c>
      <c r="H246" s="114" t="b">
        <v>0</v>
      </c>
      <c r="I246" s="114" t="b">
        <v>0</v>
      </c>
      <c r="J246" s="114" t="b">
        <v>0</v>
      </c>
      <c r="K246" s="114" t="b">
        <v>0</v>
      </c>
      <c r="L246" s="114" t="b">
        <v>0</v>
      </c>
      <c r="M246" s="114" t="b">
        <v>0</v>
      </c>
      <c r="N246" s="114" t="b">
        <v>0</v>
      </c>
      <c r="O246" s="114" t="b">
        <v>0</v>
      </c>
      <c r="P246" s="114" t="b">
        <v>0</v>
      </c>
      <c r="Q246" s="114" t="b">
        <v>0</v>
      </c>
      <c r="R246" s="114" t="b">
        <v>0</v>
      </c>
      <c r="S246" s="114" t="b">
        <v>0</v>
      </c>
      <c r="T246" s="114" t="b">
        <v>0</v>
      </c>
      <c r="U246" s="114" t="b">
        <v>0</v>
      </c>
      <c r="V246" s="114" t="b">
        <v>0</v>
      </c>
      <c r="W246" s="114" t="b">
        <v>0</v>
      </c>
      <c r="X246" s="114" t="b">
        <v>0</v>
      </c>
      <c r="Y246" s="114" t="b">
        <v>0</v>
      </c>
      <c r="Z246" s="114" t="b">
        <v>0</v>
      </c>
      <c r="AA246" s="114" t="b">
        <v>0</v>
      </c>
      <c r="AB246" s="114" t="b">
        <v>0</v>
      </c>
      <c r="AC246" s="114" t="b">
        <v>0</v>
      </c>
      <c r="AD246" s="114" t="b">
        <v>0</v>
      </c>
      <c r="AE246" s="114" t="b">
        <v>0</v>
      </c>
      <c r="AF246" s="114" t="b">
        <v>0</v>
      </c>
      <c r="AG246" s="114" t="b">
        <v>0</v>
      </c>
      <c r="AH246" s="114" t="b">
        <v>0</v>
      </c>
      <c r="AI246" s="114" t="b">
        <v>0</v>
      </c>
      <c r="AJ246" s="114" t="b">
        <v>0</v>
      </c>
      <c r="AK246" s="114" t="b">
        <v>0</v>
      </c>
      <c r="AL246" s="115" t="str">
        <f t="shared" si="1"/>
        <v>0 dari 31 (0%)</v>
      </c>
    </row>
    <row r="247" ht="22.5" customHeight="1">
      <c r="A247" s="10">
        <v>246.0</v>
      </c>
      <c r="B247" s="11"/>
      <c r="C247" s="140"/>
      <c r="D247" s="138"/>
      <c r="E247" s="138"/>
      <c r="F247" s="13"/>
      <c r="G247" s="114" t="b">
        <v>0</v>
      </c>
      <c r="H247" s="114" t="b">
        <v>0</v>
      </c>
      <c r="I247" s="114" t="b">
        <v>0</v>
      </c>
      <c r="J247" s="114" t="b">
        <v>0</v>
      </c>
      <c r="K247" s="114" t="b">
        <v>0</v>
      </c>
      <c r="L247" s="114" t="b">
        <v>0</v>
      </c>
      <c r="M247" s="114" t="b">
        <v>0</v>
      </c>
      <c r="N247" s="114" t="b">
        <v>0</v>
      </c>
      <c r="O247" s="114" t="b">
        <v>0</v>
      </c>
      <c r="P247" s="114" t="b">
        <v>0</v>
      </c>
      <c r="Q247" s="114" t="b">
        <v>0</v>
      </c>
      <c r="R247" s="114" t="b">
        <v>0</v>
      </c>
      <c r="S247" s="114" t="b">
        <v>0</v>
      </c>
      <c r="T247" s="114" t="b">
        <v>0</v>
      </c>
      <c r="U247" s="114" t="b">
        <v>0</v>
      </c>
      <c r="V247" s="114" t="b">
        <v>0</v>
      </c>
      <c r="W247" s="114" t="b">
        <v>0</v>
      </c>
      <c r="X247" s="114" t="b">
        <v>0</v>
      </c>
      <c r="Y247" s="114" t="b">
        <v>0</v>
      </c>
      <c r="Z247" s="114" t="b">
        <v>0</v>
      </c>
      <c r="AA247" s="114" t="b">
        <v>0</v>
      </c>
      <c r="AB247" s="114" t="b">
        <v>0</v>
      </c>
      <c r="AC247" s="114" t="b">
        <v>0</v>
      </c>
      <c r="AD247" s="114" t="b">
        <v>0</v>
      </c>
      <c r="AE247" s="114" t="b">
        <v>0</v>
      </c>
      <c r="AF247" s="114" t="b">
        <v>0</v>
      </c>
      <c r="AG247" s="114" t="b">
        <v>0</v>
      </c>
      <c r="AH247" s="114" t="b">
        <v>0</v>
      </c>
      <c r="AI247" s="114" t="b">
        <v>0</v>
      </c>
      <c r="AJ247" s="114" t="b">
        <v>0</v>
      </c>
      <c r="AK247" s="114" t="b">
        <v>0</v>
      </c>
      <c r="AL247" s="115" t="str">
        <f t="shared" si="1"/>
        <v>0 dari 31 (0%)</v>
      </c>
    </row>
    <row r="248" ht="22.5" customHeight="1">
      <c r="A248" s="2">
        <v>247.0</v>
      </c>
      <c r="B248" s="11"/>
      <c r="C248" s="140"/>
      <c r="D248" s="138"/>
      <c r="E248" s="138"/>
      <c r="F248" s="13"/>
      <c r="G248" s="114" t="b">
        <v>0</v>
      </c>
      <c r="H248" s="114" t="b">
        <v>0</v>
      </c>
      <c r="I248" s="114" t="b">
        <v>0</v>
      </c>
      <c r="J248" s="114" t="b">
        <v>0</v>
      </c>
      <c r="K248" s="114" t="b">
        <v>0</v>
      </c>
      <c r="L248" s="114" t="b">
        <v>0</v>
      </c>
      <c r="M248" s="114" t="b">
        <v>0</v>
      </c>
      <c r="N248" s="114" t="b">
        <v>0</v>
      </c>
      <c r="O248" s="114" t="b">
        <v>0</v>
      </c>
      <c r="P248" s="114" t="b">
        <v>0</v>
      </c>
      <c r="Q248" s="114" t="b">
        <v>0</v>
      </c>
      <c r="R248" s="114" t="b">
        <v>0</v>
      </c>
      <c r="S248" s="114" t="b">
        <v>0</v>
      </c>
      <c r="T248" s="114" t="b">
        <v>0</v>
      </c>
      <c r="U248" s="114" t="b">
        <v>0</v>
      </c>
      <c r="V248" s="114" t="b">
        <v>0</v>
      </c>
      <c r="W248" s="114" t="b">
        <v>0</v>
      </c>
      <c r="X248" s="114" t="b">
        <v>0</v>
      </c>
      <c r="Y248" s="114" t="b">
        <v>0</v>
      </c>
      <c r="Z248" s="114" t="b">
        <v>0</v>
      </c>
      <c r="AA248" s="114" t="b">
        <v>0</v>
      </c>
      <c r="AB248" s="114" t="b">
        <v>0</v>
      </c>
      <c r="AC248" s="114" t="b">
        <v>0</v>
      </c>
      <c r="AD248" s="114" t="b">
        <v>0</v>
      </c>
      <c r="AE248" s="114" t="b">
        <v>0</v>
      </c>
      <c r="AF248" s="114" t="b">
        <v>0</v>
      </c>
      <c r="AG248" s="114" t="b">
        <v>0</v>
      </c>
      <c r="AH248" s="114" t="b">
        <v>0</v>
      </c>
      <c r="AI248" s="114" t="b">
        <v>0</v>
      </c>
      <c r="AJ248" s="114" t="b">
        <v>0</v>
      </c>
      <c r="AK248" s="114" t="b">
        <v>0</v>
      </c>
      <c r="AL248" s="115" t="str">
        <f t="shared" si="1"/>
        <v>0 dari 31 (0%)</v>
      </c>
    </row>
    <row r="249" ht="22.5" customHeight="1">
      <c r="A249" s="10">
        <v>248.0</v>
      </c>
      <c r="B249" s="11"/>
      <c r="C249" s="140"/>
      <c r="D249" s="138"/>
      <c r="E249" s="138"/>
      <c r="F249" s="13"/>
      <c r="G249" s="114" t="b">
        <v>0</v>
      </c>
      <c r="H249" s="114" t="b">
        <v>0</v>
      </c>
      <c r="I249" s="114" t="b">
        <v>0</v>
      </c>
      <c r="J249" s="114" t="b">
        <v>0</v>
      </c>
      <c r="K249" s="114" t="b">
        <v>0</v>
      </c>
      <c r="L249" s="114" t="b">
        <v>0</v>
      </c>
      <c r="M249" s="114" t="b">
        <v>0</v>
      </c>
      <c r="N249" s="114" t="b">
        <v>0</v>
      </c>
      <c r="O249" s="114" t="b">
        <v>0</v>
      </c>
      <c r="P249" s="114" t="b">
        <v>0</v>
      </c>
      <c r="Q249" s="114" t="b">
        <v>0</v>
      </c>
      <c r="R249" s="114" t="b">
        <v>0</v>
      </c>
      <c r="S249" s="114" t="b">
        <v>0</v>
      </c>
      <c r="T249" s="114" t="b">
        <v>0</v>
      </c>
      <c r="U249" s="114" t="b">
        <v>0</v>
      </c>
      <c r="V249" s="114" t="b">
        <v>0</v>
      </c>
      <c r="W249" s="114" t="b">
        <v>0</v>
      </c>
      <c r="X249" s="114" t="b">
        <v>0</v>
      </c>
      <c r="Y249" s="114" t="b">
        <v>0</v>
      </c>
      <c r="Z249" s="114" t="b">
        <v>0</v>
      </c>
      <c r="AA249" s="114" t="b">
        <v>0</v>
      </c>
      <c r="AB249" s="114" t="b">
        <v>0</v>
      </c>
      <c r="AC249" s="114" t="b">
        <v>0</v>
      </c>
      <c r="AD249" s="114" t="b">
        <v>0</v>
      </c>
      <c r="AE249" s="114" t="b">
        <v>0</v>
      </c>
      <c r="AF249" s="114" t="b">
        <v>0</v>
      </c>
      <c r="AG249" s="114" t="b">
        <v>0</v>
      </c>
      <c r="AH249" s="114" t="b">
        <v>0</v>
      </c>
      <c r="AI249" s="114" t="b">
        <v>0</v>
      </c>
      <c r="AJ249" s="114" t="b">
        <v>0</v>
      </c>
      <c r="AK249" s="114" t="b">
        <v>0</v>
      </c>
      <c r="AL249" s="115" t="str">
        <f t="shared" si="1"/>
        <v>0 dari 31 (0%)</v>
      </c>
    </row>
    <row r="250" ht="22.5" customHeight="1">
      <c r="A250" s="10">
        <v>249.0</v>
      </c>
      <c r="B250" s="11"/>
      <c r="C250" s="140"/>
      <c r="D250" s="138"/>
      <c r="E250" s="138"/>
      <c r="F250" s="13"/>
      <c r="G250" s="114" t="b">
        <v>0</v>
      </c>
      <c r="H250" s="114" t="b">
        <v>0</v>
      </c>
      <c r="I250" s="114" t="b">
        <v>0</v>
      </c>
      <c r="J250" s="114" t="b">
        <v>0</v>
      </c>
      <c r="K250" s="114" t="b">
        <v>0</v>
      </c>
      <c r="L250" s="114" t="b">
        <v>0</v>
      </c>
      <c r="M250" s="114" t="b">
        <v>0</v>
      </c>
      <c r="N250" s="114" t="b">
        <v>0</v>
      </c>
      <c r="O250" s="114" t="b">
        <v>0</v>
      </c>
      <c r="P250" s="114" t="b">
        <v>0</v>
      </c>
      <c r="Q250" s="114" t="b">
        <v>0</v>
      </c>
      <c r="R250" s="114" t="b">
        <v>0</v>
      </c>
      <c r="S250" s="114" t="b">
        <v>0</v>
      </c>
      <c r="T250" s="114" t="b">
        <v>0</v>
      </c>
      <c r="U250" s="114" t="b">
        <v>0</v>
      </c>
      <c r="V250" s="114" t="b">
        <v>0</v>
      </c>
      <c r="W250" s="114" t="b">
        <v>0</v>
      </c>
      <c r="X250" s="114" t="b">
        <v>0</v>
      </c>
      <c r="Y250" s="114" t="b">
        <v>0</v>
      </c>
      <c r="Z250" s="114" t="b">
        <v>0</v>
      </c>
      <c r="AA250" s="114" t="b">
        <v>0</v>
      </c>
      <c r="AB250" s="114" t="b">
        <v>0</v>
      </c>
      <c r="AC250" s="114" t="b">
        <v>0</v>
      </c>
      <c r="AD250" s="114" t="b">
        <v>0</v>
      </c>
      <c r="AE250" s="114" t="b">
        <v>0</v>
      </c>
      <c r="AF250" s="114" t="b">
        <v>0</v>
      </c>
      <c r="AG250" s="114" t="b">
        <v>0</v>
      </c>
      <c r="AH250" s="114" t="b">
        <v>0</v>
      </c>
      <c r="AI250" s="114" t="b">
        <v>0</v>
      </c>
      <c r="AJ250" s="114" t="b">
        <v>0</v>
      </c>
      <c r="AK250" s="114" t="b">
        <v>0</v>
      </c>
      <c r="AL250" s="115" t="str">
        <f t="shared" si="1"/>
        <v>0 dari 31 (0%)</v>
      </c>
    </row>
    <row r="251" ht="22.5" customHeight="1">
      <c r="A251" s="2">
        <v>250.0</v>
      </c>
      <c r="B251" s="11"/>
      <c r="C251" s="140"/>
      <c r="D251" s="138"/>
      <c r="E251" s="138"/>
      <c r="F251" s="13"/>
      <c r="G251" s="114" t="b">
        <v>0</v>
      </c>
      <c r="H251" s="114" t="b">
        <v>0</v>
      </c>
      <c r="I251" s="114" t="b">
        <v>0</v>
      </c>
      <c r="J251" s="114" t="b">
        <v>0</v>
      </c>
      <c r="K251" s="114" t="b">
        <v>0</v>
      </c>
      <c r="L251" s="114" t="b">
        <v>0</v>
      </c>
      <c r="M251" s="114" t="b">
        <v>0</v>
      </c>
      <c r="N251" s="114" t="b">
        <v>0</v>
      </c>
      <c r="O251" s="114" t="b">
        <v>0</v>
      </c>
      <c r="P251" s="114" t="b">
        <v>0</v>
      </c>
      <c r="Q251" s="114" t="b">
        <v>0</v>
      </c>
      <c r="R251" s="114" t="b">
        <v>0</v>
      </c>
      <c r="S251" s="114" t="b">
        <v>0</v>
      </c>
      <c r="T251" s="114" t="b">
        <v>0</v>
      </c>
      <c r="U251" s="114" t="b">
        <v>0</v>
      </c>
      <c r="V251" s="114" t="b">
        <v>0</v>
      </c>
      <c r="W251" s="114" t="b">
        <v>0</v>
      </c>
      <c r="X251" s="114" t="b">
        <v>0</v>
      </c>
      <c r="Y251" s="114" t="b">
        <v>0</v>
      </c>
      <c r="Z251" s="114" t="b">
        <v>0</v>
      </c>
      <c r="AA251" s="114" t="b">
        <v>0</v>
      </c>
      <c r="AB251" s="114" t="b">
        <v>0</v>
      </c>
      <c r="AC251" s="114" t="b">
        <v>0</v>
      </c>
      <c r="AD251" s="114" t="b">
        <v>0</v>
      </c>
      <c r="AE251" s="114" t="b">
        <v>0</v>
      </c>
      <c r="AF251" s="114" t="b">
        <v>0</v>
      </c>
      <c r="AG251" s="114" t="b">
        <v>0</v>
      </c>
      <c r="AH251" s="114" t="b">
        <v>0</v>
      </c>
      <c r="AI251" s="114" t="b">
        <v>0</v>
      </c>
      <c r="AJ251" s="114" t="b">
        <v>0</v>
      </c>
      <c r="AK251" s="114" t="b">
        <v>0</v>
      </c>
      <c r="AL251" s="115" t="str">
        <f t="shared" si="1"/>
        <v>0 dari 31 (0%)</v>
      </c>
    </row>
    <row r="252" ht="22.5" customHeight="1">
      <c r="A252" s="10">
        <v>251.0</v>
      </c>
      <c r="B252" s="11"/>
      <c r="C252" s="140"/>
      <c r="D252" s="138"/>
      <c r="E252" s="138"/>
      <c r="F252" s="13"/>
      <c r="G252" s="114" t="b">
        <v>0</v>
      </c>
      <c r="H252" s="114" t="b">
        <v>0</v>
      </c>
      <c r="I252" s="114" t="b">
        <v>0</v>
      </c>
      <c r="J252" s="114" t="b">
        <v>0</v>
      </c>
      <c r="K252" s="114" t="b">
        <v>0</v>
      </c>
      <c r="L252" s="114" t="b">
        <v>0</v>
      </c>
      <c r="M252" s="114" t="b">
        <v>0</v>
      </c>
      <c r="N252" s="114" t="b">
        <v>0</v>
      </c>
      <c r="O252" s="114" t="b">
        <v>0</v>
      </c>
      <c r="P252" s="114" t="b">
        <v>0</v>
      </c>
      <c r="Q252" s="114" t="b">
        <v>0</v>
      </c>
      <c r="R252" s="114" t="b">
        <v>0</v>
      </c>
      <c r="S252" s="114" t="b">
        <v>0</v>
      </c>
      <c r="T252" s="114" t="b">
        <v>0</v>
      </c>
      <c r="U252" s="114" t="b">
        <v>0</v>
      </c>
      <c r="V252" s="114" t="b">
        <v>0</v>
      </c>
      <c r="W252" s="114" t="b">
        <v>0</v>
      </c>
      <c r="X252" s="114" t="b">
        <v>0</v>
      </c>
      <c r="Y252" s="114" t="b">
        <v>0</v>
      </c>
      <c r="Z252" s="114" t="b">
        <v>0</v>
      </c>
      <c r="AA252" s="114" t="b">
        <v>0</v>
      </c>
      <c r="AB252" s="114" t="b">
        <v>0</v>
      </c>
      <c r="AC252" s="114" t="b">
        <v>0</v>
      </c>
      <c r="AD252" s="114" t="b">
        <v>0</v>
      </c>
      <c r="AE252" s="114" t="b">
        <v>0</v>
      </c>
      <c r="AF252" s="114" t="b">
        <v>0</v>
      </c>
      <c r="AG252" s="114" t="b">
        <v>0</v>
      </c>
      <c r="AH252" s="114" t="b">
        <v>0</v>
      </c>
      <c r="AI252" s="114" t="b">
        <v>0</v>
      </c>
      <c r="AJ252" s="114" t="b">
        <v>0</v>
      </c>
      <c r="AK252" s="114" t="b">
        <v>0</v>
      </c>
      <c r="AL252" s="115" t="str">
        <f t="shared" si="1"/>
        <v>0 dari 31 (0%)</v>
      </c>
    </row>
    <row r="253" ht="22.5" customHeight="1">
      <c r="A253" s="2">
        <v>252.0</v>
      </c>
      <c r="B253" s="11"/>
      <c r="C253" s="140"/>
      <c r="D253" s="138"/>
      <c r="E253" s="138"/>
      <c r="F253" s="13"/>
      <c r="G253" s="114" t="b">
        <v>0</v>
      </c>
      <c r="H253" s="114" t="b">
        <v>0</v>
      </c>
      <c r="I253" s="114" t="b">
        <v>0</v>
      </c>
      <c r="J253" s="114" t="b">
        <v>0</v>
      </c>
      <c r="K253" s="114" t="b">
        <v>0</v>
      </c>
      <c r="L253" s="114" t="b">
        <v>0</v>
      </c>
      <c r="M253" s="114" t="b">
        <v>0</v>
      </c>
      <c r="N253" s="114" t="b">
        <v>0</v>
      </c>
      <c r="O253" s="114" t="b">
        <v>0</v>
      </c>
      <c r="P253" s="114" t="b">
        <v>0</v>
      </c>
      <c r="Q253" s="114" t="b">
        <v>0</v>
      </c>
      <c r="R253" s="114" t="b">
        <v>0</v>
      </c>
      <c r="S253" s="114" t="b">
        <v>0</v>
      </c>
      <c r="T253" s="114" t="b">
        <v>0</v>
      </c>
      <c r="U253" s="114" t="b">
        <v>0</v>
      </c>
      <c r="V253" s="114" t="b">
        <v>0</v>
      </c>
      <c r="W253" s="114" t="b">
        <v>0</v>
      </c>
      <c r="X253" s="114" t="b">
        <v>0</v>
      </c>
      <c r="Y253" s="114" t="b">
        <v>0</v>
      </c>
      <c r="Z253" s="114" t="b">
        <v>0</v>
      </c>
      <c r="AA253" s="114" t="b">
        <v>0</v>
      </c>
      <c r="AB253" s="114" t="b">
        <v>0</v>
      </c>
      <c r="AC253" s="114" t="b">
        <v>0</v>
      </c>
      <c r="AD253" s="114" t="b">
        <v>0</v>
      </c>
      <c r="AE253" s="114" t="b">
        <v>0</v>
      </c>
      <c r="AF253" s="114" t="b">
        <v>0</v>
      </c>
      <c r="AG253" s="114" t="b">
        <v>0</v>
      </c>
      <c r="AH253" s="114" t="b">
        <v>0</v>
      </c>
      <c r="AI253" s="114" t="b">
        <v>0</v>
      </c>
      <c r="AJ253" s="114" t="b">
        <v>0</v>
      </c>
      <c r="AK253" s="114" t="b">
        <v>0</v>
      </c>
      <c r="AL253" s="115" t="str">
        <f t="shared" si="1"/>
        <v>0 dari 31 (0%)</v>
      </c>
    </row>
    <row r="254" ht="22.5" customHeight="1">
      <c r="A254" s="10">
        <v>253.0</v>
      </c>
      <c r="B254" s="11"/>
      <c r="C254" s="140"/>
      <c r="D254" s="138"/>
      <c r="E254" s="138"/>
      <c r="F254" s="13"/>
      <c r="G254" s="114" t="b">
        <v>0</v>
      </c>
      <c r="H254" s="114" t="b">
        <v>0</v>
      </c>
      <c r="I254" s="114" t="b">
        <v>0</v>
      </c>
      <c r="J254" s="114" t="b">
        <v>0</v>
      </c>
      <c r="K254" s="114" t="b">
        <v>0</v>
      </c>
      <c r="L254" s="114" t="b">
        <v>0</v>
      </c>
      <c r="M254" s="114" t="b">
        <v>0</v>
      </c>
      <c r="N254" s="114" t="b">
        <v>0</v>
      </c>
      <c r="O254" s="114" t="b">
        <v>0</v>
      </c>
      <c r="P254" s="114" t="b">
        <v>0</v>
      </c>
      <c r="Q254" s="114" t="b">
        <v>0</v>
      </c>
      <c r="R254" s="114" t="b">
        <v>0</v>
      </c>
      <c r="S254" s="114" t="b">
        <v>0</v>
      </c>
      <c r="T254" s="114" t="b">
        <v>0</v>
      </c>
      <c r="U254" s="114" t="b">
        <v>0</v>
      </c>
      <c r="V254" s="114" t="b">
        <v>0</v>
      </c>
      <c r="W254" s="114" t="b">
        <v>0</v>
      </c>
      <c r="X254" s="114" t="b">
        <v>0</v>
      </c>
      <c r="Y254" s="114" t="b">
        <v>0</v>
      </c>
      <c r="Z254" s="114" t="b">
        <v>0</v>
      </c>
      <c r="AA254" s="114" t="b">
        <v>0</v>
      </c>
      <c r="AB254" s="114" t="b">
        <v>0</v>
      </c>
      <c r="AC254" s="114" t="b">
        <v>0</v>
      </c>
      <c r="AD254" s="114" t="b">
        <v>0</v>
      </c>
      <c r="AE254" s="114" t="b">
        <v>0</v>
      </c>
      <c r="AF254" s="114" t="b">
        <v>0</v>
      </c>
      <c r="AG254" s="114" t="b">
        <v>0</v>
      </c>
      <c r="AH254" s="114" t="b">
        <v>0</v>
      </c>
      <c r="AI254" s="114" t="b">
        <v>0</v>
      </c>
      <c r="AJ254" s="114" t="b">
        <v>0</v>
      </c>
      <c r="AK254" s="114" t="b">
        <v>0</v>
      </c>
      <c r="AL254" s="115" t="str">
        <f t="shared" si="1"/>
        <v>0 dari 31 (0%)</v>
      </c>
    </row>
    <row r="255" ht="22.5" customHeight="1">
      <c r="A255" s="10">
        <v>254.0</v>
      </c>
      <c r="B255" s="11"/>
      <c r="C255" s="140"/>
      <c r="D255" s="138"/>
      <c r="E255" s="138"/>
      <c r="F255" s="13"/>
      <c r="G255" s="114" t="b">
        <v>0</v>
      </c>
      <c r="H255" s="114" t="b">
        <v>0</v>
      </c>
      <c r="I255" s="114" t="b">
        <v>0</v>
      </c>
      <c r="J255" s="114" t="b">
        <v>0</v>
      </c>
      <c r="K255" s="114" t="b">
        <v>0</v>
      </c>
      <c r="L255" s="114" t="b">
        <v>0</v>
      </c>
      <c r="M255" s="114" t="b">
        <v>0</v>
      </c>
      <c r="N255" s="114" t="b">
        <v>0</v>
      </c>
      <c r="O255" s="114" t="b">
        <v>0</v>
      </c>
      <c r="P255" s="114" t="b">
        <v>0</v>
      </c>
      <c r="Q255" s="114" t="b">
        <v>0</v>
      </c>
      <c r="R255" s="114" t="b">
        <v>0</v>
      </c>
      <c r="S255" s="114" t="b">
        <v>0</v>
      </c>
      <c r="T255" s="114" t="b">
        <v>0</v>
      </c>
      <c r="U255" s="114" t="b">
        <v>0</v>
      </c>
      <c r="V255" s="114" t="b">
        <v>0</v>
      </c>
      <c r="W255" s="114" t="b">
        <v>0</v>
      </c>
      <c r="X255" s="114" t="b">
        <v>0</v>
      </c>
      <c r="Y255" s="114" t="b">
        <v>0</v>
      </c>
      <c r="Z255" s="114" t="b">
        <v>0</v>
      </c>
      <c r="AA255" s="114" t="b">
        <v>0</v>
      </c>
      <c r="AB255" s="114" t="b">
        <v>0</v>
      </c>
      <c r="AC255" s="114" t="b">
        <v>0</v>
      </c>
      <c r="AD255" s="114" t="b">
        <v>0</v>
      </c>
      <c r="AE255" s="114" t="b">
        <v>0</v>
      </c>
      <c r="AF255" s="114" t="b">
        <v>0</v>
      </c>
      <c r="AG255" s="114" t="b">
        <v>0</v>
      </c>
      <c r="AH255" s="114" t="b">
        <v>0</v>
      </c>
      <c r="AI255" s="114" t="b">
        <v>0</v>
      </c>
      <c r="AJ255" s="114" t="b">
        <v>0</v>
      </c>
      <c r="AK255" s="114" t="b">
        <v>0</v>
      </c>
      <c r="AL255" s="115" t="str">
        <f t="shared" si="1"/>
        <v>0 dari 31 (0%)</v>
      </c>
    </row>
    <row r="256" ht="22.5" customHeight="1">
      <c r="A256" s="2">
        <v>255.0</v>
      </c>
      <c r="B256" s="11"/>
      <c r="C256" s="140"/>
      <c r="D256" s="138"/>
      <c r="E256" s="138"/>
      <c r="F256" s="13"/>
      <c r="G256" s="114" t="b">
        <v>0</v>
      </c>
      <c r="H256" s="114" t="b">
        <v>0</v>
      </c>
      <c r="I256" s="114" t="b">
        <v>0</v>
      </c>
      <c r="J256" s="114" t="b">
        <v>0</v>
      </c>
      <c r="K256" s="114" t="b">
        <v>0</v>
      </c>
      <c r="L256" s="114" t="b">
        <v>0</v>
      </c>
      <c r="M256" s="114" t="b">
        <v>0</v>
      </c>
      <c r="N256" s="114" t="b">
        <v>0</v>
      </c>
      <c r="O256" s="114" t="b">
        <v>0</v>
      </c>
      <c r="P256" s="114" t="b">
        <v>0</v>
      </c>
      <c r="Q256" s="114" t="b">
        <v>0</v>
      </c>
      <c r="R256" s="114" t="b">
        <v>0</v>
      </c>
      <c r="S256" s="114" t="b">
        <v>0</v>
      </c>
      <c r="T256" s="114" t="b">
        <v>0</v>
      </c>
      <c r="U256" s="114" t="b">
        <v>0</v>
      </c>
      <c r="V256" s="114" t="b">
        <v>0</v>
      </c>
      <c r="W256" s="114" t="b">
        <v>0</v>
      </c>
      <c r="X256" s="114" t="b">
        <v>0</v>
      </c>
      <c r="Y256" s="114" t="b">
        <v>0</v>
      </c>
      <c r="Z256" s="114" t="b">
        <v>0</v>
      </c>
      <c r="AA256" s="114" t="b">
        <v>0</v>
      </c>
      <c r="AB256" s="114" t="b">
        <v>0</v>
      </c>
      <c r="AC256" s="114" t="b">
        <v>0</v>
      </c>
      <c r="AD256" s="114" t="b">
        <v>0</v>
      </c>
      <c r="AE256" s="114" t="b">
        <v>0</v>
      </c>
      <c r="AF256" s="114" t="b">
        <v>0</v>
      </c>
      <c r="AG256" s="114" t="b">
        <v>0</v>
      </c>
      <c r="AH256" s="114" t="b">
        <v>0</v>
      </c>
      <c r="AI256" s="114" t="b">
        <v>0</v>
      </c>
      <c r="AJ256" s="114" t="b">
        <v>0</v>
      </c>
      <c r="AK256" s="114" t="b">
        <v>0</v>
      </c>
      <c r="AL256" s="115" t="str">
        <f t="shared" si="1"/>
        <v>0 dari 31 (0%)</v>
      </c>
    </row>
    <row r="257" ht="22.5" customHeight="1">
      <c r="A257" s="10">
        <v>256.0</v>
      </c>
      <c r="B257" s="11"/>
      <c r="C257" s="140"/>
      <c r="D257" s="138"/>
      <c r="E257" s="138"/>
      <c r="F257" s="13"/>
      <c r="G257" s="114" t="b">
        <v>0</v>
      </c>
      <c r="H257" s="114" t="b">
        <v>0</v>
      </c>
      <c r="I257" s="114" t="b">
        <v>0</v>
      </c>
      <c r="J257" s="114" t="b">
        <v>0</v>
      </c>
      <c r="K257" s="114" t="b">
        <v>0</v>
      </c>
      <c r="L257" s="114" t="b">
        <v>0</v>
      </c>
      <c r="M257" s="114" t="b">
        <v>0</v>
      </c>
      <c r="N257" s="114" t="b">
        <v>0</v>
      </c>
      <c r="O257" s="114" t="b">
        <v>0</v>
      </c>
      <c r="P257" s="114" t="b">
        <v>0</v>
      </c>
      <c r="Q257" s="114" t="b">
        <v>0</v>
      </c>
      <c r="R257" s="114" t="b">
        <v>0</v>
      </c>
      <c r="S257" s="114" t="b">
        <v>0</v>
      </c>
      <c r="T257" s="114" t="b">
        <v>0</v>
      </c>
      <c r="U257" s="114" t="b">
        <v>0</v>
      </c>
      <c r="V257" s="114" t="b">
        <v>0</v>
      </c>
      <c r="W257" s="114" t="b">
        <v>0</v>
      </c>
      <c r="X257" s="114" t="b">
        <v>0</v>
      </c>
      <c r="Y257" s="114" t="b">
        <v>0</v>
      </c>
      <c r="Z257" s="114" t="b">
        <v>0</v>
      </c>
      <c r="AA257" s="114" t="b">
        <v>0</v>
      </c>
      <c r="AB257" s="114" t="b">
        <v>0</v>
      </c>
      <c r="AC257" s="114" t="b">
        <v>0</v>
      </c>
      <c r="AD257" s="114" t="b">
        <v>0</v>
      </c>
      <c r="AE257" s="114" t="b">
        <v>0</v>
      </c>
      <c r="AF257" s="114" t="b">
        <v>0</v>
      </c>
      <c r="AG257" s="114" t="b">
        <v>0</v>
      </c>
      <c r="AH257" s="114" t="b">
        <v>0</v>
      </c>
      <c r="AI257" s="114" t="b">
        <v>0</v>
      </c>
      <c r="AJ257" s="114" t="b">
        <v>0</v>
      </c>
      <c r="AK257" s="114" t="b">
        <v>0</v>
      </c>
      <c r="AL257" s="115" t="str">
        <f t="shared" si="1"/>
        <v>0 dari 31 (0%)</v>
      </c>
    </row>
    <row r="258" ht="22.5" customHeight="1">
      <c r="A258" s="2">
        <v>257.0</v>
      </c>
      <c r="B258" s="11"/>
      <c r="C258" s="140"/>
      <c r="D258" s="138"/>
      <c r="E258" s="138"/>
      <c r="F258" s="13"/>
      <c r="G258" s="114" t="b">
        <v>0</v>
      </c>
      <c r="H258" s="114" t="b">
        <v>0</v>
      </c>
      <c r="I258" s="114" t="b">
        <v>0</v>
      </c>
      <c r="J258" s="114" t="b">
        <v>0</v>
      </c>
      <c r="K258" s="114" t="b">
        <v>0</v>
      </c>
      <c r="L258" s="114" t="b">
        <v>0</v>
      </c>
      <c r="M258" s="114" t="b">
        <v>0</v>
      </c>
      <c r="N258" s="114" t="b">
        <v>0</v>
      </c>
      <c r="O258" s="114" t="b">
        <v>0</v>
      </c>
      <c r="P258" s="114" t="b">
        <v>0</v>
      </c>
      <c r="Q258" s="114" t="b">
        <v>0</v>
      </c>
      <c r="R258" s="114" t="b">
        <v>0</v>
      </c>
      <c r="S258" s="114" t="b">
        <v>0</v>
      </c>
      <c r="T258" s="114" t="b">
        <v>0</v>
      </c>
      <c r="U258" s="114" t="b">
        <v>0</v>
      </c>
      <c r="V258" s="114" t="b">
        <v>0</v>
      </c>
      <c r="W258" s="114" t="b">
        <v>0</v>
      </c>
      <c r="X258" s="114" t="b">
        <v>0</v>
      </c>
      <c r="Y258" s="114" t="b">
        <v>0</v>
      </c>
      <c r="Z258" s="114" t="b">
        <v>0</v>
      </c>
      <c r="AA258" s="114" t="b">
        <v>0</v>
      </c>
      <c r="AB258" s="114" t="b">
        <v>0</v>
      </c>
      <c r="AC258" s="114" t="b">
        <v>0</v>
      </c>
      <c r="AD258" s="114" t="b">
        <v>0</v>
      </c>
      <c r="AE258" s="114" t="b">
        <v>0</v>
      </c>
      <c r="AF258" s="114" t="b">
        <v>0</v>
      </c>
      <c r="AG258" s="114" t="b">
        <v>0</v>
      </c>
      <c r="AH258" s="114" t="b">
        <v>0</v>
      </c>
      <c r="AI258" s="114" t="b">
        <v>0</v>
      </c>
      <c r="AJ258" s="114" t="b">
        <v>0</v>
      </c>
      <c r="AK258" s="114" t="b">
        <v>0</v>
      </c>
      <c r="AL258" s="115" t="str">
        <f t="shared" si="1"/>
        <v>0 dari 31 (0%)</v>
      </c>
    </row>
    <row r="259" ht="22.5" customHeight="1">
      <c r="A259" s="10">
        <v>258.0</v>
      </c>
      <c r="B259" s="11"/>
      <c r="C259" s="140"/>
      <c r="D259" s="138"/>
      <c r="E259" s="138"/>
      <c r="F259" s="13"/>
      <c r="G259" s="114" t="b">
        <v>0</v>
      </c>
      <c r="H259" s="114" t="b">
        <v>0</v>
      </c>
      <c r="I259" s="114" t="b">
        <v>0</v>
      </c>
      <c r="J259" s="114" t="b">
        <v>0</v>
      </c>
      <c r="K259" s="114" t="b">
        <v>0</v>
      </c>
      <c r="L259" s="114" t="b">
        <v>0</v>
      </c>
      <c r="M259" s="114" t="b">
        <v>0</v>
      </c>
      <c r="N259" s="114" t="b">
        <v>0</v>
      </c>
      <c r="O259" s="114" t="b">
        <v>0</v>
      </c>
      <c r="P259" s="114" t="b">
        <v>0</v>
      </c>
      <c r="Q259" s="114" t="b">
        <v>0</v>
      </c>
      <c r="R259" s="114" t="b">
        <v>0</v>
      </c>
      <c r="S259" s="114" t="b">
        <v>0</v>
      </c>
      <c r="T259" s="114" t="b">
        <v>0</v>
      </c>
      <c r="U259" s="114" t="b">
        <v>0</v>
      </c>
      <c r="V259" s="114" t="b">
        <v>0</v>
      </c>
      <c r="W259" s="114" t="b">
        <v>0</v>
      </c>
      <c r="X259" s="114" t="b">
        <v>0</v>
      </c>
      <c r="Y259" s="114" t="b">
        <v>0</v>
      </c>
      <c r="Z259" s="114" t="b">
        <v>0</v>
      </c>
      <c r="AA259" s="114" t="b">
        <v>0</v>
      </c>
      <c r="AB259" s="114" t="b">
        <v>0</v>
      </c>
      <c r="AC259" s="114" t="b">
        <v>0</v>
      </c>
      <c r="AD259" s="114" t="b">
        <v>0</v>
      </c>
      <c r="AE259" s="114" t="b">
        <v>0</v>
      </c>
      <c r="AF259" s="114" t="b">
        <v>0</v>
      </c>
      <c r="AG259" s="114" t="b">
        <v>0</v>
      </c>
      <c r="AH259" s="114" t="b">
        <v>0</v>
      </c>
      <c r="AI259" s="114" t="b">
        <v>0</v>
      </c>
      <c r="AJ259" s="114" t="b">
        <v>0</v>
      </c>
      <c r="AK259" s="114" t="b">
        <v>0</v>
      </c>
      <c r="AL259" s="115" t="str">
        <f t="shared" si="1"/>
        <v>0 dari 31 (0%)</v>
      </c>
    </row>
    <row r="260" ht="22.5" customHeight="1">
      <c r="A260" s="10">
        <v>259.0</v>
      </c>
      <c r="B260" s="11"/>
      <c r="C260" s="140"/>
      <c r="D260" s="138"/>
      <c r="E260" s="138"/>
      <c r="F260" s="13"/>
      <c r="G260" s="114" t="b">
        <v>0</v>
      </c>
      <c r="H260" s="114" t="b">
        <v>0</v>
      </c>
      <c r="I260" s="114" t="b">
        <v>0</v>
      </c>
      <c r="J260" s="114" t="b">
        <v>0</v>
      </c>
      <c r="K260" s="114" t="b">
        <v>0</v>
      </c>
      <c r="L260" s="114" t="b">
        <v>0</v>
      </c>
      <c r="M260" s="114" t="b">
        <v>0</v>
      </c>
      <c r="N260" s="114" t="b">
        <v>0</v>
      </c>
      <c r="O260" s="114" t="b">
        <v>0</v>
      </c>
      <c r="P260" s="114" t="b">
        <v>0</v>
      </c>
      <c r="Q260" s="114" t="b">
        <v>0</v>
      </c>
      <c r="R260" s="114" t="b">
        <v>0</v>
      </c>
      <c r="S260" s="114" t="b">
        <v>0</v>
      </c>
      <c r="T260" s="114" t="b">
        <v>0</v>
      </c>
      <c r="U260" s="114" t="b">
        <v>0</v>
      </c>
      <c r="V260" s="114" t="b">
        <v>0</v>
      </c>
      <c r="W260" s="114" t="b">
        <v>0</v>
      </c>
      <c r="X260" s="114" t="b">
        <v>0</v>
      </c>
      <c r="Y260" s="114" t="b">
        <v>0</v>
      </c>
      <c r="Z260" s="114" t="b">
        <v>0</v>
      </c>
      <c r="AA260" s="114" t="b">
        <v>0</v>
      </c>
      <c r="AB260" s="114" t="b">
        <v>0</v>
      </c>
      <c r="AC260" s="114" t="b">
        <v>0</v>
      </c>
      <c r="AD260" s="114" t="b">
        <v>0</v>
      </c>
      <c r="AE260" s="114" t="b">
        <v>0</v>
      </c>
      <c r="AF260" s="114" t="b">
        <v>0</v>
      </c>
      <c r="AG260" s="114" t="b">
        <v>0</v>
      </c>
      <c r="AH260" s="114" t="b">
        <v>0</v>
      </c>
      <c r="AI260" s="114" t="b">
        <v>0</v>
      </c>
      <c r="AJ260" s="114" t="b">
        <v>0</v>
      </c>
      <c r="AK260" s="114" t="b">
        <v>0</v>
      </c>
      <c r="AL260" s="115" t="str">
        <f t="shared" si="1"/>
        <v>0 dari 31 (0%)</v>
      </c>
    </row>
    <row r="261" ht="22.5" customHeight="1">
      <c r="A261" s="2">
        <v>260.0</v>
      </c>
      <c r="B261" s="11"/>
      <c r="C261" s="140"/>
      <c r="D261" s="138"/>
      <c r="E261" s="138"/>
      <c r="F261" s="13"/>
      <c r="G261" s="114" t="b">
        <v>0</v>
      </c>
      <c r="H261" s="114" t="b">
        <v>0</v>
      </c>
      <c r="I261" s="114" t="b">
        <v>0</v>
      </c>
      <c r="J261" s="114" t="b">
        <v>0</v>
      </c>
      <c r="K261" s="114" t="b">
        <v>0</v>
      </c>
      <c r="L261" s="114" t="b">
        <v>0</v>
      </c>
      <c r="M261" s="114" t="b">
        <v>0</v>
      </c>
      <c r="N261" s="114" t="b">
        <v>0</v>
      </c>
      <c r="O261" s="114" t="b">
        <v>0</v>
      </c>
      <c r="P261" s="114" t="b">
        <v>0</v>
      </c>
      <c r="Q261" s="114" t="b">
        <v>0</v>
      </c>
      <c r="R261" s="114" t="b">
        <v>0</v>
      </c>
      <c r="S261" s="114" t="b">
        <v>0</v>
      </c>
      <c r="T261" s="114" t="b">
        <v>0</v>
      </c>
      <c r="U261" s="114" t="b">
        <v>0</v>
      </c>
      <c r="V261" s="114" t="b">
        <v>0</v>
      </c>
      <c r="W261" s="114" t="b">
        <v>0</v>
      </c>
      <c r="X261" s="114" t="b">
        <v>0</v>
      </c>
      <c r="Y261" s="114" t="b">
        <v>0</v>
      </c>
      <c r="Z261" s="114" t="b">
        <v>0</v>
      </c>
      <c r="AA261" s="114" t="b">
        <v>0</v>
      </c>
      <c r="AB261" s="114" t="b">
        <v>0</v>
      </c>
      <c r="AC261" s="114" t="b">
        <v>0</v>
      </c>
      <c r="AD261" s="114" t="b">
        <v>0</v>
      </c>
      <c r="AE261" s="114" t="b">
        <v>0</v>
      </c>
      <c r="AF261" s="114" t="b">
        <v>0</v>
      </c>
      <c r="AG261" s="114" t="b">
        <v>0</v>
      </c>
      <c r="AH261" s="114" t="b">
        <v>0</v>
      </c>
      <c r="AI261" s="114" t="b">
        <v>0</v>
      </c>
      <c r="AJ261" s="114" t="b">
        <v>0</v>
      </c>
      <c r="AK261" s="114" t="b">
        <v>0</v>
      </c>
      <c r="AL261" s="115" t="str">
        <f t="shared" si="1"/>
        <v>0 dari 31 (0%)</v>
      </c>
    </row>
    <row r="262" ht="22.5" customHeight="1">
      <c r="A262" s="10">
        <v>261.0</v>
      </c>
      <c r="B262" s="11"/>
      <c r="C262" s="140"/>
      <c r="D262" s="138"/>
      <c r="E262" s="138"/>
      <c r="F262" s="13"/>
      <c r="G262" s="114" t="b">
        <v>0</v>
      </c>
      <c r="H262" s="114" t="b">
        <v>0</v>
      </c>
      <c r="I262" s="114" t="b">
        <v>0</v>
      </c>
      <c r="J262" s="114" t="b">
        <v>0</v>
      </c>
      <c r="K262" s="114" t="b">
        <v>0</v>
      </c>
      <c r="L262" s="114" t="b">
        <v>0</v>
      </c>
      <c r="M262" s="114" t="b">
        <v>0</v>
      </c>
      <c r="N262" s="114" t="b">
        <v>0</v>
      </c>
      <c r="O262" s="114" t="b">
        <v>0</v>
      </c>
      <c r="P262" s="114" t="b">
        <v>0</v>
      </c>
      <c r="Q262" s="114" t="b">
        <v>0</v>
      </c>
      <c r="R262" s="114" t="b">
        <v>0</v>
      </c>
      <c r="S262" s="114" t="b">
        <v>0</v>
      </c>
      <c r="T262" s="114" t="b">
        <v>0</v>
      </c>
      <c r="U262" s="114" t="b">
        <v>0</v>
      </c>
      <c r="V262" s="114" t="b">
        <v>0</v>
      </c>
      <c r="W262" s="114" t="b">
        <v>0</v>
      </c>
      <c r="X262" s="114" t="b">
        <v>0</v>
      </c>
      <c r="Y262" s="114" t="b">
        <v>0</v>
      </c>
      <c r="Z262" s="114" t="b">
        <v>0</v>
      </c>
      <c r="AA262" s="114" t="b">
        <v>0</v>
      </c>
      <c r="AB262" s="114" t="b">
        <v>0</v>
      </c>
      <c r="AC262" s="114" t="b">
        <v>0</v>
      </c>
      <c r="AD262" s="114" t="b">
        <v>0</v>
      </c>
      <c r="AE262" s="114" t="b">
        <v>0</v>
      </c>
      <c r="AF262" s="114" t="b">
        <v>0</v>
      </c>
      <c r="AG262" s="114" t="b">
        <v>0</v>
      </c>
      <c r="AH262" s="114" t="b">
        <v>0</v>
      </c>
      <c r="AI262" s="114" t="b">
        <v>0</v>
      </c>
      <c r="AJ262" s="114" t="b">
        <v>0</v>
      </c>
      <c r="AK262" s="114" t="b">
        <v>0</v>
      </c>
      <c r="AL262" s="115" t="str">
        <f t="shared" si="1"/>
        <v>0 dari 31 (0%)</v>
      </c>
    </row>
    <row r="263" ht="22.5" customHeight="1">
      <c r="A263" s="2">
        <v>262.0</v>
      </c>
      <c r="B263" s="11"/>
      <c r="C263" s="140"/>
      <c r="D263" s="138"/>
      <c r="E263" s="138"/>
      <c r="F263" s="13"/>
      <c r="G263" s="114" t="b">
        <v>0</v>
      </c>
      <c r="H263" s="114" t="b">
        <v>0</v>
      </c>
      <c r="I263" s="114" t="b">
        <v>0</v>
      </c>
      <c r="J263" s="114" t="b">
        <v>0</v>
      </c>
      <c r="K263" s="114" t="b">
        <v>0</v>
      </c>
      <c r="L263" s="114" t="b">
        <v>0</v>
      </c>
      <c r="M263" s="114" t="b">
        <v>0</v>
      </c>
      <c r="N263" s="114" t="b">
        <v>0</v>
      </c>
      <c r="O263" s="114" t="b">
        <v>0</v>
      </c>
      <c r="P263" s="114" t="b">
        <v>0</v>
      </c>
      <c r="Q263" s="114" t="b">
        <v>0</v>
      </c>
      <c r="R263" s="114" t="b">
        <v>0</v>
      </c>
      <c r="S263" s="114" t="b">
        <v>0</v>
      </c>
      <c r="T263" s="114" t="b">
        <v>0</v>
      </c>
      <c r="U263" s="114" t="b">
        <v>0</v>
      </c>
      <c r="V263" s="114" t="b">
        <v>0</v>
      </c>
      <c r="W263" s="114" t="b">
        <v>0</v>
      </c>
      <c r="X263" s="114" t="b">
        <v>0</v>
      </c>
      <c r="Y263" s="114" t="b">
        <v>0</v>
      </c>
      <c r="Z263" s="114" t="b">
        <v>0</v>
      </c>
      <c r="AA263" s="114" t="b">
        <v>0</v>
      </c>
      <c r="AB263" s="114" t="b">
        <v>0</v>
      </c>
      <c r="AC263" s="114" t="b">
        <v>0</v>
      </c>
      <c r="AD263" s="114" t="b">
        <v>0</v>
      </c>
      <c r="AE263" s="114" t="b">
        <v>0</v>
      </c>
      <c r="AF263" s="114" t="b">
        <v>0</v>
      </c>
      <c r="AG263" s="114" t="b">
        <v>0</v>
      </c>
      <c r="AH263" s="114" t="b">
        <v>0</v>
      </c>
      <c r="AI263" s="114" t="b">
        <v>0</v>
      </c>
      <c r="AJ263" s="114" t="b">
        <v>0</v>
      </c>
      <c r="AK263" s="114" t="b">
        <v>0</v>
      </c>
      <c r="AL263" s="115" t="str">
        <f t="shared" si="1"/>
        <v>0 dari 31 (0%)</v>
      </c>
    </row>
    <row r="264" ht="22.5" customHeight="1">
      <c r="A264" s="10">
        <v>263.0</v>
      </c>
      <c r="B264" s="11"/>
      <c r="C264" s="140"/>
      <c r="D264" s="138"/>
      <c r="E264" s="138"/>
      <c r="F264" s="13"/>
      <c r="G264" s="114" t="b">
        <v>0</v>
      </c>
      <c r="H264" s="114" t="b">
        <v>0</v>
      </c>
      <c r="I264" s="114" t="b">
        <v>0</v>
      </c>
      <c r="J264" s="114" t="b">
        <v>0</v>
      </c>
      <c r="K264" s="114" t="b">
        <v>0</v>
      </c>
      <c r="L264" s="114" t="b">
        <v>0</v>
      </c>
      <c r="M264" s="114" t="b">
        <v>0</v>
      </c>
      <c r="N264" s="114" t="b">
        <v>0</v>
      </c>
      <c r="O264" s="114" t="b">
        <v>0</v>
      </c>
      <c r="P264" s="114" t="b">
        <v>0</v>
      </c>
      <c r="Q264" s="114" t="b">
        <v>0</v>
      </c>
      <c r="R264" s="114" t="b">
        <v>0</v>
      </c>
      <c r="S264" s="114" t="b">
        <v>0</v>
      </c>
      <c r="T264" s="114" t="b">
        <v>0</v>
      </c>
      <c r="U264" s="114" t="b">
        <v>0</v>
      </c>
      <c r="V264" s="114" t="b">
        <v>0</v>
      </c>
      <c r="W264" s="114" t="b">
        <v>0</v>
      </c>
      <c r="X264" s="114" t="b">
        <v>0</v>
      </c>
      <c r="Y264" s="114" t="b">
        <v>0</v>
      </c>
      <c r="Z264" s="114" t="b">
        <v>0</v>
      </c>
      <c r="AA264" s="114" t="b">
        <v>0</v>
      </c>
      <c r="AB264" s="114" t="b">
        <v>0</v>
      </c>
      <c r="AC264" s="114" t="b">
        <v>0</v>
      </c>
      <c r="AD264" s="114" t="b">
        <v>0</v>
      </c>
      <c r="AE264" s="114" t="b">
        <v>0</v>
      </c>
      <c r="AF264" s="114" t="b">
        <v>0</v>
      </c>
      <c r="AG264" s="114" t="b">
        <v>0</v>
      </c>
      <c r="AH264" s="114" t="b">
        <v>0</v>
      </c>
      <c r="AI264" s="114" t="b">
        <v>0</v>
      </c>
      <c r="AJ264" s="114" t="b">
        <v>0</v>
      </c>
      <c r="AK264" s="114" t="b">
        <v>0</v>
      </c>
      <c r="AL264" s="115" t="str">
        <f t="shared" si="1"/>
        <v>0 dari 31 (0%)</v>
      </c>
    </row>
    <row r="265" ht="22.5" customHeight="1">
      <c r="A265" s="10">
        <v>264.0</v>
      </c>
      <c r="B265" s="11"/>
      <c r="C265" s="140"/>
      <c r="D265" s="138"/>
      <c r="E265" s="138"/>
      <c r="F265" s="13"/>
      <c r="G265" s="114" t="b">
        <v>0</v>
      </c>
      <c r="H265" s="114" t="b">
        <v>0</v>
      </c>
      <c r="I265" s="114" t="b">
        <v>0</v>
      </c>
      <c r="J265" s="114" t="b">
        <v>0</v>
      </c>
      <c r="K265" s="114" t="b">
        <v>0</v>
      </c>
      <c r="L265" s="114" t="b">
        <v>0</v>
      </c>
      <c r="M265" s="114" t="b">
        <v>0</v>
      </c>
      <c r="N265" s="114" t="b">
        <v>0</v>
      </c>
      <c r="O265" s="114" t="b">
        <v>0</v>
      </c>
      <c r="P265" s="114" t="b">
        <v>0</v>
      </c>
      <c r="Q265" s="114" t="b">
        <v>0</v>
      </c>
      <c r="R265" s="114" t="b">
        <v>0</v>
      </c>
      <c r="S265" s="114" t="b">
        <v>0</v>
      </c>
      <c r="T265" s="114" t="b">
        <v>0</v>
      </c>
      <c r="U265" s="114" t="b">
        <v>0</v>
      </c>
      <c r="V265" s="114" t="b">
        <v>0</v>
      </c>
      <c r="W265" s="114" t="b">
        <v>0</v>
      </c>
      <c r="X265" s="114" t="b">
        <v>0</v>
      </c>
      <c r="Y265" s="114" t="b">
        <v>0</v>
      </c>
      <c r="Z265" s="114" t="b">
        <v>0</v>
      </c>
      <c r="AA265" s="114" t="b">
        <v>0</v>
      </c>
      <c r="AB265" s="114" t="b">
        <v>0</v>
      </c>
      <c r="AC265" s="114" t="b">
        <v>0</v>
      </c>
      <c r="AD265" s="114" t="b">
        <v>0</v>
      </c>
      <c r="AE265" s="114" t="b">
        <v>0</v>
      </c>
      <c r="AF265" s="114" t="b">
        <v>0</v>
      </c>
      <c r="AG265" s="114" t="b">
        <v>0</v>
      </c>
      <c r="AH265" s="114" t="b">
        <v>0</v>
      </c>
      <c r="AI265" s="114" t="b">
        <v>0</v>
      </c>
      <c r="AJ265" s="114" t="b">
        <v>0</v>
      </c>
      <c r="AK265" s="114" t="b">
        <v>0</v>
      </c>
      <c r="AL265" s="115" t="str">
        <f t="shared" si="1"/>
        <v>0 dari 31 (0%)</v>
      </c>
    </row>
    <row r="266" ht="22.5" customHeight="1">
      <c r="A266" s="2">
        <v>265.0</v>
      </c>
      <c r="B266" s="11"/>
      <c r="C266" s="140"/>
      <c r="D266" s="138"/>
      <c r="E266" s="138"/>
      <c r="F266" s="13"/>
      <c r="G266" s="114" t="b">
        <v>0</v>
      </c>
      <c r="H266" s="114" t="b">
        <v>0</v>
      </c>
      <c r="I266" s="114" t="b">
        <v>0</v>
      </c>
      <c r="J266" s="114" t="b">
        <v>0</v>
      </c>
      <c r="K266" s="114" t="b">
        <v>0</v>
      </c>
      <c r="L266" s="114" t="b">
        <v>0</v>
      </c>
      <c r="M266" s="114" t="b">
        <v>0</v>
      </c>
      <c r="N266" s="114" t="b">
        <v>0</v>
      </c>
      <c r="O266" s="114" t="b">
        <v>0</v>
      </c>
      <c r="P266" s="114" t="b">
        <v>0</v>
      </c>
      <c r="Q266" s="114" t="b">
        <v>0</v>
      </c>
      <c r="R266" s="114" t="b">
        <v>0</v>
      </c>
      <c r="S266" s="114" t="b">
        <v>0</v>
      </c>
      <c r="T266" s="114" t="b">
        <v>0</v>
      </c>
      <c r="U266" s="114" t="b">
        <v>0</v>
      </c>
      <c r="V266" s="114" t="b">
        <v>0</v>
      </c>
      <c r="W266" s="114" t="b">
        <v>0</v>
      </c>
      <c r="X266" s="114" t="b">
        <v>0</v>
      </c>
      <c r="Y266" s="114" t="b">
        <v>0</v>
      </c>
      <c r="Z266" s="114" t="b">
        <v>0</v>
      </c>
      <c r="AA266" s="114" t="b">
        <v>0</v>
      </c>
      <c r="AB266" s="114" t="b">
        <v>0</v>
      </c>
      <c r="AC266" s="114" t="b">
        <v>0</v>
      </c>
      <c r="AD266" s="114" t="b">
        <v>0</v>
      </c>
      <c r="AE266" s="114" t="b">
        <v>0</v>
      </c>
      <c r="AF266" s="114" t="b">
        <v>0</v>
      </c>
      <c r="AG266" s="114" t="b">
        <v>0</v>
      </c>
      <c r="AH266" s="114" t="b">
        <v>0</v>
      </c>
      <c r="AI266" s="114" t="b">
        <v>0</v>
      </c>
      <c r="AJ266" s="114" t="b">
        <v>0</v>
      </c>
      <c r="AK266" s="114" t="b">
        <v>0</v>
      </c>
      <c r="AL266" s="115" t="str">
        <f t="shared" si="1"/>
        <v>0 dari 31 (0%)</v>
      </c>
    </row>
    <row r="267" ht="22.5" customHeight="1">
      <c r="A267" s="10">
        <v>266.0</v>
      </c>
      <c r="B267" s="11"/>
      <c r="C267" s="140"/>
      <c r="D267" s="138"/>
      <c r="E267" s="138"/>
      <c r="F267" s="13"/>
      <c r="G267" s="114" t="b">
        <v>0</v>
      </c>
      <c r="H267" s="114" t="b">
        <v>0</v>
      </c>
      <c r="I267" s="114" t="b">
        <v>0</v>
      </c>
      <c r="J267" s="114" t="b">
        <v>0</v>
      </c>
      <c r="K267" s="114" t="b">
        <v>0</v>
      </c>
      <c r="L267" s="114" t="b">
        <v>0</v>
      </c>
      <c r="M267" s="114" t="b">
        <v>0</v>
      </c>
      <c r="N267" s="114" t="b">
        <v>0</v>
      </c>
      <c r="O267" s="114" t="b">
        <v>0</v>
      </c>
      <c r="P267" s="114" t="b">
        <v>0</v>
      </c>
      <c r="Q267" s="114" t="b">
        <v>0</v>
      </c>
      <c r="R267" s="114" t="b">
        <v>0</v>
      </c>
      <c r="S267" s="114" t="b">
        <v>0</v>
      </c>
      <c r="T267" s="114" t="b">
        <v>0</v>
      </c>
      <c r="U267" s="114" t="b">
        <v>0</v>
      </c>
      <c r="V267" s="114" t="b">
        <v>0</v>
      </c>
      <c r="W267" s="114" t="b">
        <v>0</v>
      </c>
      <c r="X267" s="114" t="b">
        <v>0</v>
      </c>
      <c r="Y267" s="114" t="b">
        <v>0</v>
      </c>
      <c r="Z267" s="114" t="b">
        <v>0</v>
      </c>
      <c r="AA267" s="114" t="b">
        <v>0</v>
      </c>
      <c r="AB267" s="114" t="b">
        <v>0</v>
      </c>
      <c r="AC267" s="114" t="b">
        <v>0</v>
      </c>
      <c r="AD267" s="114" t="b">
        <v>0</v>
      </c>
      <c r="AE267" s="114" t="b">
        <v>0</v>
      </c>
      <c r="AF267" s="114" t="b">
        <v>0</v>
      </c>
      <c r="AG267" s="114" t="b">
        <v>0</v>
      </c>
      <c r="AH267" s="114" t="b">
        <v>0</v>
      </c>
      <c r="AI267" s="114" t="b">
        <v>0</v>
      </c>
      <c r="AJ267" s="114" t="b">
        <v>0</v>
      </c>
      <c r="AK267" s="114" t="b">
        <v>0</v>
      </c>
      <c r="AL267" s="115" t="str">
        <f t="shared" si="1"/>
        <v>0 dari 31 (0%)</v>
      </c>
    </row>
    <row r="268" ht="22.5" customHeight="1">
      <c r="A268" s="2">
        <v>267.0</v>
      </c>
      <c r="B268" s="11"/>
      <c r="C268" s="140"/>
      <c r="D268" s="138"/>
      <c r="E268" s="138"/>
      <c r="F268" s="13"/>
      <c r="G268" s="114" t="b">
        <v>0</v>
      </c>
      <c r="H268" s="114" t="b">
        <v>0</v>
      </c>
      <c r="I268" s="114" t="b">
        <v>0</v>
      </c>
      <c r="J268" s="114" t="b">
        <v>0</v>
      </c>
      <c r="K268" s="114" t="b">
        <v>0</v>
      </c>
      <c r="L268" s="114" t="b">
        <v>0</v>
      </c>
      <c r="M268" s="114" t="b">
        <v>0</v>
      </c>
      <c r="N268" s="114" t="b">
        <v>0</v>
      </c>
      <c r="O268" s="114" t="b">
        <v>0</v>
      </c>
      <c r="P268" s="114" t="b">
        <v>0</v>
      </c>
      <c r="Q268" s="114" t="b">
        <v>0</v>
      </c>
      <c r="R268" s="114" t="b">
        <v>0</v>
      </c>
      <c r="S268" s="114" t="b">
        <v>0</v>
      </c>
      <c r="T268" s="114" t="b">
        <v>0</v>
      </c>
      <c r="U268" s="114" t="b">
        <v>0</v>
      </c>
      <c r="V268" s="114" t="b">
        <v>0</v>
      </c>
      <c r="W268" s="114" t="b">
        <v>0</v>
      </c>
      <c r="X268" s="114" t="b">
        <v>0</v>
      </c>
      <c r="Y268" s="114" t="b">
        <v>0</v>
      </c>
      <c r="Z268" s="114" t="b">
        <v>0</v>
      </c>
      <c r="AA268" s="114" t="b">
        <v>0</v>
      </c>
      <c r="AB268" s="114" t="b">
        <v>0</v>
      </c>
      <c r="AC268" s="114" t="b">
        <v>0</v>
      </c>
      <c r="AD268" s="114" t="b">
        <v>0</v>
      </c>
      <c r="AE268" s="114" t="b">
        <v>0</v>
      </c>
      <c r="AF268" s="114" t="b">
        <v>0</v>
      </c>
      <c r="AG268" s="114" t="b">
        <v>0</v>
      </c>
      <c r="AH268" s="114" t="b">
        <v>0</v>
      </c>
      <c r="AI268" s="114" t="b">
        <v>0</v>
      </c>
      <c r="AJ268" s="114" t="b">
        <v>0</v>
      </c>
      <c r="AK268" s="114" t="b">
        <v>0</v>
      </c>
      <c r="AL268" s="115" t="str">
        <f t="shared" si="1"/>
        <v>0 dari 31 (0%)</v>
      </c>
    </row>
    <row r="269" ht="22.5" customHeight="1">
      <c r="A269" s="10">
        <v>268.0</v>
      </c>
      <c r="B269" s="11"/>
      <c r="C269" s="140"/>
      <c r="D269" s="138"/>
      <c r="E269" s="138"/>
      <c r="F269" s="13"/>
      <c r="G269" s="114" t="b">
        <v>0</v>
      </c>
      <c r="H269" s="114" t="b">
        <v>0</v>
      </c>
      <c r="I269" s="114" t="b">
        <v>0</v>
      </c>
      <c r="J269" s="114" t="b">
        <v>0</v>
      </c>
      <c r="K269" s="114" t="b">
        <v>0</v>
      </c>
      <c r="L269" s="114" t="b">
        <v>0</v>
      </c>
      <c r="M269" s="114" t="b">
        <v>0</v>
      </c>
      <c r="N269" s="114" t="b">
        <v>0</v>
      </c>
      <c r="O269" s="114" t="b">
        <v>0</v>
      </c>
      <c r="P269" s="114" t="b">
        <v>0</v>
      </c>
      <c r="Q269" s="114" t="b">
        <v>0</v>
      </c>
      <c r="R269" s="114" t="b">
        <v>0</v>
      </c>
      <c r="S269" s="114" t="b">
        <v>0</v>
      </c>
      <c r="T269" s="114" t="b">
        <v>0</v>
      </c>
      <c r="U269" s="114" t="b">
        <v>0</v>
      </c>
      <c r="V269" s="114" t="b">
        <v>0</v>
      </c>
      <c r="W269" s="114" t="b">
        <v>0</v>
      </c>
      <c r="X269" s="114" t="b">
        <v>0</v>
      </c>
      <c r="Y269" s="114" t="b">
        <v>0</v>
      </c>
      <c r="Z269" s="114" t="b">
        <v>0</v>
      </c>
      <c r="AA269" s="114" t="b">
        <v>0</v>
      </c>
      <c r="AB269" s="114" t="b">
        <v>0</v>
      </c>
      <c r="AC269" s="114" t="b">
        <v>0</v>
      </c>
      <c r="AD269" s="114" t="b">
        <v>0</v>
      </c>
      <c r="AE269" s="114" t="b">
        <v>0</v>
      </c>
      <c r="AF269" s="114" t="b">
        <v>0</v>
      </c>
      <c r="AG269" s="114" t="b">
        <v>0</v>
      </c>
      <c r="AH269" s="114" t="b">
        <v>0</v>
      </c>
      <c r="AI269" s="114" t="b">
        <v>0</v>
      </c>
      <c r="AJ269" s="114" t="b">
        <v>0</v>
      </c>
      <c r="AK269" s="114" t="b">
        <v>0</v>
      </c>
      <c r="AL269" s="115" t="str">
        <f t="shared" si="1"/>
        <v>0 dari 31 (0%)</v>
      </c>
    </row>
    <row r="270" ht="22.5" customHeight="1">
      <c r="A270" s="10">
        <v>269.0</v>
      </c>
      <c r="B270" s="11"/>
      <c r="C270" s="140"/>
      <c r="D270" s="138"/>
      <c r="E270" s="138"/>
      <c r="F270" s="13"/>
      <c r="G270" s="114" t="b">
        <v>0</v>
      </c>
      <c r="H270" s="114" t="b">
        <v>0</v>
      </c>
      <c r="I270" s="114" t="b">
        <v>0</v>
      </c>
      <c r="J270" s="114" t="b">
        <v>0</v>
      </c>
      <c r="K270" s="114" t="b">
        <v>0</v>
      </c>
      <c r="L270" s="114" t="b">
        <v>0</v>
      </c>
      <c r="M270" s="114" t="b">
        <v>0</v>
      </c>
      <c r="N270" s="114" t="b">
        <v>0</v>
      </c>
      <c r="O270" s="114" t="b">
        <v>0</v>
      </c>
      <c r="P270" s="114" t="b">
        <v>0</v>
      </c>
      <c r="Q270" s="114" t="b">
        <v>0</v>
      </c>
      <c r="R270" s="114" t="b">
        <v>0</v>
      </c>
      <c r="S270" s="114" t="b">
        <v>0</v>
      </c>
      <c r="T270" s="114" t="b">
        <v>0</v>
      </c>
      <c r="U270" s="114" t="b">
        <v>0</v>
      </c>
      <c r="V270" s="114" t="b">
        <v>0</v>
      </c>
      <c r="W270" s="114" t="b">
        <v>0</v>
      </c>
      <c r="X270" s="114" t="b">
        <v>0</v>
      </c>
      <c r="Y270" s="114" t="b">
        <v>0</v>
      </c>
      <c r="Z270" s="114" t="b">
        <v>0</v>
      </c>
      <c r="AA270" s="114" t="b">
        <v>0</v>
      </c>
      <c r="AB270" s="114" t="b">
        <v>0</v>
      </c>
      <c r="AC270" s="114" t="b">
        <v>0</v>
      </c>
      <c r="AD270" s="114" t="b">
        <v>0</v>
      </c>
      <c r="AE270" s="114" t="b">
        <v>0</v>
      </c>
      <c r="AF270" s="114" t="b">
        <v>0</v>
      </c>
      <c r="AG270" s="114" t="b">
        <v>0</v>
      </c>
      <c r="AH270" s="114" t="b">
        <v>0</v>
      </c>
      <c r="AI270" s="114" t="b">
        <v>0</v>
      </c>
      <c r="AJ270" s="114" t="b">
        <v>0</v>
      </c>
      <c r="AK270" s="114" t="b">
        <v>0</v>
      </c>
      <c r="AL270" s="115" t="str">
        <f t="shared" si="1"/>
        <v>0 dari 31 (0%)</v>
      </c>
    </row>
    <row r="271" ht="22.5" customHeight="1">
      <c r="A271" s="2">
        <v>270.0</v>
      </c>
      <c r="B271" s="11"/>
      <c r="C271" s="140"/>
      <c r="D271" s="138"/>
      <c r="E271" s="138"/>
      <c r="F271" s="13"/>
      <c r="G271" s="114" t="b">
        <v>0</v>
      </c>
      <c r="H271" s="114" t="b">
        <v>0</v>
      </c>
      <c r="I271" s="114" t="b">
        <v>0</v>
      </c>
      <c r="J271" s="114" t="b">
        <v>0</v>
      </c>
      <c r="K271" s="114" t="b">
        <v>0</v>
      </c>
      <c r="L271" s="114" t="b">
        <v>0</v>
      </c>
      <c r="M271" s="114" t="b">
        <v>0</v>
      </c>
      <c r="N271" s="114" t="b">
        <v>0</v>
      </c>
      <c r="O271" s="114" t="b">
        <v>0</v>
      </c>
      <c r="P271" s="114" t="b">
        <v>0</v>
      </c>
      <c r="Q271" s="114" t="b">
        <v>0</v>
      </c>
      <c r="R271" s="114" t="b">
        <v>0</v>
      </c>
      <c r="S271" s="114" t="b">
        <v>0</v>
      </c>
      <c r="T271" s="114" t="b">
        <v>0</v>
      </c>
      <c r="U271" s="114" t="b">
        <v>0</v>
      </c>
      <c r="V271" s="114" t="b">
        <v>0</v>
      </c>
      <c r="W271" s="114" t="b">
        <v>0</v>
      </c>
      <c r="X271" s="114" t="b">
        <v>0</v>
      </c>
      <c r="Y271" s="114" t="b">
        <v>0</v>
      </c>
      <c r="Z271" s="114" t="b">
        <v>0</v>
      </c>
      <c r="AA271" s="114" t="b">
        <v>0</v>
      </c>
      <c r="AB271" s="114" t="b">
        <v>0</v>
      </c>
      <c r="AC271" s="114" t="b">
        <v>0</v>
      </c>
      <c r="AD271" s="114" t="b">
        <v>0</v>
      </c>
      <c r="AE271" s="114" t="b">
        <v>0</v>
      </c>
      <c r="AF271" s="114" t="b">
        <v>0</v>
      </c>
      <c r="AG271" s="114" t="b">
        <v>0</v>
      </c>
      <c r="AH271" s="114" t="b">
        <v>0</v>
      </c>
      <c r="AI271" s="114" t="b">
        <v>0</v>
      </c>
      <c r="AJ271" s="114" t="b">
        <v>0</v>
      </c>
      <c r="AK271" s="114" t="b">
        <v>0</v>
      </c>
      <c r="AL271" s="115" t="str">
        <f t="shared" si="1"/>
        <v>0 dari 31 (0%)</v>
      </c>
    </row>
    <row r="273">
      <c r="B273" s="71" t="s">
        <v>38</v>
      </c>
      <c r="C273" s="72"/>
      <c r="D273" s="72"/>
      <c r="E273" s="72"/>
      <c r="F273" s="73"/>
      <c r="G273" s="74">
        <f>COUNTIF(JULI_14[ID Encounter], TRUE)</f>
        <v>141</v>
      </c>
      <c r="H273" s="74">
        <f>COUNTIF(JULI_14[ID Condition], TRUE)</f>
        <v>100</v>
      </c>
      <c r="I273" s="74">
        <f>COUNTIF(JULI_14[ID Clinical Impression], TRUE)</f>
        <v>49</v>
      </c>
      <c r="J273" s="74">
        <f>COUNTIF(JULI_14[ID Observation Tensi], TRUE)</f>
        <v>112</v>
      </c>
      <c r="K273" s="74">
        <f>COUNTIF(JULI_14[ID Observation Nadi], TRUE)</f>
        <v>115</v>
      </c>
      <c r="L273" s="74">
        <f>COUNTIF(JULI_14[ID Observation RR], TRUE)</f>
        <v>115</v>
      </c>
      <c r="M273" s="74">
        <f>COUNTIF(JULI_14[ID Observation Suhu], TRUE)</f>
        <v>115</v>
      </c>
      <c r="N273" s="74">
        <f>COUNTIF(JULI_14[ID Observation SPO2], TRUE)</f>
        <v>115</v>
      </c>
      <c r="O273" s="74">
        <f>COUNTIF(JULI_14[ID Observation GCS], TRUE)</f>
        <v>115</v>
      </c>
      <c r="P273" s="74">
        <f>COUNTIF(JULI_14[ID Observation Tinggi], TRUE)</f>
        <v>114</v>
      </c>
      <c r="Q273" s="74">
        <f>COUNTIF(JULI_14[ID Observation Berat], TRUE)</f>
        <v>112</v>
      </c>
      <c r="R273" s="74">
        <f>COUNTIF(JULI_14[ID Observation Perut], TRUE)</f>
        <v>114</v>
      </c>
      <c r="S273" s="74">
        <f>COUNTIF(JULI_14[ID Observation Kesadaran], TRUE)</f>
        <v>109</v>
      </c>
      <c r="T273" s="74">
        <f>COUNTIF(JULI_14[ID Procedure], TRUE)</f>
        <v>71</v>
      </c>
      <c r="U273" s="74">
        <f>COUNTIF(JULI_14[ID Composition], TRUE)</f>
        <v>0</v>
      </c>
      <c r="V273" s="74">
        <f>COUNTIF(JULI_14[ID Vaksin/Imunisasi], TRUE)</f>
        <v>0</v>
      </c>
      <c r="W273" s="74">
        <f>COUNTIF(JULI_14[ID Medication Request], TRUE)</f>
        <v>5</v>
      </c>
      <c r="X273" s="74">
        <f>COUNTIF(JULI_14[ID Medication Dispense], TRUE)</f>
        <v>5</v>
      </c>
      <c r="Y273" s="74">
        <f>COUNTIF(JULI_14[ID Medication Statement], TRUE)</f>
        <v>5</v>
      </c>
      <c r="Z273" s="74">
        <f>COUNTIF(JULI_14[ID Service Request Radiologi], TRUE)</f>
        <v>14</v>
      </c>
      <c r="AA273" s="74">
        <f>COUNTIF(JULI_14[ID Specimen Radiologi], TRUE)</f>
        <v>14</v>
      </c>
      <c r="AB273" s="74">
        <f>COUNTIF(JULI_14[ID Observation Radiologi], TRUE)</f>
        <v>5</v>
      </c>
      <c r="AC273" s="74">
        <f>COUNTIF(JULI_14[ID Diagnostic Report Radiologi], TRUE)</f>
        <v>5</v>
      </c>
      <c r="AD273" s="74">
        <f>COUNTIF(JULI_14[Image Study], TRUE)</f>
        <v>14</v>
      </c>
      <c r="AE273" s="74">
        <f>COUNTIF(JULI_14[ID Service Request Lab PK], TRUE)</f>
        <v>0</v>
      </c>
      <c r="AF273" s="74">
        <f>COUNTIF(JULI_14[ID Specimen Lab PK], TRUE)</f>
        <v>0</v>
      </c>
      <c r="AG273" s="74">
        <f>COUNTIF(JULI_14[ID Observation Lab PK], TRUE)</f>
        <v>0</v>
      </c>
      <c r="AH273" s="74">
        <f>COUNTIF(JULI_14[ID Diagnostic Report Lab PK], TRUE)</f>
        <v>0</v>
      </c>
      <c r="AI273" s="74">
        <f>COUNTIF(JULI_14[ID Care Plan], TRUE)</f>
        <v>60</v>
      </c>
      <c r="AJ273" s="74">
        <f>COUNTIF(JULI_14[ID Allergy], TRUE)</f>
        <v>1</v>
      </c>
      <c r="AK273" s="74">
        <f>COUNTIF(JULI_14[ID Questionnaire], TRUE)</f>
        <v>0</v>
      </c>
      <c r="AL273" s="75" t="str">
        <f>COUNTIF(JULI_14[[ID Encounter]:[ID Questionnaire]], TRUE()) &amp; " dari " &amp; (ROWS(JULI_14[[ID Encounter]:[ID Questionnaire]])*COLUMNS(JULI_14[[ID Encounter]:[ID Questionnaire]])) &amp; " (" &amp; TEXT(COUNTIF(JULI_14[[ID Encounter]:[ID Questionnaire]], TRUE())/(ROWS(JULI_14[[ID Encounter]:[ID Questionnaire]])*COLUMNS(JULI_14[[ID Encounter]:[ID Questionnaire]])),"0%") &amp; ")"</f>
        <v>1625 dari 8370 (19%)</v>
      </c>
    </row>
    <row r="274">
      <c r="B274" s="76"/>
      <c r="C274" s="77"/>
      <c r="D274" s="77"/>
      <c r="E274" s="77"/>
      <c r="F274" s="78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</sheetData>
  <customSheetViews>
    <customSheetView guid="{DE7809D3-8839-4AE0-8D65-C2B54E6FF623}" filter="1" showAutoFilter="1">
      <autoFilter ref="$A$1:$AL$271"/>
    </customSheetView>
  </customSheetViews>
  <mergeCells count="33">
    <mergeCell ref="B273:F274"/>
    <mergeCell ref="G273:G274"/>
    <mergeCell ref="H273:H274"/>
    <mergeCell ref="I273:I274"/>
    <mergeCell ref="J273:J274"/>
    <mergeCell ref="K273:K274"/>
    <mergeCell ref="L273:L274"/>
    <mergeCell ref="M273:M274"/>
    <mergeCell ref="N273:N274"/>
    <mergeCell ref="O273:O274"/>
    <mergeCell ref="P273:P274"/>
    <mergeCell ref="Q273:Q274"/>
    <mergeCell ref="R273:R274"/>
    <mergeCell ref="S273:S274"/>
    <mergeCell ref="T273:T274"/>
    <mergeCell ref="U273:U274"/>
    <mergeCell ref="V273:V274"/>
    <mergeCell ref="W273:W274"/>
    <mergeCell ref="X273:X274"/>
    <mergeCell ref="Y273:Y274"/>
    <mergeCell ref="Z273:Z274"/>
    <mergeCell ref="AH273:AH274"/>
    <mergeCell ref="AI273:AI274"/>
    <mergeCell ref="AJ273:AJ274"/>
    <mergeCell ref="AK273:AK274"/>
    <mergeCell ref="AL273:AL274"/>
    <mergeCell ref="AA273:AA274"/>
    <mergeCell ref="AB273:AB274"/>
    <mergeCell ref="AC273:AC274"/>
    <mergeCell ref="AD273:AD274"/>
    <mergeCell ref="AE273:AE274"/>
    <mergeCell ref="AF273:AF274"/>
    <mergeCell ref="AG273:AG274"/>
  </mergeCell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128">
        <v>1.0</v>
      </c>
      <c r="B2" s="134">
        <v>46218.0</v>
      </c>
      <c r="C2" s="132">
        <v>61298.0</v>
      </c>
      <c r="D2" s="96" t="s">
        <v>93</v>
      </c>
      <c r="E2" s="96" t="s">
        <v>164</v>
      </c>
      <c r="F2" s="97"/>
      <c r="G2" s="130" t="b">
        <v>0</v>
      </c>
      <c r="H2" s="130" t="b">
        <v>0</v>
      </c>
      <c r="I2" s="130" t="b">
        <v>0</v>
      </c>
      <c r="J2" s="130" t="b">
        <v>0</v>
      </c>
      <c r="K2" s="130" t="b">
        <v>0</v>
      </c>
      <c r="L2" s="130" t="b">
        <v>0</v>
      </c>
      <c r="M2" s="130" t="b">
        <v>0</v>
      </c>
      <c r="N2" s="130" t="b">
        <v>0</v>
      </c>
      <c r="O2" s="130" t="b">
        <v>0</v>
      </c>
      <c r="P2" s="130" t="b">
        <v>0</v>
      </c>
      <c r="Q2" s="130" t="b">
        <v>0</v>
      </c>
      <c r="R2" s="130" t="b">
        <v>0</v>
      </c>
      <c r="S2" s="130" t="b">
        <v>0</v>
      </c>
      <c r="T2" s="130" t="b">
        <v>0</v>
      </c>
      <c r="U2" s="130" t="b">
        <v>0</v>
      </c>
      <c r="V2" s="130" t="b">
        <v>0</v>
      </c>
      <c r="W2" s="130" t="b">
        <v>0</v>
      </c>
      <c r="X2" s="130" t="b">
        <v>0</v>
      </c>
      <c r="Y2" s="130" t="b">
        <v>0</v>
      </c>
      <c r="Z2" s="130" t="b">
        <v>0</v>
      </c>
      <c r="AA2" s="130" t="b">
        <v>0</v>
      </c>
      <c r="AB2" s="130" t="b">
        <v>0</v>
      </c>
      <c r="AC2" s="130" t="b">
        <v>0</v>
      </c>
      <c r="AD2" s="130" t="b">
        <v>0</v>
      </c>
      <c r="AE2" s="130" t="b">
        <v>0</v>
      </c>
      <c r="AF2" s="130" t="b">
        <v>0</v>
      </c>
      <c r="AG2" s="130" t="b">
        <v>0</v>
      </c>
      <c r="AH2" s="130" t="b">
        <v>0</v>
      </c>
      <c r="AI2" s="130" t="b">
        <v>0</v>
      </c>
      <c r="AJ2" s="130" t="b">
        <v>0</v>
      </c>
      <c r="AK2" s="130" t="b">
        <v>0</v>
      </c>
      <c r="AL2" s="131" t="str">
        <f t="shared" ref="AL2:AL271" si="1">COUNTIF(G2:AK2, TRUE()) &amp; " dari " &amp; COLUMNS(G2:AK2) &amp; " (" &amp; TEXT(COUNTIF(G2:AK2, TRUE())/COLUMNS(G2:AK2),"0%") &amp; ")"</f>
        <v>0 dari 31 (0%)</v>
      </c>
    </row>
    <row r="3" ht="22.5" customHeight="1">
      <c r="A3" s="10">
        <v>2.0</v>
      </c>
      <c r="B3" s="11"/>
      <c r="C3" s="22">
        <v>61299.0</v>
      </c>
      <c r="D3" s="12" t="s">
        <v>93</v>
      </c>
      <c r="E3" s="12" t="s">
        <v>94</v>
      </c>
      <c r="F3" s="13"/>
      <c r="G3" s="16" t="b">
        <v>1</v>
      </c>
      <c r="H3" s="16" t="b">
        <v>1</v>
      </c>
      <c r="I3" s="16" t="b">
        <v>0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14 dari 31 (45%)</v>
      </c>
    </row>
    <row r="4" ht="22.5" customHeight="1">
      <c r="A4" s="2">
        <v>3.0</v>
      </c>
      <c r="B4" s="18"/>
      <c r="C4" s="22">
        <v>52148.0</v>
      </c>
      <c r="D4" s="12" t="s">
        <v>54</v>
      </c>
      <c r="E4" s="12" t="s">
        <v>76</v>
      </c>
      <c r="F4" s="14" t="s">
        <v>50</v>
      </c>
      <c r="G4" s="6" t="b">
        <v>1</v>
      </c>
      <c r="H4" s="6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1</v>
      </c>
      <c r="S4" s="6" t="b">
        <v>1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3 dari 31 (10%)</v>
      </c>
    </row>
    <row r="5" ht="22.5" customHeight="1">
      <c r="A5" s="93">
        <v>4.0</v>
      </c>
      <c r="B5" s="94"/>
      <c r="C5" s="132">
        <v>61006.0</v>
      </c>
      <c r="D5" s="96" t="s">
        <v>39</v>
      </c>
      <c r="E5" s="96" t="s">
        <v>42</v>
      </c>
      <c r="F5" s="97"/>
      <c r="G5" s="98" t="b">
        <v>0</v>
      </c>
      <c r="H5" s="98" t="b">
        <v>0</v>
      </c>
      <c r="I5" s="98" t="b">
        <v>0</v>
      </c>
      <c r="J5" s="98" t="b">
        <v>0</v>
      </c>
      <c r="K5" s="98" t="b">
        <v>0</v>
      </c>
      <c r="L5" s="98" t="b">
        <v>0</v>
      </c>
      <c r="M5" s="98" t="b">
        <v>0</v>
      </c>
      <c r="N5" s="98" t="b">
        <v>0</v>
      </c>
      <c r="O5" s="98" t="b">
        <v>0</v>
      </c>
      <c r="P5" s="98" t="b">
        <v>0</v>
      </c>
      <c r="Q5" s="98" t="b">
        <v>0</v>
      </c>
      <c r="R5" s="98" t="b">
        <v>0</v>
      </c>
      <c r="S5" s="98" t="b">
        <v>0</v>
      </c>
      <c r="T5" s="98" t="b">
        <v>0</v>
      </c>
      <c r="U5" s="98" t="b">
        <v>0</v>
      </c>
      <c r="V5" s="98" t="b">
        <v>0</v>
      </c>
      <c r="W5" s="98" t="b">
        <v>0</v>
      </c>
      <c r="X5" s="98" t="b">
        <v>0</v>
      </c>
      <c r="Y5" s="98" t="b">
        <v>0</v>
      </c>
      <c r="Z5" s="98" t="b">
        <v>0</v>
      </c>
      <c r="AA5" s="98" t="b">
        <v>0</v>
      </c>
      <c r="AB5" s="98" t="b">
        <v>0</v>
      </c>
      <c r="AC5" s="98" t="b">
        <v>0</v>
      </c>
      <c r="AD5" s="98" t="b">
        <v>0</v>
      </c>
      <c r="AE5" s="98" t="b">
        <v>0</v>
      </c>
      <c r="AF5" s="98" t="b">
        <v>0</v>
      </c>
      <c r="AG5" s="98" t="b">
        <v>0</v>
      </c>
      <c r="AH5" s="98" t="b">
        <v>0</v>
      </c>
      <c r="AI5" s="98" t="b">
        <v>0</v>
      </c>
      <c r="AJ5" s="98" t="b">
        <v>0</v>
      </c>
      <c r="AK5" s="98" t="b">
        <v>0</v>
      </c>
      <c r="AL5" s="99" t="str">
        <f t="shared" si="1"/>
        <v>0 dari 31 (0%)</v>
      </c>
    </row>
    <row r="6" ht="22.5" customHeight="1">
      <c r="A6" s="2">
        <v>5.0</v>
      </c>
      <c r="B6" s="18"/>
      <c r="C6" s="20">
        <v>60320.0</v>
      </c>
      <c r="D6" s="12" t="s">
        <v>39</v>
      </c>
      <c r="E6" s="12" t="s">
        <v>42</v>
      </c>
      <c r="F6" s="13"/>
      <c r="G6" s="6" t="b">
        <v>1</v>
      </c>
      <c r="H6" s="6" t="b">
        <v>1</v>
      </c>
      <c r="I6" s="6" t="b">
        <v>0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14 dari 31 (45%)</v>
      </c>
    </row>
    <row r="7" ht="22.5" customHeight="1">
      <c r="A7" s="93">
        <v>6.0</v>
      </c>
      <c r="B7" s="94"/>
      <c r="C7" s="95">
        <v>42835.0</v>
      </c>
      <c r="D7" s="96" t="s">
        <v>39</v>
      </c>
      <c r="E7" s="96" t="s">
        <v>42</v>
      </c>
      <c r="F7" s="97"/>
      <c r="G7" s="98" t="b">
        <v>0</v>
      </c>
      <c r="H7" s="98" t="b">
        <v>0</v>
      </c>
      <c r="I7" s="98" t="b">
        <v>0</v>
      </c>
      <c r="J7" s="98" t="b">
        <v>0</v>
      </c>
      <c r="K7" s="98" t="b">
        <v>0</v>
      </c>
      <c r="L7" s="98" t="b">
        <v>0</v>
      </c>
      <c r="M7" s="98" t="b">
        <v>0</v>
      </c>
      <c r="N7" s="98" t="b">
        <v>0</v>
      </c>
      <c r="O7" s="98" t="b">
        <v>0</v>
      </c>
      <c r="P7" s="98" t="b">
        <v>0</v>
      </c>
      <c r="Q7" s="98" t="b">
        <v>0</v>
      </c>
      <c r="R7" s="98" t="b">
        <v>0</v>
      </c>
      <c r="S7" s="98" t="b">
        <v>0</v>
      </c>
      <c r="T7" s="98" t="b">
        <v>0</v>
      </c>
      <c r="U7" s="98" t="b">
        <v>0</v>
      </c>
      <c r="V7" s="98" t="b">
        <v>0</v>
      </c>
      <c r="W7" s="98" t="b">
        <v>0</v>
      </c>
      <c r="X7" s="98" t="b">
        <v>0</v>
      </c>
      <c r="Y7" s="98" t="b">
        <v>0</v>
      </c>
      <c r="Z7" s="98" t="b">
        <v>0</v>
      </c>
      <c r="AA7" s="98" t="b">
        <v>0</v>
      </c>
      <c r="AB7" s="98" t="b">
        <v>0</v>
      </c>
      <c r="AC7" s="98" t="b">
        <v>0</v>
      </c>
      <c r="AD7" s="98" t="b">
        <v>0</v>
      </c>
      <c r="AE7" s="98" t="b">
        <v>0</v>
      </c>
      <c r="AF7" s="98" t="b">
        <v>0</v>
      </c>
      <c r="AG7" s="98" t="b">
        <v>0</v>
      </c>
      <c r="AH7" s="98" t="b">
        <v>0</v>
      </c>
      <c r="AI7" s="98" t="b">
        <v>0</v>
      </c>
      <c r="AJ7" s="98" t="b">
        <v>0</v>
      </c>
      <c r="AK7" s="98" t="b">
        <v>0</v>
      </c>
      <c r="AL7" s="99" t="str">
        <f t="shared" si="1"/>
        <v>0 dari 31 (0%)</v>
      </c>
    </row>
    <row r="8" ht="22.5" customHeight="1">
      <c r="A8" s="2">
        <v>7.0</v>
      </c>
      <c r="B8" s="18"/>
      <c r="C8" s="20">
        <v>60354.0</v>
      </c>
      <c r="D8" s="12" t="s">
        <v>39</v>
      </c>
      <c r="E8" s="12" t="s">
        <v>42</v>
      </c>
      <c r="F8" s="13"/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1</v>
      </c>
      <c r="X8" s="6" t="b">
        <v>1</v>
      </c>
      <c r="Y8" s="6" t="b">
        <v>1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1</v>
      </c>
      <c r="AJ8" s="6" t="b">
        <v>0</v>
      </c>
      <c r="AK8" s="6" t="b">
        <v>0</v>
      </c>
      <c r="AL8" s="9" t="str">
        <f t="shared" si="1"/>
        <v>18 dari 31 (58%)</v>
      </c>
    </row>
    <row r="9" ht="22.5" customHeight="1">
      <c r="A9" s="10">
        <v>8.0</v>
      </c>
      <c r="B9" s="11"/>
      <c r="C9" s="22">
        <v>60902.0</v>
      </c>
      <c r="D9" s="12" t="s">
        <v>39</v>
      </c>
      <c r="E9" s="12" t="s">
        <v>57</v>
      </c>
      <c r="F9" s="13"/>
      <c r="G9" s="16" t="b">
        <v>1</v>
      </c>
      <c r="H9" s="16" t="b">
        <v>1</v>
      </c>
      <c r="I9" s="16" t="b">
        <v>1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1</v>
      </c>
      <c r="AJ9" s="16" t="b">
        <v>0</v>
      </c>
      <c r="AK9" s="16" t="b">
        <v>0</v>
      </c>
      <c r="AL9" s="17" t="str">
        <f t="shared" si="1"/>
        <v>15 dari 31 (48%)</v>
      </c>
    </row>
    <row r="10" ht="22.5" customHeight="1">
      <c r="A10" s="2">
        <v>9.0</v>
      </c>
      <c r="B10" s="18"/>
      <c r="C10" s="22">
        <v>60700.0</v>
      </c>
      <c r="D10" s="12" t="s">
        <v>39</v>
      </c>
      <c r="E10" s="12" t="s">
        <v>57</v>
      </c>
      <c r="F10" s="13"/>
      <c r="G10" s="6" t="b">
        <v>1</v>
      </c>
      <c r="H10" s="6" t="b">
        <v>1</v>
      </c>
      <c r="I10" s="6" t="b">
        <v>1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1</v>
      </c>
      <c r="U10" s="6" t="b">
        <v>0</v>
      </c>
      <c r="V10" s="6" t="b">
        <v>0</v>
      </c>
      <c r="W10" s="6" t="b">
        <v>1</v>
      </c>
      <c r="X10" s="6" t="b">
        <v>1</v>
      </c>
      <c r="Y10" s="6" t="b">
        <v>1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1</v>
      </c>
      <c r="AJ10" s="6" t="b">
        <v>0</v>
      </c>
      <c r="AK10" s="6" t="b">
        <v>0</v>
      </c>
      <c r="AL10" s="9" t="str">
        <f t="shared" si="1"/>
        <v>18 dari 31 (58%)</v>
      </c>
    </row>
    <row r="11" ht="22.5" customHeight="1">
      <c r="A11" s="10">
        <v>10.0</v>
      </c>
      <c r="B11" s="11"/>
      <c r="C11" s="22">
        <v>58181.0</v>
      </c>
      <c r="D11" s="12" t="s">
        <v>41</v>
      </c>
      <c r="E11" s="12" t="s">
        <v>48</v>
      </c>
      <c r="F11" s="14" t="s">
        <v>50</v>
      </c>
      <c r="G11" s="16" t="b">
        <v>1</v>
      </c>
      <c r="H11" s="16" t="b">
        <v>0</v>
      </c>
      <c r="I11" s="16" t="b">
        <v>0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0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12 dari 31 (39%)</v>
      </c>
    </row>
    <row r="12" ht="22.5" customHeight="1">
      <c r="A12" s="2">
        <v>11.0</v>
      </c>
      <c r="B12" s="18"/>
      <c r="C12" s="20">
        <v>60390.0</v>
      </c>
      <c r="D12" s="12" t="s">
        <v>41</v>
      </c>
      <c r="E12" s="12" t="s">
        <v>44</v>
      </c>
      <c r="F12" s="14" t="s">
        <v>50</v>
      </c>
      <c r="G12" s="6" t="b">
        <v>1</v>
      </c>
      <c r="H12" s="6" t="b">
        <v>0</v>
      </c>
      <c r="I12" s="6" t="b">
        <v>0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0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1</v>
      </c>
      <c r="AJ12" s="6" t="b">
        <v>0</v>
      </c>
      <c r="AK12" s="6" t="b">
        <v>0</v>
      </c>
      <c r="AL12" s="9" t="str">
        <f t="shared" si="1"/>
        <v>12 dari 31 (39%)</v>
      </c>
    </row>
    <row r="13" ht="22.5" customHeight="1">
      <c r="A13" s="10">
        <v>12.0</v>
      </c>
      <c r="B13" s="11"/>
      <c r="C13" s="20">
        <v>61152.0</v>
      </c>
      <c r="D13" s="12" t="s">
        <v>41</v>
      </c>
      <c r="E13" s="12" t="s">
        <v>48</v>
      </c>
      <c r="F13" s="14" t="s">
        <v>50</v>
      </c>
      <c r="G13" s="6" t="b">
        <v>1</v>
      </c>
      <c r="H13" s="16" t="b">
        <v>0</v>
      </c>
      <c r="I13" s="16" t="b">
        <v>0</v>
      </c>
      <c r="J13" s="6" t="b">
        <v>1</v>
      </c>
      <c r="K13" s="6" t="b">
        <v>1</v>
      </c>
      <c r="L13" s="6" t="b">
        <v>1</v>
      </c>
      <c r="M13" s="6" t="b">
        <v>1</v>
      </c>
      <c r="N13" s="6" t="b">
        <v>1</v>
      </c>
      <c r="O13" s="6" t="b">
        <v>1</v>
      </c>
      <c r="P13" s="6" t="b">
        <v>1</v>
      </c>
      <c r="Q13" s="6" t="b">
        <v>1</v>
      </c>
      <c r="R13" s="6" t="b">
        <v>1</v>
      </c>
      <c r="S13" s="6" t="b">
        <v>1</v>
      </c>
      <c r="T13" s="6" t="b">
        <v>0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1"/>
        <v>12 dari 31 (39%)</v>
      </c>
    </row>
    <row r="14" ht="22.5" customHeight="1">
      <c r="A14" s="2">
        <v>13.0</v>
      </c>
      <c r="B14" s="18"/>
      <c r="C14" s="20">
        <v>55161.0</v>
      </c>
      <c r="D14" s="12" t="s">
        <v>63</v>
      </c>
      <c r="E14" s="12" t="s">
        <v>64</v>
      </c>
      <c r="F14" s="13"/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14 dari 31 (45%)</v>
      </c>
    </row>
    <row r="15" ht="22.5" customHeight="1">
      <c r="A15" s="10">
        <v>14.0</v>
      </c>
      <c r="B15" s="11"/>
      <c r="C15" s="20">
        <v>60859.0</v>
      </c>
      <c r="D15" s="12" t="s">
        <v>63</v>
      </c>
      <c r="E15" s="12" t="s">
        <v>64</v>
      </c>
      <c r="F15" s="13"/>
      <c r="G15" s="6" t="b">
        <v>1</v>
      </c>
      <c r="H15" s="6" t="b">
        <v>1</v>
      </c>
      <c r="I15" s="6" t="b">
        <v>1</v>
      </c>
      <c r="J15" s="6" t="b">
        <v>1</v>
      </c>
      <c r="K15" s="6" t="b">
        <v>1</v>
      </c>
      <c r="L15" s="6" t="b">
        <v>1</v>
      </c>
      <c r="M15" s="6" t="b">
        <v>1</v>
      </c>
      <c r="N15" s="6" t="b">
        <v>1</v>
      </c>
      <c r="O15" s="6" t="b">
        <v>1</v>
      </c>
      <c r="P15" s="6" t="b">
        <v>1</v>
      </c>
      <c r="Q15" s="6" t="b">
        <v>1</v>
      </c>
      <c r="R15" s="6" t="b">
        <v>1</v>
      </c>
      <c r="S15" s="6" t="b">
        <v>1</v>
      </c>
      <c r="T15" s="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1</v>
      </c>
      <c r="AJ15" s="16" t="b">
        <v>0</v>
      </c>
      <c r="AK15" s="16" t="b">
        <v>0</v>
      </c>
      <c r="AL15" s="17" t="str">
        <f t="shared" si="1"/>
        <v>15 dari 31 (48%)</v>
      </c>
    </row>
    <row r="16" ht="22.5" customHeight="1">
      <c r="A16" s="2">
        <v>15.0</v>
      </c>
      <c r="B16" s="18"/>
      <c r="C16" s="20">
        <v>60979.0</v>
      </c>
      <c r="D16" s="12" t="s">
        <v>63</v>
      </c>
      <c r="E16" s="12" t="s">
        <v>64</v>
      </c>
      <c r="F16" s="13"/>
      <c r="G16" s="6" t="b">
        <v>1</v>
      </c>
      <c r="H16" s="6" t="b">
        <v>1</v>
      </c>
      <c r="I16" s="6" t="b">
        <v>1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1</v>
      </c>
      <c r="AJ16" s="6" t="b">
        <v>0</v>
      </c>
      <c r="AK16" s="6" t="b">
        <v>0</v>
      </c>
      <c r="AL16" s="9" t="str">
        <f t="shared" si="1"/>
        <v>15 dari 31 (48%)</v>
      </c>
    </row>
    <row r="17" ht="22.5" customHeight="1">
      <c r="A17" s="10">
        <v>16.0</v>
      </c>
      <c r="B17" s="11"/>
      <c r="C17" s="22">
        <v>54010.0</v>
      </c>
      <c r="D17" s="12" t="s">
        <v>63</v>
      </c>
      <c r="E17" s="12" t="s">
        <v>64</v>
      </c>
      <c r="F17" s="13"/>
      <c r="G17" s="6" t="b">
        <v>1</v>
      </c>
      <c r="H17" s="6" t="b">
        <v>1</v>
      </c>
      <c r="I17" s="6" t="b">
        <v>1</v>
      </c>
      <c r="J17" s="6" t="b">
        <v>1</v>
      </c>
      <c r="K17" s="6" t="b">
        <v>1</v>
      </c>
      <c r="L17" s="6" t="b">
        <v>1</v>
      </c>
      <c r="M17" s="6" t="b">
        <v>1</v>
      </c>
      <c r="N17" s="6" t="b">
        <v>1</v>
      </c>
      <c r="O17" s="6" t="b">
        <v>1</v>
      </c>
      <c r="P17" s="6" t="b">
        <v>1</v>
      </c>
      <c r="Q17" s="6" t="b">
        <v>1</v>
      </c>
      <c r="R17" s="6" t="b">
        <v>1</v>
      </c>
      <c r="S17" s="6" t="b">
        <v>1</v>
      </c>
      <c r="T17" s="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14 dari 31 (45%)</v>
      </c>
    </row>
    <row r="18" ht="22.5" customHeight="1">
      <c r="A18" s="2">
        <v>17.0</v>
      </c>
      <c r="B18" s="18"/>
      <c r="C18" s="20">
        <v>61104.0</v>
      </c>
      <c r="D18" s="12" t="s">
        <v>63</v>
      </c>
      <c r="E18" s="12" t="s">
        <v>64</v>
      </c>
      <c r="F18" s="13"/>
      <c r="G18" s="6" t="b">
        <v>1</v>
      </c>
      <c r="H18" s="6" t="b">
        <v>1</v>
      </c>
      <c r="I18" s="6" t="b">
        <v>1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14 dari 31 (45%)</v>
      </c>
    </row>
    <row r="19" ht="22.5" customHeight="1">
      <c r="A19" s="10">
        <v>18.0</v>
      </c>
      <c r="B19" s="11"/>
      <c r="C19" s="20">
        <v>60852.0</v>
      </c>
      <c r="D19" s="12" t="s">
        <v>63</v>
      </c>
      <c r="E19" s="12" t="s">
        <v>64</v>
      </c>
      <c r="F19" s="13"/>
      <c r="G19" s="6" t="b">
        <v>1</v>
      </c>
      <c r="H19" s="6" t="b">
        <v>1</v>
      </c>
      <c r="I19" s="6" t="b">
        <v>1</v>
      </c>
      <c r="J19" s="6" t="b">
        <v>1</v>
      </c>
      <c r="K19" s="6" t="b">
        <v>1</v>
      </c>
      <c r="L19" s="6" t="b">
        <v>1</v>
      </c>
      <c r="M19" s="6" t="b">
        <v>1</v>
      </c>
      <c r="N19" s="6" t="b">
        <v>1</v>
      </c>
      <c r="O19" s="6" t="b">
        <v>1</v>
      </c>
      <c r="P19" s="6" t="b">
        <v>1</v>
      </c>
      <c r="Q19" s="6" t="b">
        <v>1</v>
      </c>
      <c r="R19" s="6" t="b">
        <v>1</v>
      </c>
      <c r="S19" s="6" t="b">
        <v>1</v>
      </c>
      <c r="T19" s="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1</v>
      </c>
      <c r="AJ19" s="16" t="b">
        <v>0</v>
      </c>
      <c r="AK19" s="16" t="b">
        <v>0</v>
      </c>
      <c r="AL19" s="17" t="str">
        <f t="shared" si="1"/>
        <v>15 dari 31 (48%)</v>
      </c>
    </row>
    <row r="20" ht="22.5" customHeight="1">
      <c r="A20" s="2">
        <v>19.0</v>
      </c>
      <c r="B20" s="18"/>
      <c r="C20" s="20">
        <v>33429.0</v>
      </c>
      <c r="D20" s="12" t="s">
        <v>63</v>
      </c>
      <c r="E20" s="12" t="s">
        <v>64</v>
      </c>
      <c r="F20" s="13"/>
      <c r="G20" s="6" t="b">
        <v>1</v>
      </c>
      <c r="H20" s="6" t="b">
        <v>1</v>
      </c>
      <c r="I20" s="6" t="b">
        <v>1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1</v>
      </c>
      <c r="AJ20" s="6" t="b">
        <v>0</v>
      </c>
      <c r="AK20" s="6" t="b">
        <v>0</v>
      </c>
      <c r="AL20" s="9" t="str">
        <f t="shared" si="1"/>
        <v>15 dari 31 (48%)</v>
      </c>
    </row>
    <row r="21" ht="22.5" customHeight="1">
      <c r="A21" s="10">
        <v>20.0</v>
      </c>
      <c r="B21" s="11"/>
      <c r="C21" s="20">
        <v>40656.0</v>
      </c>
      <c r="D21" s="12" t="s">
        <v>63</v>
      </c>
      <c r="E21" s="12" t="s">
        <v>64</v>
      </c>
      <c r="F21" s="13"/>
      <c r="G21" s="6" t="b">
        <v>1</v>
      </c>
      <c r="H21" s="6" t="b">
        <v>1</v>
      </c>
      <c r="I21" s="6" t="b">
        <v>1</v>
      </c>
      <c r="J21" s="6" t="b">
        <v>1</v>
      </c>
      <c r="K21" s="6" t="b">
        <v>1</v>
      </c>
      <c r="L21" s="6" t="b">
        <v>1</v>
      </c>
      <c r="M21" s="6" t="b">
        <v>1</v>
      </c>
      <c r="N21" s="6" t="b">
        <v>1</v>
      </c>
      <c r="O21" s="6" t="b">
        <v>1</v>
      </c>
      <c r="P21" s="6" t="b">
        <v>1</v>
      </c>
      <c r="Q21" s="6" t="b">
        <v>1</v>
      </c>
      <c r="R21" s="6" t="b">
        <v>1</v>
      </c>
      <c r="S21" s="6" t="b">
        <v>1</v>
      </c>
      <c r="T21" s="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14 dari 31 (45%)</v>
      </c>
    </row>
    <row r="22" ht="22.5" customHeight="1">
      <c r="A22" s="128">
        <v>21.0</v>
      </c>
      <c r="B22" s="129"/>
      <c r="C22" s="95">
        <v>58042.0</v>
      </c>
      <c r="D22" s="96" t="s">
        <v>63</v>
      </c>
      <c r="E22" s="96" t="s">
        <v>64</v>
      </c>
      <c r="F22" s="97"/>
      <c r="G22" s="130" t="b">
        <v>0</v>
      </c>
      <c r="H22" s="130" t="b">
        <v>0</v>
      </c>
      <c r="I22" s="130" t="b">
        <v>0</v>
      </c>
      <c r="J22" s="130" t="b">
        <v>0</v>
      </c>
      <c r="K22" s="130" t="b">
        <v>0</v>
      </c>
      <c r="L22" s="130" t="b">
        <v>0</v>
      </c>
      <c r="M22" s="130" t="b">
        <v>0</v>
      </c>
      <c r="N22" s="130" t="b">
        <v>0</v>
      </c>
      <c r="O22" s="130" t="b">
        <v>0</v>
      </c>
      <c r="P22" s="130" t="b">
        <v>0</v>
      </c>
      <c r="Q22" s="130" t="b">
        <v>0</v>
      </c>
      <c r="R22" s="130" t="b">
        <v>0</v>
      </c>
      <c r="S22" s="130" t="b">
        <v>0</v>
      </c>
      <c r="T22" s="130" t="b">
        <v>0</v>
      </c>
      <c r="U22" s="130" t="b">
        <v>0</v>
      </c>
      <c r="V22" s="130" t="b">
        <v>0</v>
      </c>
      <c r="W22" s="130" t="b">
        <v>0</v>
      </c>
      <c r="X22" s="130" t="b">
        <v>0</v>
      </c>
      <c r="Y22" s="130" t="b">
        <v>0</v>
      </c>
      <c r="Z22" s="130" t="b">
        <v>0</v>
      </c>
      <c r="AA22" s="130" t="b">
        <v>0</v>
      </c>
      <c r="AB22" s="130" t="b">
        <v>0</v>
      </c>
      <c r="AC22" s="130" t="b">
        <v>0</v>
      </c>
      <c r="AD22" s="130" t="b">
        <v>0</v>
      </c>
      <c r="AE22" s="130" t="b">
        <v>0</v>
      </c>
      <c r="AF22" s="130" t="b">
        <v>0</v>
      </c>
      <c r="AG22" s="130" t="b">
        <v>0</v>
      </c>
      <c r="AH22" s="130" t="b">
        <v>0</v>
      </c>
      <c r="AI22" s="130" t="b">
        <v>0</v>
      </c>
      <c r="AJ22" s="130" t="b">
        <v>0</v>
      </c>
      <c r="AK22" s="130" t="b">
        <v>0</v>
      </c>
      <c r="AL22" s="131" t="str">
        <f t="shared" si="1"/>
        <v>0 dari 31 (0%)</v>
      </c>
    </row>
    <row r="23" ht="22.5" customHeight="1">
      <c r="A23" s="10">
        <v>22.0</v>
      </c>
      <c r="B23" s="11"/>
      <c r="C23" s="20">
        <v>61300.0</v>
      </c>
      <c r="D23" s="12" t="s">
        <v>40</v>
      </c>
      <c r="E23" s="12" t="s">
        <v>49</v>
      </c>
      <c r="F23" s="13"/>
      <c r="G23" s="16" t="b">
        <v>1</v>
      </c>
      <c r="H23" s="16" t="b">
        <v>1</v>
      </c>
      <c r="I23" s="16" t="b">
        <v>1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1</v>
      </c>
      <c r="AJ23" s="16" t="b">
        <v>0</v>
      </c>
      <c r="AK23" s="16" t="b">
        <v>0</v>
      </c>
      <c r="AL23" s="17" t="str">
        <f t="shared" si="1"/>
        <v>15 dari 31 (48%)</v>
      </c>
    </row>
    <row r="24" ht="22.5" customHeight="1">
      <c r="A24" s="2">
        <v>23.0</v>
      </c>
      <c r="B24" s="18"/>
      <c r="C24" s="20">
        <v>60975.0</v>
      </c>
      <c r="D24" s="12" t="s">
        <v>63</v>
      </c>
      <c r="E24" s="12" t="s">
        <v>64</v>
      </c>
      <c r="F24" s="13"/>
      <c r="G24" s="6" t="b">
        <v>1</v>
      </c>
      <c r="H24" s="6" t="b">
        <v>1</v>
      </c>
      <c r="I24" s="6" t="b">
        <v>1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14 dari 31 (45%)</v>
      </c>
    </row>
    <row r="25" ht="22.5" customHeight="1">
      <c r="A25" s="10">
        <v>24.0</v>
      </c>
      <c r="B25" s="11"/>
      <c r="C25" s="20">
        <v>61013.0</v>
      </c>
      <c r="D25" s="12" t="s">
        <v>63</v>
      </c>
      <c r="E25" s="12" t="s">
        <v>64</v>
      </c>
      <c r="F25" s="13"/>
      <c r="G25" s="16" t="b">
        <v>1</v>
      </c>
      <c r="H25" s="16" t="b">
        <v>1</v>
      </c>
      <c r="I25" s="16" t="b">
        <v>1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14 dari 31 (45%)</v>
      </c>
    </row>
    <row r="26" ht="22.5" customHeight="1">
      <c r="A26" s="2">
        <v>25.0</v>
      </c>
      <c r="B26" s="18"/>
      <c r="C26" s="20">
        <v>61019.0</v>
      </c>
      <c r="D26" s="12" t="s">
        <v>54</v>
      </c>
      <c r="E26" s="12" t="s">
        <v>166</v>
      </c>
      <c r="F26" s="14" t="s">
        <v>50</v>
      </c>
      <c r="G26" s="6" t="b">
        <v>1</v>
      </c>
      <c r="H26" s="6" t="b">
        <v>0</v>
      </c>
      <c r="I26" s="6" t="b">
        <v>0</v>
      </c>
      <c r="J26" s="6" t="b">
        <v>0</v>
      </c>
      <c r="K26" s="6" t="b">
        <v>0</v>
      </c>
      <c r="L26" s="6" t="b">
        <v>0</v>
      </c>
      <c r="M26" s="6" t="b">
        <v>0</v>
      </c>
      <c r="N26" s="6" t="b">
        <v>0</v>
      </c>
      <c r="O26" s="6" t="b">
        <v>0</v>
      </c>
      <c r="P26" s="6" t="b">
        <v>0</v>
      </c>
      <c r="Q26" s="6" t="b">
        <v>0</v>
      </c>
      <c r="R26" s="6" t="b">
        <v>1</v>
      </c>
      <c r="S26" s="6" t="b">
        <v>1</v>
      </c>
      <c r="T26" s="6" t="b">
        <v>0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3 dari 31 (10%)</v>
      </c>
    </row>
    <row r="27" ht="22.5" customHeight="1">
      <c r="A27" s="10">
        <v>26.0</v>
      </c>
      <c r="B27" s="11"/>
      <c r="C27" s="22">
        <v>60295.0</v>
      </c>
      <c r="D27" s="12" t="s">
        <v>54</v>
      </c>
      <c r="E27" s="12" t="s">
        <v>166</v>
      </c>
      <c r="F27" s="14" t="s">
        <v>50</v>
      </c>
      <c r="G27" s="16" t="b">
        <v>1</v>
      </c>
      <c r="H27" s="16" t="b">
        <v>0</v>
      </c>
      <c r="I27" s="16" t="b">
        <v>0</v>
      </c>
      <c r="J27" s="16" t="b">
        <v>0</v>
      </c>
      <c r="K27" s="16" t="b">
        <v>0</v>
      </c>
      <c r="L27" s="16" t="b">
        <v>0</v>
      </c>
      <c r="M27" s="16" t="b">
        <v>0</v>
      </c>
      <c r="N27" s="16" t="b">
        <v>0</v>
      </c>
      <c r="O27" s="16" t="b">
        <v>0</v>
      </c>
      <c r="P27" s="16" t="b">
        <v>0</v>
      </c>
      <c r="Q27" s="16" t="b">
        <v>0</v>
      </c>
      <c r="R27" s="16" t="b">
        <v>1</v>
      </c>
      <c r="S27" s="16" t="b">
        <v>1</v>
      </c>
      <c r="T27" s="16" t="b">
        <v>0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3 dari 31 (10%)</v>
      </c>
    </row>
    <row r="28" ht="22.5" customHeight="1">
      <c r="A28" s="2">
        <v>27.0</v>
      </c>
      <c r="B28" s="18"/>
      <c r="C28" s="22">
        <v>56256.0</v>
      </c>
      <c r="D28" s="12" t="s">
        <v>54</v>
      </c>
      <c r="E28" s="12" t="s">
        <v>82</v>
      </c>
      <c r="F28" s="14" t="s">
        <v>50</v>
      </c>
      <c r="G28" s="6" t="b">
        <v>1</v>
      </c>
      <c r="H28" s="6" t="b">
        <v>0</v>
      </c>
      <c r="I28" s="6" t="b">
        <v>0</v>
      </c>
      <c r="J28" s="6" t="b">
        <v>0</v>
      </c>
      <c r="K28" s="6" t="b">
        <v>0</v>
      </c>
      <c r="L28" s="6" t="b">
        <v>0</v>
      </c>
      <c r="M28" s="6" t="b">
        <v>0</v>
      </c>
      <c r="N28" s="6" t="b">
        <v>0</v>
      </c>
      <c r="O28" s="6" t="b">
        <v>0</v>
      </c>
      <c r="P28" s="6" t="b">
        <v>0</v>
      </c>
      <c r="Q28" s="6" t="b">
        <v>0</v>
      </c>
      <c r="R28" s="6" t="b">
        <v>1</v>
      </c>
      <c r="S28" s="6" t="b">
        <v>1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9" t="str">
        <f t="shared" si="1"/>
        <v>3 dari 31 (10%)</v>
      </c>
    </row>
    <row r="29" ht="22.5" customHeight="1">
      <c r="A29" s="10">
        <v>28.0</v>
      </c>
      <c r="B29" s="11"/>
      <c r="C29" s="22">
        <v>61016.0</v>
      </c>
      <c r="D29" s="12" t="s">
        <v>54</v>
      </c>
      <c r="E29" s="12" t="s">
        <v>82</v>
      </c>
      <c r="F29" s="14" t="s">
        <v>50</v>
      </c>
      <c r="G29" s="16" t="b">
        <v>1</v>
      </c>
      <c r="H29" s="16" t="b">
        <v>0</v>
      </c>
      <c r="I29" s="16" t="b">
        <v>0</v>
      </c>
      <c r="J29" s="16" t="b">
        <v>0</v>
      </c>
      <c r="K29" s="16" t="b">
        <v>0</v>
      </c>
      <c r="L29" s="16" t="b">
        <v>0</v>
      </c>
      <c r="M29" s="16" t="b">
        <v>0</v>
      </c>
      <c r="N29" s="16" t="b">
        <v>0</v>
      </c>
      <c r="O29" s="16" t="b">
        <v>0</v>
      </c>
      <c r="P29" s="16" t="b">
        <v>0</v>
      </c>
      <c r="Q29" s="16" t="b">
        <v>0</v>
      </c>
      <c r="R29" s="16" t="b">
        <v>1</v>
      </c>
      <c r="S29" s="16" t="b">
        <v>1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3 dari 31 (10%)</v>
      </c>
    </row>
    <row r="30" ht="22.5" customHeight="1">
      <c r="A30" s="2">
        <v>29.0</v>
      </c>
      <c r="B30" s="18"/>
      <c r="C30" s="22">
        <v>60188.0</v>
      </c>
      <c r="D30" s="12" t="s">
        <v>54</v>
      </c>
      <c r="E30" s="12" t="s">
        <v>82</v>
      </c>
      <c r="F30" s="14" t="s">
        <v>50</v>
      </c>
      <c r="G30" s="6" t="b">
        <v>1</v>
      </c>
      <c r="H30" s="6" t="b">
        <v>0</v>
      </c>
      <c r="I30" s="6" t="b">
        <v>0</v>
      </c>
      <c r="J30" s="6" t="b">
        <v>0</v>
      </c>
      <c r="K30" s="6" t="b">
        <v>0</v>
      </c>
      <c r="L30" s="6" t="b">
        <v>0</v>
      </c>
      <c r="M30" s="6" t="b">
        <v>0</v>
      </c>
      <c r="N30" s="6" t="b">
        <v>0</v>
      </c>
      <c r="O30" s="6" t="b">
        <v>0</v>
      </c>
      <c r="P30" s="6" t="b">
        <v>0</v>
      </c>
      <c r="Q30" s="6" t="b">
        <v>0</v>
      </c>
      <c r="R30" s="6" t="b">
        <v>1</v>
      </c>
      <c r="S30" s="6" t="b">
        <v>1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1"/>
        <v>3 dari 31 (10%)</v>
      </c>
    </row>
    <row r="31" ht="22.5" customHeight="1">
      <c r="A31" s="10">
        <v>30.0</v>
      </c>
      <c r="B31" s="11"/>
      <c r="C31" s="22">
        <v>61011.0</v>
      </c>
      <c r="D31" s="12" t="s">
        <v>54</v>
      </c>
      <c r="E31" s="12" t="s">
        <v>82</v>
      </c>
      <c r="F31" s="14" t="s">
        <v>50</v>
      </c>
      <c r="G31" s="16" t="b">
        <v>1</v>
      </c>
      <c r="H31" s="16" t="b">
        <v>0</v>
      </c>
      <c r="I31" s="16" t="b">
        <v>0</v>
      </c>
      <c r="J31" s="16" t="b">
        <v>0</v>
      </c>
      <c r="K31" s="16" t="b">
        <v>0</v>
      </c>
      <c r="L31" s="16" t="b">
        <v>0</v>
      </c>
      <c r="M31" s="16" t="b">
        <v>0</v>
      </c>
      <c r="N31" s="16" t="b">
        <v>0</v>
      </c>
      <c r="O31" s="16" t="b">
        <v>0</v>
      </c>
      <c r="P31" s="16" t="b">
        <v>0</v>
      </c>
      <c r="Q31" s="16" t="b">
        <v>0</v>
      </c>
      <c r="R31" s="16" t="b">
        <v>1</v>
      </c>
      <c r="S31" s="16" t="b">
        <v>1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7" t="str">
        <f t="shared" si="1"/>
        <v>3 dari 31 (10%)</v>
      </c>
    </row>
    <row r="32" ht="22.5" customHeight="1">
      <c r="A32" s="2">
        <v>31.0</v>
      </c>
      <c r="B32" s="18"/>
      <c r="C32" s="20">
        <v>51910.0</v>
      </c>
      <c r="D32" s="12" t="s">
        <v>54</v>
      </c>
      <c r="E32" s="12" t="s">
        <v>166</v>
      </c>
      <c r="F32" s="14" t="s">
        <v>50</v>
      </c>
      <c r="G32" s="6" t="b">
        <v>1</v>
      </c>
      <c r="H32" s="6" t="b">
        <v>0</v>
      </c>
      <c r="I32" s="6" t="b">
        <v>0</v>
      </c>
      <c r="J32" s="6" t="b">
        <v>0</v>
      </c>
      <c r="K32" s="6" t="b">
        <v>0</v>
      </c>
      <c r="L32" s="6" t="b">
        <v>0</v>
      </c>
      <c r="M32" s="6" t="b">
        <v>0</v>
      </c>
      <c r="N32" s="6" t="b">
        <v>0</v>
      </c>
      <c r="O32" s="6" t="b">
        <v>0</v>
      </c>
      <c r="P32" s="6" t="b">
        <v>0</v>
      </c>
      <c r="Q32" s="6" t="b">
        <v>0</v>
      </c>
      <c r="R32" s="6" t="b">
        <v>1</v>
      </c>
      <c r="S32" s="6" t="b">
        <v>1</v>
      </c>
      <c r="T32" s="6" t="b">
        <v>0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3 dari 31 (10%)</v>
      </c>
    </row>
    <row r="33" ht="22.5" customHeight="1">
      <c r="A33" s="10">
        <v>32.0</v>
      </c>
      <c r="B33" s="11"/>
      <c r="C33" s="20">
        <v>61017.0</v>
      </c>
      <c r="D33" s="12" t="s">
        <v>54</v>
      </c>
      <c r="E33" s="12" t="s">
        <v>82</v>
      </c>
      <c r="F33" s="14" t="s">
        <v>50</v>
      </c>
      <c r="G33" s="16" t="b">
        <v>1</v>
      </c>
      <c r="H33" s="16" t="b">
        <v>0</v>
      </c>
      <c r="I33" s="16" t="b">
        <v>0</v>
      </c>
      <c r="J33" s="16" t="b">
        <v>0</v>
      </c>
      <c r="K33" s="16" t="b">
        <v>0</v>
      </c>
      <c r="L33" s="16" t="b">
        <v>0</v>
      </c>
      <c r="M33" s="16" t="b">
        <v>0</v>
      </c>
      <c r="N33" s="16" t="b">
        <v>0</v>
      </c>
      <c r="O33" s="16" t="b">
        <v>0</v>
      </c>
      <c r="P33" s="16" t="b">
        <v>0</v>
      </c>
      <c r="Q33" s="16" t="b">
        <v>0</v>
      </c>
      <c r="R33" s="16" t="b">
        <v>1</v>
      </c>
      <c r="S33" s="16" t="b">
        <v>1</v>
      </c>
      <c r="T33" s="16" t="b">
        <v>0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0</v>
      </c>
      <c r="AJ33" s="16" t="b">
        <v>0</v>
      </c>
      <c r="AK33" s="16" t="b">
        <v>0</v>
      </c>
      <c r="AL33" s="17" t="str">
        <f t="shared" si="1"/>
        <v>3 dari 31 (10%)</v>
      </c>
    </row>
    <row r="34" ht="22.5" customHeight="1">
      <c r="A34" s="2">
        <v>33.0</v>
      </c>
      <c r="B34" s="18"/>
      <c r="C34" s="20">
        <v>38075.0</v>
      </c>
      <c r="D34" s="12" t="s">
        <v>39</v>
      </c>
      <c r="E34" s="12" t="s">
        <v>42</v>
      </c>
      <c r="F34" s="13"/>
      <c r="G34" s="6" t="b">
        <v>1</v>
      </c>
      <c r="H34" s="6" t="b">
        <v>1</v>
      </c>
      <c r="I34" s="6" t="b">
        <v>0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1</v>
      </c>
      <c r="AA34" s="6" t="b">
        <v>1</v>
      </c>
      <c r="AB34" s="6" t="b">
        <v>0</v>
      </c>
      <c r="AC34" s="6" t="b">
        <v>0</v>
      </c>
      <c r="AD34" s="6" t="b">
        <v>1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0</v>
      </c>
      <c r="AJ34" s="6" t="b">
        <v>0</v>
      </c>
      <c r="AK34" s="6" t="b">
        <v>0</v>
      </c>
      <c r="AL34" s="9" t="str">
        <f t="shared" si="1"/>
        <v>16 dari 31 (52%)</v>
      </c>
    </row>
    <row r="35" ht="22.5" customHeight="1">
      <c r="A35" s="10">
        <v>34.0</v>
      </c>
      <c r="B35" s="11"/>
      <c r="C35" s="20">
        <v>60276.0</v>
      </c>
      <c r="D35" s="12" t="s">
        <v>39</v>
      </c>
      <c r="E35" s="12" t="s">
        <v>42</v>
      </c>
      <c r="F35" s="13"/>
      <c r="G35" s="16" t="b">
        <v>1</v>
      </c>
      <c r="H35" s="16" t="b">
        <v>1</v>
      </c>
      <c r="I35" s="16" t="b">
        <v>1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1"/>
        <v>15 dari 31 (48%)</v>
      </c>
    </row>
    <row r="36" ht="22.5" customHeight="1">
      <c r="A36" s="2">
        <v>35.0</v>
      </c>
      <c r="B36" s="18"/>
      <c r="C36" s="20">
        <v>57877.0</v>
      </c>
      <c r="D36" s="12" t="s">
        <v>80</v>
      </c>
      <c r="E36" s="12" t="s">
        <v>49</v>
      </c>
      <c r="F36" s="13"/>
      <c r="G36" s="6" t="b">
        <v>1</v>
      </c>
      <c r="H36" s="6" t="b">
        <v>1</v>
      </c>
      <c r="I36" s="6" t="b">
        <v>0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0</v>
      </c>
      <c r="AJ36" s="6" t="b">
        <v>0</v>
      </c>
      <c r="AK36" s="6" t="b">
        <v>0</v>
      </c>
      <c r="AL36" s="9" t="str">
        <f t="shared" si="1"/>
        <v>13 dari 31 (42%)</v>
      </c>
    </row>
    <row r="37" ht="22.5" customHeight="1">
      <c r="A37" s="10">
        <v>36.0</v>
      </c>
      <c r="B37" s="11"/>
      <c r="C37" s="22">
        <v>34933.0</v>
      </c>
      <c r="D37" s="12" t="s">
        <v>80</v>
      </c>
      <c r="E37" s="12" t="s">
        <v>49</v>
      </c>
      <c r="F37" s="13"/>
      <c r="G37" s="16" t="b">
        <v>1</v>
      </c>
      <c r="H37" s="16" t="b">
        <v>1</v>
      </c>
      <c r="I37" s="16" t="b">
        <v>0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7" t="str">
        <f t="shared" si="1"/>
        <v>13 dari 31 (42%)</v>
      </c>
    </row>
    <row r="38" ht="22.5" customHeight="1">
      <c r="A38" s="2">
        <v>37.0</v>
      </c>
      <c r="B38" s="18"/>
      <c r="C38" s="22">
        <v>57868.0</v>
      </c>
      <c r="D38" s="12" t="s">
        <v>80</v>
      </c>
      <c r="E38" s="12" t="s">
        <v>43</v>
      </c>
      <c r="F38" s="13"/>
      <c r="G38" s="6" t="b">
        <v>1</v>
      </c>
      <c r="H38" s="6" t="b">
        <v>1</v>
      </c>
      <c r="I38" s="6" t="b">
        <v>0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6" t="b">
        <v>1</v>
      </c>
      <c r="S38" s="6" t="b">
        <v>1</v>
      </c>
      <c r="T38" s="6" t="b">
        <v>1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1"/>
        <v>13 dari 31 (42%)</v>
      </c>
    </row>
    <row r="39" ht="22.5" customHeight="1">
      <c r="A39" s="10">
        <v>38.0</v>
      </c>
      <c r="B39" s="11"/>
      <c r="C39" s="22">
        <v>55871.0</v>
      </c>
      <c r="D39" s="12" t="s">
        <v>80</v>
      </c>
      <c r="E39" s="12" t="s">
        <v>148</v>
      </c>
      <c r="F39" s="13"/>
      <c r="G39" s="16" t="b">
        <v>1</v>
      </c>
      <c r="H39" s="16" t="b">
        <v>1</v>
      </c>
      <c r="I39" s="16" t="b">
        <v>0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13 dari 31 (42%)</v>
      </c>
    </row>
    <row r="40" ht="22.5" customHeight="1">
      <c r="A40" s="128">
        <v>39.0</v>
      </c>
      <c r="B40" s="129"/>
      <c r="C40" s="132">
        <v>55787.0</v>
      </c>
      <c r="D40" s="96" t="s">
        <v>80</v>
      </c>
      <c r="E40" s="96" t="s">
        <v>91</v>
      </c>
      <c r="F40" s="97"/>
      <c r="G40" s="130" t="b">
        <v>0</v>
      </c>
      <c r="H40" s="130" t="b">
        <v>0</v>
      </c>
      <c r="I40" s="130" t="b">
        <v>0</v>
      </c>
      <c r="J40" s="130" t="b">
        <v>0</v>
      </c>
      <c r="K40" s="130" t="b">
        <v>0</v>
      </c>
      <c r="L40" s="130" t="b">
        <v>0</v>
      </c>
      <c r="M40" s="130" t="b">
        <v>0</v>
      </c>
      <c r="N40" s="130" t="b">
        <v>0</v>
      </c>
      <c r="O40" s="130" t="b">
        <v>0</v>
      </c>
      <c r="P40" s="130" t="b">
        <v>0</v>
      </c>
      <c r="Q40" s="130" t="b">
        <v>0</v>
      </c>
      <c r="R40" s="130" t="b">
        <v>0</v>
      </c>
      <c r="S40" s="130" t="b">
        <v>0</v>
      </c>
      <c r="T40" s="130" t="b">
        <v>0</v>
      </c>
      <c r="U40" s="130" t="b">
        <v>0</v>
      </c>
      <c r="V40" s="130" t="b">
        <v>0</v>
      </c>
      <c r="W40" s="130" t="b">
        <v>0</v>
      </c>
      <c r="X40" s="130" t="b">
        <v>0</v>
      </c>
      <c r="Y40" s="130" t="b">
        <v>0</v>
      </c>
      <c r="Z40" s="130" t="b">
        <v>0</v>
      </c>
      <c r="AA40" s="130" t="b">
        <v>0</v>
      </c>
      <c r="AB40" s="130" t="b">
        <v>0</v>
      </c>
      <c r="AC40" s="130" t="b">
        <v>0</v>
      </c>
      <c r="AD40" s="130" t="b">
        <v>0</v>
      </c>
      <c r="AE40" s="130" t="b">
        <v>0</v>
      </c>
      <c r="AF40" s="130" t="b">
        <v>0</v>
      </c>
      <c r="AG40" s="130" t="b">
        <v>0</v>
      </c>
      <c r="AH40" s="130" t="b">
        <v>0</v>
      </c>
      <c r="AI40" s="130" t="b">
        <v>0</v>
      </c>
      <c r="AJ40" s="130" t="b">
        <v>0</v>
      </c>
      <c r="AK40" s="130" t="b">
        <v>0</v>
      </c>
      <c r="AL40" s="131" t="str">
        <f t="shared" si="1"/>
        <v>0 dari 31 (0%)</v>
      </c>
    </row>
    <row r="41" ht="22.5" customHeight="1">
      <c r="A41" s="10">
        <v>40.0</v>
      </c>
      <c r="B41" s="11"/>
      <c r="C41" s="22">
        <v>52070.0</v>
      </c>
      <c r="D41" s="12" t="s">
        <v>80</v>
      </c>
      <c r="E41" s="12" t="s">
        <v>43</v>
      </c>
      <c r="F41" s="13"/>
      <c r="G41" s="16" t="b">
        <v>1</v>
      </c>
      <c r="H41" s="16" t="b">
        <v>1</v>
      </c>
      <c r="I41" s="16" t="b">
        <v>0</v>
      </c>
      <c r="J41" s="16" t="b">
        <v>1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7" t="str">
        <f t="shared" si="1"/>
        <v>13 dari 31 (42%)</v>
      </c>
    </row>
    <row r="42" ht="22.5" customHeight="1">
      <c r="A42" s="2">
        <v>41.0</v>
      </c>
      <c r="B42" s="18"/>
      <c r="C42" s="20">
        <v>58114.0</v>
      </c>
      <c r="D42" s="12" t="s">
        <v>80</v>
      </c>
      <c r="E42" s="12" t="s">
        <v>154</v>
      </c>
      <c r="F42" s="13"/>
      <c r="G42" s="6" t="b">
        <v>1</v>
      </c>
      <c r="H42" s="6" t="b">
        <v>1</v>
      </c>
      <c r="I42" s="6" t="b">
        <v>0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1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13 dari 31 (42%)</v>
      </c>
    </row>
    <row r="43" ht="22.5" customHeight="1">
      <c r="A43" s="10">
        <v>42.0</v>
      </c>
      <c r="B43" s="11"/>
      <c r="C43" s="20">
        <v>61206.0</v>
      </c>
      <c r="D43" s="12" t="s">
        <v>53</v>
      </c>
      <c r="E43" s="12" t="s">
        <v>136</v>
      </c>
      <c r="F43" s="13"/>
      <c r="G43" s="16" t="b">
        <v>1</v>
      </c>
      <c r="H43" s="16" t="b">
        <v>1</v>
      </c>
      <c r="I43" s="16" t="b">
        <v>1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1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1</v>
      </c>
      <c r="AA43" s="16" t="b">
        <v>1</v>
      </c>
      <c r="AB43" s="16" t="b">
        <v>0</v>
      </c>
      <c r="AC43" s="16" t="b">
        <v>0</v>
      </c>
      <c r="AD43" s="16" t="b">
        <v>1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1</v>
      </c>
      <c r="AJ43" s="16" t="b">
        <v>0</v>
      </c>
      <c r="AK43" s="16" t="b">
        <v>0</v>
      </c>
      <c r="AL43" s="17" t="str">
        <f t="shared" si="1"/>
        <v>18 dari 31 (58%)</v>
      </c>
    </row>
    <row r="44" ht="22.5" customHeight="1">
      <c r="A44" s="2">
        <v>43.0</v>
      </c>
      <c r="B44" s="18"/>
      <c r="C44" s="20">
        <v>32613.0</v>
      </c>
      <c r="D44" s="12" t="s">
        <v>53</v>
      </c>
      <c r="E44" s="12" t="s">
        <v>125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1</v>
      </c>
      <c r="AA44" s="6" t="b">
        <v>1</v>
      </c>
      <c r="AB44" s="6" t="b">
        <v>0</v>
      </c>
      <c r="AC44" s="6" t="b">
        <v>0</v>
      </c>
      <c r="AD44" s="6" t="b">
        <v>1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1</v>
      </c>
      <c r="AJ44" s="6" t="b">
        <v>0</v>
      </c>
      <c r="AK44" s="6" t="b">
        <v>0</v>
      </c>
      <c r="AL44" s="9" t="str">
        <f t="shared" si="1"/>
        <v>18 dari 31 (58%)</v>
      </c>
    </row>
    <row r="45" ht="22.5" customHeight="1">
      <c r="A45" s="10">
        <v>44.0</v>
      </c>
      <c r="B45" s="11"/>
      <c r="C45" s="20">
        <v>58297.0</v>
      </c>
      <c r="D45" s="12" t="s">
        <v>53</v>
      </c>
      <c r="E45" s="12" t="s">
        <v>77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15 dari 31 (48%)</v>
      </c>
    </row>
    <row r="46" ht="22.5" customHeight="1">
      <c r="A46" s="2">
        <v>45.0</v>
      </c>
      <c r="B46" s="18"/>
      <c r="C46" s="20">
        <v>61109.0</v>
      </c>
      <c r="D46" s="12" t="s">
        <v>39</v>
      </c>
      <c r="E46" s="12" t="s">
        <v>42</v>
      </c>
      <c r="F46" s="13"/>
      <c r="G46" s="6" t="b">
        <v>1</v>
      </c>
      <c r="H46" s="6" t="b">
        <v>1</v>
      </c>
      <c r="I46" s="6" t="b">
        <v>1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1</v>
      </c>
      <c r="AJ46" s="6" t="b">
        <v>0</v>
      </c>
      <c r="AK46" s="6" t="b">
        <v>0</v>
      </c>
      <c r="AL46" s="9" t="str">
        <f t="shared" si="1"/>
        <v>15 dari 31 (48%)</v>
      </c>
    </row>
    <row r="47" ht="22.5" customHeight="1">
      <c r="A47" s="10">
        <v>46.0</v>
      </c>
      <c r="B47" s="11"/>
      <c r="C47" s="22">
        <v>51073.0</v>
      </c>
      <c r="D47" s="12" t="s">
        <v>53</v>
      </c>
      <c r="E47" s="12" t="s">
        <v>139</v>
      </c>
      <c r="F47" s="14" t="s">
        <v>50</v>
      </c>
      <c r="G47" s="16" t="b">
        <v>1</v>
      </c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6" t="b">
        <v>0</v>
      </c>
      <c r="R47" s="16" t="b">
        <v>0</v>
      </c>
      <c r="S47" s="16" t="b">
        <v>0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7" t="str">
        <f t="shared" si="1"/>
        <v>1 dari 31 (3%)</v>
      </c>
    </row>
    <row r="48" ht="22.5" customHeight="1">
      <c r="A48" s="10">
        <v>47.0</v>
      </c>
      <c r="B48" s="18"/>
      <c r="C48" s="22">
        <v>60858.0</v>
      </c>
      <c r="D48" s="12" t="s">
        <v>53</v>
      </c>
      <c r="E48" s="12" t="s">
        <v>139</v>
      </c>
      <c r="F48" s="13"/>
      <c r="G48" s="6" t="b">
        <v>1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1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1</v>
      </c>
      <c r="AJ48" s="6" t="b">
        <v>0</v>
      </c>
      <c r="AK48" s="6" t="b">
        <v>0</v>
      </c>
      <c r="AL48" s="9" t="str">
        <f t="shared" si="1"/>
        <v>15 dari 31 (48%)</v>
      </c>
    </row>
    <row r="49" ht="22.5" customHeight="1">
      <c r="A49" s="2">
        <v>48.0</v>
      </c>
      <c r="B49" s="11"/>
      <c r="C49" s="22">
        <v>52814.0</v>
      </c>
      <c r="D49" s="12" t="s">
        <v>53</v>
      </c>
      <c r="E49" s="12" t="s">
        <v>136</v>
      </c>
      <c r="F49" s="13"/>
      <c r="G49" s="16" t="b">
        <v>1</v>
      </c>
      <c r="H49" s="16" t="b">
        <v>1</v>
      </c>
      <c r="I49" s="16" t="b">
        <v>1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15 dari 31 (48%)</v>
      </c>
    </row>
    <row r="50" ht="22.5" customHeight="1">
      <c r="A50" s="10">
        <v>49.0</v>
      </c>
      <c r="B50" s="11"/>
      <c r="C50" s="22">
        <v>58700.0</v>
      </c>
      <c r="D50" s="12" t="s">
        <v>53</v>
      </c>
      <c r="E50" s="12" t="s">
        <v>136</v>
      </c>
      <c r="F50" s="86" t="s">
        <v>67</v>
      </c>
      <c r="G50" s="6" t="b">
        <v>0</v>
      </c>
      <c r="H50" s="6" t="b">
        <v>0</v>
      </c>
      <c r="I50" s="6" t="b">
        <v>0</v>
      </c>
      <c r="J50" s="6" t="b">
        <v>0</v>
      </c>
      <c r="K50" s="6" t="b">
        <v>0</v>
      </c>
      <c r="L50" s="6" t="b">
        <v>0</v>
      </c>
      <c r="M50" s="6" t="b">
        <v>0</v>
      </c>
      <c r="N50" s="6" t="b">
        <v>0</v>
      </c>
      <c r="O50" s="6" t="b">
        <v>0</v>
      </c>
      <c r="P50" s="6" t="b">
        <v>0</v>
      </c>
      <c r="Q50" s="6" t="b">
        <v>0</v>
      </c>
      <c r="R50" s="6" t="b">
        <v>0</v>
      </c>
      <c r="S50" s="6" t="b">
        <v>0</v>
      </c>
      <c r="T50" s="6" t="b">
        <v>0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0</v>
      </c>
      <c r="AJ50" s="6" t="b">
        <v>0</v>
      </c>
      <c r="AK50" s="6" t="b">
        <v>0</v>
      </c>
      <c r="AL50" s="9" t="str">
        <f t="shared" si="1"/>
        <v>0 dari 31 (0%)</v>
      </c>
    </row>
    <row r="51" ht="22.5" customHeight="1">
      <c r="A51" s="10">
        <v>50.0</v>
      </c>
      <c r="B51" s="11"/>
      <c r="C51" s="22">
        <v>59565.0</v>
      </c>
      <c r="D51" s="12" t="s">
        <v>56</v>
      </c>
      <c r="E51" s="12" t="s">
        <v>88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1</v>
      </c>
      <c r="AJ51" s="6" t="b">
        <v>0</v>
      </c>
      <c r="AK51" s="6" t="b">
        <v>0</v>
      </c>
      <c r="AL51" s="17" t="str">
        <f t="shared" si="1"/>
        <v>15 dari 31 (48%)</v>
      </c>
    </row>
    <row r="52" ht="22.5" customHeight="1">
      <c r="A52" s="2">
        <v>51.0</v>
      </c>
      <c r="B52" s="11"/>
      <c r="C52" s="20">
        <v>61154.0</v>
      </c>
      <c r="D52" s="12" t="s">
        <v>56</v>
      </c>
      <c r="E52" s="12" t="s">
        <v>87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15 dari 31 (48%)</v>
      </c>
    </row>
    <row r="53" ht="22.5" customHeight="1">
      <c r="A53" s="10">
        <v>52.0</v>
      </c>
      <c r="B53" s="11"/>
      <c r="C53" s="20">
        <v>41946.0</v>
      </c>
      <c r="D53" s="12" t="s">
        <v>56</v>
      </c>
      <c r="E53" s="12" t="s">
        <v>112</v>
      </c>
      <c r="F53" s="13"/>
      <c r="G53" s="6" t="b">
        <v>1</v>
      </c>
      <c r="H53" s="6" t="b">
        <v>1</v>
      </c>
      <c r="I53" s="6" t="b">
        <v>1</v>
      </c>
      <c r="J53" s="6" t="b">
        <v>1</v>
      </c>
      <c r="K53" s="6" t="b">
        <v>1</v>
      </c>
      <c r="L53" s="6" t="b">
        <v>1</v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b">
        <v>1</v>
      </c>
      <c r="T53" s="6" t="b">
        <v>1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1</v>
      </c>
      <c r="AJ53" s="6" t="b">
        <v>0</v>
      </c>
      <c r="AK53" s="6" t="b">
        <v>0</v>
      </c>
      <c r="AL53" s="9" t="str">
        <f t="shared" si="1"/>
        <v>15 dari 31 (48%)</v>
      </c>
    </row>
    <row r="54" ht="22.5" customHeight="1">
      <c r="A54" s="10">
        <v>53.0</v>
      </c>
      <c r="B54" s="11"/>
      <c r="C54" s="20">
        <v>54027.0</v>
      </c>
      <c r="D54" s="12" t="s">
        <v>56</v>
      </c>
      <c r="E54" s="12" t="s">
        <v>88</v>
      </c>
      <c r="F54" s="13"/>
      <c r="G54" s="6" t="b">
        <v>1</v>
      </c>
      <c r="H54" s="6" t="b">
        <v>1</v>
      </c>
      <c r="I54" s="6" t="b">
        <v>1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15 dari 31 (48%)</v>
      </c>
    </row>
    <row r="55" ht="22.5" customHeight="1">
      <c r="A55" s="2">
        <v>54.0</v>
      </c>
      <c r="B55" s="11"/>
      <c r="C55" s="20">
        <v>61277.0</v>
      </c>
      <c r="D55" s="12" t="s">
        <v>68</v>
      </c>
      <c r="E55" s="12" t="s">
        <v>69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1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1</v>
      </c>
      <c r="AJ55" s="6" t="b">
        <v>0</v>
      </c>
      <c r="AK55" s="6" t="b">
        <v>0</v>
      </c>
      <c r="AL55" s="9" t="str">
        <f t="shared" si="1"/>
        <v>15 dari 31 (48%)</v>
      </c>
    </row>
    <row r="56" ht="22.5" customHeight="1">
      <c r="A56" s="10">
        <v>55.0</v>
      </c>
      <c r="B56" s="11"/>
      <c r="C56" s="20">
        <v>60907.0</v>
      </c>
      <c r="D56" s="12" t="s">
        <v>68</v>
      </c>
      <c r="E56" s="12" t="s">
        <v>69</v>
      </c>
      <c r="F56" s="13"/>
      <c r="G56" s="6" t="b">
        <v>1</v>
      </c>
      <c r="H56" s="6" t="b">
        <v>1</v>
      </c>
      <c r="I56" s="6" t="b">
        <v>0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1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1"/>
        <v>14 dari 31 (45%)</v>
      </c>
    </row>
    <row r="57" ht="22.5" customHeight="1">
      <c r="A57" s="10">
        <v>56.0</v>
      </c>
      <c r="B57" s="11"/>
      <c r="C57" s="22">
        <v>45984.0</v>
      </c>
      <c r="D57" s="12" t="s">
        <v>63</v>
      </c>
      <c r="E57" s="12" t="s">
        <v>64</v>
      </c>
      <c r="F57" s="14" t="s">
        <v>50</v>
      </c>
      <c r="G57" s="6" t="b">
        <v>1</v>
      </c>
      <c r="H57" s="6" t="b">
        <v>0</v>
      </c>
      <c r="I57" s="6" t="b">
        <v>0</v>
      </c>
      <c r="J57" s="6" t="b">
        <v>0</v>
      </c>
      <c r="K57" s="6" t="b">
        <v>0</v>
      </c>
      <c r="L57" s="6" t="b">
        <v>0</v>
      </c>
      <c r="M57" s="6" t="b">
        <v>0</v>
      </c>
      <c r="N57" s="6" t="b">
        <v>0</v>
      </c>
      <c r="O57" s="6" t="b">
        <v>0</v>
      </c>
      <c r="P57" s="6" t="b">
        <v>0</v>
      </c>
      <c r="Q57" s="6" t="b">
        <v>0</v>
      </c>
      <c r="R57" s="6" t="b">
        <v>0</v>
      </c>
      <c r="S57" s="6" t="b">
        <v>0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1 dari 31 (3%)</v>
      </c>
    </row>
    <row r="58" ht="22.5" customHeight="1">
      <c r="A58" s="2">
        <v>57.0</v>
      </c>
      <c r="B58" s="11"/>
      <c r="C58" s="22">
        <v>57214.0</v>
      </c>
      <c r="D58" s="12" t="s">
        <v>98</v>
      </c>
      <c r="E58" s="12" t="s">
        <v>52</v>
      </c>
      <c r="F58" s="13"/>
      <c r="G58" s="6" t="b">
        <v>1</v>
      </c>
      <c r="H58" s="6" t="b">
        <v>1</v>
      </c>
      <c r="I58" s="6" t="b">
        <v>0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13 dari 31 (42%)</v>
      </c>
    </row>
    <row r="59" ht="22.5" customHeight="1">
      <c r="A59" s="10">
        <v>58.0</v>
      </c>
      <c r="B59" s="11"/>
      <c r="C59" s="22">
        <v>55639.0</v>
      </c>
      <c r="D59" s="12" t="s">
        <v>98</v>
      </c>
      <c r="E59" s="12" t="s">
        <v>65</v>
      </c>
      <c r="F59" s="13"/>
      <c r="G59" s="6" t="b">
        <v>1</v>
      </c>
      <c r="H59" s="6" t="b">
        <v>1</v>
      </c>
      <c r="I59" s="6" t="b">
        <v>0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1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1"/>
        <v>13 dari 31 (42%)</v>
      </c>
    </row>
    <row r="60" ht="22.5" customHeight="1">
      <c r="A60" s="10">
        <v>59.0</v>
      </c>
      <c r="B60" s="11"/>
      <c r="C60" s="22">
        <v>32537.0</v>
      </c>
      <c r="D60" s="12" t="s">
        <v>98</v>
      </c>
      <c r="E60" s="12" t="s">
        <v>65</v>
      </c>
      <c r="F60" s="13"/>
      <c r="G60" s="6" t="b">
        <v>1</v>
      </c>
      <c r="H60" s="6" t="b">
        <v>1</v>
      </c>
      <c r="I60" s="6" t="b">
        <v>0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1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13 dari 31 (42%)</v>
      </c>
    </row>
    <row r="61" ht="22.5" customHeight="1">
      <c r="A61" s="2">
        <v>60.0</v>
      </c>
      <c r="B61" s="11"/>
      <c r="C61" s="22">
        <v>42974.0</v>
      </c>
      <c r="D61" s="12" t="s">
        <v>74</v>
      </c>
      <c r="E61" s="12" t="s">
        <v>96</v>
      </c>
      <c r="F61" s="13"/>
      <c r="G61" s="6" t="b">
        <v>1</v>
      </c>
      <c r="H61" s="6" t="b">
        <v>1</v>
      </c>
      <c r="I61" s="6" t="b">
        <v>0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1"/>
        <v>13 dari 31 (42%)</v>
      </c>
    </row>
    <row r="62" ht="22.5" customHeight="1">
      <c r="A62" s="10">
        <v>61.0</v>
      </c>
      <c r="B62" s="11"/>
      <c r="C62" s="20">
        <v>60725.0</v>
      </c>
      <c r="D62" s="12" t="s">
        <v>98</v>
      </c>
      <c r="E62" s="12" t="s">
        <v>142</v>
      </c>
      <c r="F62" s="13"/>
      <c r="G62" s="6" t="b">
        <v>1</v>
      </c>
      <c r="H62" s="6" t="b">
        <v>1</v>
      </c>
      <c r="I62" s="6" t="b">
        <v>0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0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12 dari 31 (39%)</v>
      </c>
    </row>
    <row r="63" ht="22.5" customHeight="1">
      <c r="A63" s="10">
        <v>62.0</v>
      </c>
      <c r="B63" s="11"/>
      <c r="C63" s="20">
        <v>49085.0</v>
      </c>
      <c r="D63" s="12" t="s">
        <v>98</v>
      </c>
      <c r="E63" s="12" t="s">
        <v>142</v>
      </c>
      <c r="F63" s="13"/>
      <c r="G63" s="6" t="b">
        <v>1</v>
      </c>
      <c r="H63" s="6" t="b">
        <v>1</v>
      </c>
      <c r="I63" s="6" t="b">
        <v>0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1</v>
      </c>
      <c r="S63" s="6" t="b">
        <v>1</v>
      </c>
      <c r="T63" s="6" t="b">
        <v>1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13 dari 31 (42%)</v>
      </c>
    </row>
    <row r="64" ht="22.5" customHeight="1">
      <c r="A64" s="2">
        <v>63.0</v>
      </c>
      <c r="B64" s="11"/>
      <c r="C64" s="20">
        <v>59492.0</v>
      </c>
      <c r="D64" s="12" t="s">
        <v>68</v>
      </c>
      <c r="E64" s="12" t="s">
        <v>69</v>
      </c>
      <c r="F64" s="13"/>
      <c r="G64" s="6" t="b">
        <v>1</v>
      </c>
      <c r="H64" s="6" t="b">
        <v>1</v>
      </c>
      <c r="I64" s="6" t="b">
        <v>1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1</v>
      </c>
      <c r="AJ64" s="6" t="b">
        <v>0</v>
      </c>
      <c r="AK64" s="6" t="b">
        <v>0</v>
      </c>
      <c r="AL64" s="9" t="str">
        <f t="shared" si="1"/>
        <v>14 dari 31 (45%)</v>
      </c>
    </row>
    <row r="65" ht="22.5" customHeight="1">
      <c r="A65" s="10">
        <v>64.0</v>
      </c>
      <c r="B65" s="11"/>
      <c r="C65" s="20">
        <v>60904.0</v>
      </c>
      <c r="D65" s="12" t="s">
        <v>68</v>
      </c>
      <c r="E65" s="12" t="s">
        <v>152</v>
      </c>
      <c r="F65" s="13"/>
      <c r="G65" s="6" t="b">
        <v>1</v>
      </c>
      <c r="H65" s="6" t="b">
        <v>1</v>
      </c>
      <c r="I65" s="6" t="b">
        <v>1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1</v>
      </c>
      <c r="S65" s="6" t="b">
        <v>1</v>
      </c>
      <c r="T65" s="6" t="b">
        <v>1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1</v>
      </c>
      <c r="AJ65" s="6" t="b">
        <v>0</v>
      </c>
      <c r="AK65" s="6" t="b">
        <v>0</v>
      </c>
      <c r="AL65" s="9" t="str">
        <f t="shared" si="1"/>
        <v>15 dari 31 (48%)</v>
      </c>
    </row>
    <row r="66" ht="22.5" customHeight="1">
      <c r="A66" s="10">
        <v>65.0</v>
      </c>
      <c r="B66" s="11"/>
      <c r="C66" s="20">
        <v>60759.0</v>
      </c>
      <c r="D66" s="12" t="s">
        <v>68</v>
      </c>
      <c r="E66" s="12" t="s">
        <v>152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15 dari 31 (48%)</v>
      </c>
    </row>
    <row r="67" ht="22.5" customHeight="1">
      <c r="A67" s="2">
        <v>66.0</v>
      </c>
      <c r="B67" s="11"/>
      <c r="C67" s="22">
        <v>61301.0</v>
      </c>
      <c r="D67" s="12" t="s">
        <v>101</v>
      </c>
      <c r="E67" s="12" t="s">
        <v>106</v>
      </c>
      <c r="F67" s="13"/>
      <c r="G67" s="6" t="b">
        <v>1</v>
      </c>
      <c r="H67" s="6" t="b">
        <v>1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15 dari 31 (48%)</v>
      </c>
    </row>
    <row r="68" ht="22.5" customHeight="1">
      <c r="A68" s="10">
        <v>67.0</v>
      </c>
      <c r="B68" s="11"/>
      <c r="C68" s="22">
        <v>61302.0</v>
      </c>
      <c r="D68" s="12" t="s">
        <v>54</v>
      </c>
      <c r="E68" s="12" t="s">
        <v>76</v>
      </c>
      <c r="F68" s="14" t="s">
        <v>50</v>
      </c>
      <c r="G68" s="6" t="b">
        <v>1</v>
      </c>
      <c r="H68" s="6" t="b">
        <v>0</v>
      </c>
      <c r="I68" s="6" t="b">
        <v>0</v>
      </c>
      <c r="J68" s="6" t="b">
        <v>0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1</v>
      </c>
      <c r="AJ68" s="6" t="b">
        <v>0</v>
      </c>
      <c r="AK68" s="6" t="b">
        <v>0</v>
      </c>
      <c r="AL68" s="9" t="str">
        <f t="shared" si="1"/>
        <v>11 dari 31 (35%)</v>
      </c>
    </row>
    <row r="69" ht="22.5" customHeight="1">
      <c r="A69" s="10">
        <v>68.0</v>
      </c>
      <c r="B69" s="11"/>
      <c r="C69" s="22">
        <v>61303.0</v>
      </c>
      <c r="D69" s="12" t="s">
        <v>98</v>
      </c>
      <c r="E69" s="12" t="s">
        <v>65</v>
      </c>
      <c r="F69" s="13"/>
      <c r="G69" s="6" t="b">
        <v>1</v>
      </c>
      <c r="H69" s="6" t="b">
        <v>1</v>
      </c>
      <c r="I69" s="6" t="b">
        <v>0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1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0</v>
      </c>
      <c r="AJ69" s="6" t="b">
        <v>0</v>
      </c>
      <c r="AK69" s="6" t="b">
        <v>0</v>
      </c>
      <c r="AL69" s="17" t="str">
        <f t="shared" si="1"/>
        <v>13 dari 31 (42%)</v>
      </c>
    </row>
    <row r="70" ht="22.5" customHeight="1">
      <c r="A70" s="2">
        <v>69.0</v>
      </c>
      <c r="B70" s="11"/>
      <c r="C70" s="22">
        <v>61304.0</v>
      </c>
      <c r="D70" s="12" t="s">
        <v>98</v>
      </c>
      <c r="E70" s="12" t="s">
        <v>65</v>
      </c>
      <c r="F70" s="13"/>
      <c r="G70" s="6" t="b">
        <v>1</v>
      </c>
      <c r="H70" s="6" t="b">
        <v>1</v>
      </c>
      <c r="I70" s="6" t="b">
        <v>0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1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13 dari 31 (42%)</v>
      </c>
    </row>
    <row r="71" ht="22.5" customHeight="1">
      <c r="A71" s="10">
        <v>70.0</v>
      </c>
      <c r="B71" s="11"/>
      <c r="C71" s="22">
        <v>35268.0</v>
      </c>
      <c r="D71" s="12" t="s">
        <v>98</v>
      </c>
      <c r="E71" s="12" t="s">
        <v>140</v>
      </c>
      <c r="F71" s="14" t="s">
        <v>50</v>
      </c>
      <c r="G71" s="6" t="b">
        <v>1</v>
      </c>
      <c r="H71" s="6" t="b">
        <v>0</v>
      </c>
      <c r="I71" s="6" t="b">
        <v>0</v>
      </c>
      <c r="J71" s="6" t="b">
        <v>0</v>
      </c>
      <c r="K71" s="6" t="b">
        <v>0</v>
      </c>
      <c r="L71" s="6" t="b">
        <v>0</v>
      </c>
      <c r="M71" s="6" t="b">
        <v>0</v>
      </c>
      <c r="N71" s="6" t="b">
        <v>0</v>
      </c>
      <c r="O71" s="6" t="b">
        <v>0</v>
      </c>
      <c r="P71" s="6" t="b">
        <v>0</v>
      </c>
      <c r="Q71" s="6" t="b">
        <v>0</v>
      </c>
      <c r="R71" s="6" t="b">
        <v>0</v>
      </c>
      <c r="S71" s="6" t="b">
        <v>0</v>
      </c>
      <c r="T71" s="6" t="b">
        <v>0</v>
      </c>
      <c r="U71" s="6" t="b">
        <v>0</v>
      </c>
      <c r="V71" s="6" t="b">
        <v>0</v>
      </c>
      <c r="W71" s="6" t="b">
        <v>1</v>
      </c>
      <c r="X71" s="6" t="b">
        <v>1</v>
      </c>
      <c r="Y71" s="6" t="b">
        <v>1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4 dari 31 (13%)</v>
      </c>
    </row>
    <row r="72" ht="22.5" customHeight="1">
      <c r="A72" s="10">
        <v>71.0</v>
      </c>
      <c r="B72" s="11"/>
      <c r="C72" s="20">
        <v>61306.0</v>
      </c>
      <c r="D72" s="12" t="s">
        <v>39</v>
      </c>
      <c r="E72" s="12" t="s">
        <v>42</v>
      </c>
      <c r="F72" s="13"/>
      <c r="G72" s="6" t="b">
        <v>1</v>
      </c>
      <c r="H72" s="6" t="b">
        <v>1</v>
      </c>
      <c r="I72" s="6" t="b">
        <v>1</v>
      </c>
      <c r="J72" s="6" t="b">
        <v>1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1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1</v>
      </c>
      <c r="AA72" s="6" t="b">
        <v>1</v>
      </c>
      <c r="AB72" s="6" t="b">
        <v>0</v>
      </c>
      <c r="AC72" s="6" t="b">
        <v>0</v>
      </c>
      <c r="AD72" s="6" t="b">
        <v>1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1</v>
      </c>
      <c r="AJ72" s="6" t="b">
        <v>0</v>
      </c>
      <c r="AK72" s="6" t="b">
        <v>0</v>
      </c>
      <c r="AL72" s="17" t="str">
        <f t="shared" si="1"/>
        <v>18 dari 31 (58%)</v>
      </c>
    </row>
    <row r="73" ht="22.5" customHeight="1">
      <c r="A73" s="2">
        <v>72.0</v>
      </c>
      <c r="B73" s="11"/>
      <c r="C73" s="20">
        <v>60294.0</v>
      </c>
      <c r="D73" s="12" t="s">
        <v>39</v>
      </c>
      <c r="E73" s="12" t="s">
        <v>42</v>
      </c>
      <c r="F73" s="13"/>
      <c r="G73" s="6" t="b">
        <v>1</v>
      </c>
      <c r="H73" s="6" t="b">
        <v>1</v>
      </c>
      <c r="I73" s="6" t="b">
        <v>1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0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13 dari 31 (42%)</v>
      </c>
    </row>
    <row r="74" ht="22.5" customHeight="1">
      <c r="A74" s="10">
        <v>73.0</v>
      </c>
      <c r="B74" s="11"/>
      <c r="C74" s="20">
        <v>61161.0</v>
      </c>
      <c r="D74" s="12" t="s">
        <v>39</v>
      </c>
      <c r="E74" s="12" t="s">
        <v>42</v>
      </c>
      <c r="F74" s="13"/>
      <c r="G74" s="6" t="b">
        <v>1</v>
      </c>
      <c r="H74" s="6" t="b">
        <v>1</v>
      </c>
      <c r="I74" s="6" t="b">
        <v>0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1</v>
      </c>
      <c r="U74" s="6" t="b">
        <v>0</v>
      </c>
      <c r="V74" s="6" t="b">
        <v>0</v>
      </c>
      <c r="W74" s="6" t="b">
        <v>1</v>
      </c>
      <c r="X74" s="6" t="b">
        <v>1</v>
      </c>
      <c r="Y74" s="6" t="b">
        <v>1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1</v>
      </c>
      <c r="AF74" s="6" t="b">
        <v>1</v>
      </c>
      <c r="AG74" s="6" t="b">
        <v>1</v>
      </c>
      <c r="AH74" s="6" t="b">
        <v>1</v>
      </c>
      <c r="AI74" s="6" t="b">
        <v>1</v>
      </c>
      <c r="AJ74" s="6" t="b">
        <v>0</v>
      </c>
      <c r="AK74" s="6" t="b">
        <v>0</v>
      </c>
      <c r="AL74" s="9" t="str">
        <f t="shared" si="1"/>
        <v>21 dari 31 (68%)</v>
      </c>
    </row>
    <row r="75" ht="22.5" customHeight="1">
      <c r="A75" s="10">
        <v>74.0</v>
      </c>
      <c r="B75" s="11"/>
      <c r="C75" s="20">
        <v>61305.0</v>
      </c>
      <c r="D75" s="12" t="s">
        <v>74</v>
      </c>
      <c r="E75" s="12" t="s">
        <v>96</v>
      </c>
      <c r="F75" s="13"/>
      <c r="G75" s="6" t="b">
        <v>1</v>
      </c>
      <c r="H75" s="6" t="b">
        <v>1</v>
      </c>
      <c r="I75" s="6" t="b">
        <v>0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13 dari 31 (42%)</v>
      </c>
    </row>
    <row r="76" ht="22.5" customHeight="1">
      <c r="A76" s="2">
        <v>75.0</v>
      </c>
      <c r="B76" s="11"/>
      <c r="C76" s="20">
        <v>58553.0</v>
      </c>
      <c r="D76" s="12" t="s">
        <v>101</v>
      </c>
      <c r="E76" s="12" t="s">
        <v>106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1</v>
      </c>
      <c r="U76" s="6" t="b">
        <v>0</v>
      </c>
      <c r="V76" s="6" t="b">
        <v>0</v>
      </c>
      <c r="W76" s="6" t="b">
        <v>1</v>
      </c>
      <c r="X76" s="6" t="b">
        <v>1</v>
      </c>
      <c r="Y76" s="6" t="b">
        <v>1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0</v>
      </c>
      <c r="AJ76" s="6" t="b">
        <v>0</v>
      </c>
      <c r="AK76" s="6" t="b">
        <v>0</v>
      </c>
      <c r="AL76" s="9" t="str">
        <f t="shared" si="1"/>
        <v>17 dari 31 (55%)</v>
      </c>
    </row>
    <row r="77" ht="22.5" customHeight="1">
      <c r="A77" s="10">
        <v>76.0</v>
      </c>
      <c r="B77" s="11"/>
      <c r="C77" s="22">
        <v>60225.0</v>
      </c>
      <c r="D77" s="12" t="s">
        <v>101</v>
      </c>
      <c r="E77" s="12" t="s">
        <v>106</v>
      </c>
      <c r="F77" s="13"/>
      <c r="G77" s="6" t="b">
        <v>1</v>
      </c>
      <c r="H77" s="6" t="b">
        <v>1</v>
      </c>
      <c r="I77" s="6" t="b">
        <v>1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1</v>
      </c>
      <c r="U77" s="6" t="b">
        <v>0</v>
      </c>
      <c r="V77" s="6" t="b">
        <v>0</v>
      </c>
      <c r="W77" s="6" t="b">
        <v>1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15 dari 31 (48%)</v>
      </c>
    </row>
    <row r="78" ht="22.5" customHeight="1">
      <c r="A78" s="10">
        <v>77.0</v>
      </c>
      <c r="B78" s="11"/>
      <c r="C78" s="22">
        <v>52937.0</v>
      </c>
      <c r="D78" s="12" t="s">
        <v>74</v>
      </c>
      <c r="E78" s="12" t="s">
        <v>96</v>
      </c>
      <c r="F78" s="13"/>
      <c r="G78" s="6" t="b">
        <v>1</v>
      </c>
      <c r="H78" s="6" t="b">
        <v>1</v>
      </c>
      <c r="I78" s="6" t="b">
        <v>0</v>
      </c>
      <c r="J78" s="6" t="b">
        <v>1</v>
      </c>
      <c r="K78" s="6" t="b">
        <v>1</v>
      </c>
      <c r="L78" s="6" t="b">
        <v>1</v>
      </c>
      <c r="M78" s="6" t="b">
        <v>1</v>
      </c>
      <c r="N78" s="6" t="b">
        <v>1</v>
      </c>
      <c r="O78" s="6" t="b">
        <v>1</v>
      </c>
      <c r="P78" s="6" t="b">
        <v>1</v>
      </c>
      <c r="Q78" s="6" t="b">
        <v>1</v>
      </c>
      <c r="R78" s="6" t="b">
        <v>1</v>
      </c>
      <c r="S78" s="6" t="b">
        <v>1</v>
      </c>
      <c r="T78" s="6" t="b">
        <v>1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0</v>
      </c>
      <c r="AJ78" s="6" t="b">
        <v>0</v>
      </c>
      <c r="AK78" s="6" t="b">
        <v>0</v>
      </c>
      <c r="AL78" s="17" t="str">
        <f t="shared" si="1"/>
        <v>13 dari 31 (42%)</v>
      </c>
    </row>
    <row r="79" ht="22.5" customHeight="1">
      <c r="A79" s="2">
        <v>78.0</v>
      </c>
      <c r="B79" s="11"/>
      <c r="C79" s="22">
        <v>48156.0</v>
      </c>
      <c r="D79" s="12" t="s">
        <v>74</v>
      </c>
      <c r="E79" s="12" t="s">
        <v>96</v>
      </c>
      <c r="F79" s="13"/>
      <c r="G79" s="6" t="b">
        <v>1</v>
      </c>
      <c r="H79" s="6" t="b">
        <v>1</v>
      </c>
      <c r="I79" s="6" t="b">
        <v>0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1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13 dari 31 (42%)</v>
      </c>
    </row>
    <row r="80" ht="22.5" customHeight="1">
      <c r="A80" s="10">
        <v>79.0</v>
      </c>
      <c r="B80" s="11"/>
      <c r="C80" s="22">
        <v>57213.0</v>
      </c>
      <c r="D80" s="12" t="s">
        <v>74</v>
      </c>
      <c r="E80" s="12" t="s">
        <v>96</v>
      </c>
      <c r="F80" s="13"/>
      <c r="G80" s="6" t="b">
        <v>1</v>
      </c>
      <c r="H80" s="6" t="b">
        <v>1</v>
      </c>
      <c r="I80" s="6" t="b">
        <v>0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1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0</v>
      </c>
      <c r="AJ80" s="6" t="b">
        <v>0</v>
      </c>
      <c r="AK80" s="6" t="b">
        <v>0</v>
      </c>
      <c r="AL80" s="9" t="str">
        <f t="shared" si="1"/>
        <v>13 dari 31 (42%)</v>
      </c>
    </row>
    <row r="81" ht="22.5" customHeight="1">
      <c r="A81" s="10">
        <v>80.0</v>
      </c>
      <c r="B81" s="11"/>
      <c r="C81" s="22">
        <v>49203.0</v>
      </c>
      <c r="D81" s="12" t="s">
        <v>74</v>
      </c>
      <c r="E81" s="12" t="s">
        <v>96</v>
      </c>
      <c r="F81" s="13"/>
      <c r="G81" s="6" t="b">
        <v>1</v>
      </c>
      <c r="H81" s="6" t="b">
        <v>1</v>
      </c>
      <c r="I81" s="6" t="b">
        <v>0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1</v>
      </c>
      <c r="S81" s="6" t="b">
        <v>1</v>
      </c>
      <c r="T81" s="6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13 dari 31 (42%)</v>
      </c>
    </row>
    <row r="82" ht="22.5" customHeight="1">
      <c r="A82" s="2">
        <v>81.0</v>
      </c>
      <c r="B82" s="11"/>
      <c r="C82" s="20">
        <v>58869.0</v>
      </c>
      <c r="D82" s="12" t="s">
        <v>98</v>
      </c>
      <c r="E82" s="12" t="s">
        <v>65</v>
      </c>
      <c r="F82" s="13"/>
      <c r="G82" s="6" t="b">
        <v>1</v>
      </c>
      <c r="H82" s="6" t="b">
        <v>1</v>
      </c>
      <c r="I82" s="6" t="b">
        <v>0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1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0</v>
      </c>
      <c r="AJ82" s="6" t="b">
        <v>0</v>
      </c>
      <c r="AK82" s="6" t="b">
        <v>0</v>
      </c>
      <c r="AL82" s="9" t="str">
        <f t="shared" si="1"/>
        <v>13 dari 31 (42%)</v>
      </c>
    </row>
    <row r="83" ht="22.5" customHeight="1">
      <c r="A83" s="10">
        <v>82.0</v>
      </c>
      <c r="B83" s="11"/>
      <c r="C83" s="20">
        <v>49266.0</v>
      </c>
      <c r="D83" s="12" t="s">
        <v>74</v>
      </c>
      <c r="E83" s="12" t="s">
        <v>96</v>
      </c>
      <c r="F83" s="13"/>
      <c r="G83" s="6" t="b">
        <v>1</v>
      </c>
      <c r="H83" s="6" t="b">
        <v>1</v>
      </c>
      <c r="I83" s="6" t="b">
        <v>0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1</v>
      </c>
      <c r="S83" s="6" t="b">
        <v>1</v>
      </c>
      <c r="T83" s="6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0</v>
      </c>
      <c r="AJ83" s="6" t="b">
        <v>0</v>
      </c>
      <c r="AK83" s="6" t="b">
        <v>0</v>
      </c>
      <c r="AL83" s="9" t="str">
        <f t="shared" si="1"/>
        <v>13 dari 31 (42%)</v>
      </c>
    </row>
    <row r="84" ht="22.5" customHeight="1">
      <c r="A84" s="10">
        <v>83.0</v>
      </c>
      <c r="B84" s="11"/>
      <c r="C84" s="20">
        <v>32441.0</v>
      </c>
      <c r="D84" s="12" t="s">
        <v>74</v>
      </c>
      <c r="E84" s="12" t="s">
        <v>169</v>
      </c>
      <c r="F84" s="13"/>
      <c r="G84" s="6" t="b">
        <v>1</v>
      </c>
      <c r="H84" s="6" t="b">
        <v>1</v>
      </c>
      <c r="I84" s="6" t="b">
        <v>0</v>
      </c>
      <c r="J84" s="6" t="b">
        <v>1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1</v>
      </c>
      <c r="P84" s="6" t="b">
        <v>1</v>
      </c>
      <c r="Q84" s="6" t="b">
        <v>1</v>
      </c>
      <c r="R84" s="6" t="b">
        <v>1</v>
      </c>
      <c r="S84" s="6" t="b">
        <v>1</v>
      </c>
      <c r="T84" s="6" t="b">
        <v>1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13 dari 31 (42%)</v>
      </c>
    </row>
    <row r="85" ht="22.5" customHeight="1">
      <c r="A85" s="2">
        <v>84.0</v>
      </c>
      <c r="B85" s="11"/>
      <c r="C85" s="20">
        <v>38065.0</v>
      </c>
      <c r="D85" s="12" t="s">
        <v>98</v>
      </c>
      <c r="E85" s="12" t="s">
        <v>52</v>
      </c>
      <c r="F85" s="13"/>
      <c r="G85" s="6" t="b">
        <v>1</v>
      </c>
      <c r="H85" s="6" t="b">
        <v>1</v>
      </c>
      <c r="I85" s="6" t="b">
        <v>0</v>
      </c>
      <c r="J85" s="6" t="b">
        <v>1</v>
      </c>
      <c r="K85" s="6" t="b">
        <v>1</v>
      </c>
      <c r="L85" s="6" t="b">
        <v>1</v>
      </c>
      <c r="M85" s="6" t="b">
        <v>1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1</v>
      </c>
      <c r="S85" s="6" t="b">
        <v>1</v>
      </c>
      <c r="T85" s="6" t="b">
        <v>1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1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0</v>
      </c>
      <c r="AJ85" s="6" t="b">
        <v>0</v>
      </c>
      <c r="AK85" s="6" t="b">
        <v>0</v>
      </c>
      <c r="AL85" s="9" t="str">
        <f t="shared" si="1"/>
        <v>14 dari 31 (45%)</v>
      </c>
    </row>
    <row r="86" ht="22.5" customHeight="1">
      <c r="A86" s="10">
        <v>85.0</v>
      </c>
      <c r="B86" s="11"/>
      <c r="C86" s="20">
        <v>57381.0</v>
      </c>
      <c r="D86" s="12" t="s">
        <v>68</v>
      </c>
      <c r="E86" s="12" t="s">
        <v>69</v>
      </c>
      <c r="F86" s="13"/>
      <c r="G86" s="6" t="b">
        <v>1</v>
      </c>
      <c r="H86" s="6" t="b">
        <v>1</v>
      </c>
      <c r="I86" s="6" t="b">
        <v>1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0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1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14 dari 31 (45%)</v>
      </c>
    </row>
    <row r="87" ht="22.5" customHeight="1">
      <c r="A87" s="10">
        <v>86.0</v>
      </c>
      <c r="B87" s="11"/>
      <c r="C87" s="22">
        <v>57854.0</v>
      </c>
      <c r="D87" s="12" t="s">
        <v>68</v>
      </c>
      <c r="E87" s="12" t="s">
        <v>69</v>
      </c>
      <c r="F87" s="13"/>
      <c r="G87" s="6" t="b">
        <v>1</v>
      </c>
      <c r="H87" s="6" t="b">
        <v>1</v>
      </c>
      <c r="I87" s="6" t="b">
        <v>1</v>
      </c>
      <c r="J87" s="6" t="b">
        <v>1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1</v>
      </c>
      <c r="Q87" s="6" t="b">
        <v>1</v>
      </c>
      <c r="R87" s="6" t="b">
        <v>1</v>
      </c>
      <c r="S87" s="6" t="b">
        <v>1</v>
      </c>
      <c r="T87" s="6" t="b">
        <v>0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1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14 dari 31 (45%)</v>
      </c>
    </row>
    <row r="88" ht="22.5" customHeight="1">
      <c r="A88" s="2">
        <v>87.0</v>
      </c>
      <c r="B88" s="11"/>
      <c r="C88" s="22">
        <v>58703.0</v>
      </c>
      <c r="D88" s="12" t="s">
        <v>68</v>
      </c>
      <c r="E88" s="12" t="s">
        <v>69</v>
      </c>
      <c r="F88" s="13"/>
      <c r="G88" s="6" t="b">
        <v>1</v>
      </c>
      <c r="H88" s="6" t="b">
        <v>1</v>
      </c>
      <c r="I88" s="6" t="b">
        <v>1</v>
      </c>
      <c r="J88" s="6" t="b">
        <v>1</v>
      </c>
      <c r="K88" s="6" t="b">
        <v>1</v>
      </c>
      <c r="L88" s="6" t="b">
        <v>1</v>
      </c>
      <c r="M88" s="6" t="b">
        <v>1</v>
      </c>
      <c r="N88" s="6" t="b">
        <v>1</v>
      </c>
      <c r="O88" s="6" t="b">
        <v>1</v>
      </c>
      <c r="P88" s="6" t="b">
        <v>1</v>
      </c>
      <c r="Q88" s="6" t="b">
        <v>1</v>
      </c>
      <c r="R88" s="6" t="b">
        <v>1</v>
      </c>
      <c r="S88" s="6" t="b">
        <v>1</v>
      </c>
      <c r="T88" s="6" t="b">
        <v>0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1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14 dari 31 (45%)</v>
      </c>
    </row>
    <row r="89" ht="22.5" customHeight="1">
      <c r="A89" s="10">
        <v>88.0</v>
      </c>
      <c r="B89" s="11"/>
      <c r="C89" s="22">
        <v>39821.0</v>
      </c>
      <c r="D89" s="12" t="s">
        <v>68</v>
      </c>
      <c r="E89" s="12" t="s">
        <v>152</v>
      </c>
      <c r="F89" s="13"/>
      <c r="G89" s="6" t="b">
        <v>1</v>
      </c>
      <c r="H89" s="6" t="b">
        <v>1</v>
      </c>
      <c r="I89" s="6" t="b">
        <v>1</v>
      </c>
      <c r="J89" s="6" t="b">
        <v>1</v>
      </c>
      <c r="K89" s="6" t="b">
        <v>1</v>
      </c>
      <c r="L89" s="6" t="b">
        <v>1</v>
      </c>
      <c r="M89" s="6" t="b">
        <v>1</v>
      </c>
      <c r="N89" s="6" t="b">
        <v>1</v>
      </c>
      <c r="O89" s="6" t="b">
        <v>1</v>
      </c>
      <c r="P89" s="6" t="b">
        <v>1</v>
      </c>
      <c r="Q89" s="6" t="b">
        <v>1</v>
      </c>
      <c r="R89" s="6" t="b">
        <v>1</v>
      </c>
      <c r="S89" s="6" t="b">
        <v>1</v>
      </c>
      <c r="T89" s="6" t="b">
        <v>1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1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15 dari 31 (48%)</v>
      </c>
    </row>
    <row r="90" ht="22.5" customHeight="1">
      <c r="A90" s="10">
        <v>89.0</v>
      </c>
      <c r="B90" s="11"/>
      <c r="C90" s="22">
        <v>61148.0</v>
      </c>
      <c r="D90" s="12" t="s">
        <v>68</v>
      </c>
      <c r="E90" s="12" t="s">
        <v>152</v>
      </c>
      <c r="F90" s="13"/>
      <c r="G90" s="6" t="b">
        <v>1</v>
      </c>
      <c r="H90" s="6" t="b">
        <v>1</v>
      </c>
      <c r="I90" s="6" t="b">
        <v>1</v>
      </c>
      <c r="J90" s="6" t="b">
        <v>1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1</v>
      </c>
      <c r="S90" s="6" t="b">
        <v>1</v>
      </c>
      <c r="T90" s="6" t="b">
        <v>1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1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15 dari 31 (48%)</v>
      </c>
    </row>
    <row r="91" ht="22.5" customHeight="1">
      <c r="A91" s="2">
        <v>90.0</v>
      </c>
      <c r="B91" s="11"/>
      <c r="C91" s="22">
        <v>30769.0</v>
      </c>
      <c r="D91" s="12" t="s">
        <v>74</v>
      </c>
      <c r="E91" s="12" t="s">
        <v>170</v>
      </c>
      <c r="F91" s="13"/>
      <c r="G91" s="6" t="b">
        <v>1</v>
      </c>
      <c r="H91" s="6" t="b">
        <v>1</v>
      </c>
      <c r="I91" s="6" t="b">
        <v>0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1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1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0</v>
      </c>
      <c r="AJ91" s="6" t="b">
        <v>0</v>
      </c>
      <c r="AK91" s="6" t="b">
        <v>0</v>
      </c>
      <c r="AL91" s="9" t="str">
        <f t="shared" si="1"/>
        <v>14 dari 31 (45%)</v>
      </c>
    </row>
    <row r="92" ht="22.5" customHeight="1">
      <c r="A92" s="10">
        <v>91.0</v>
      </c>
      <c r="B92" s="11"/>
      <c r="C92" s="20">
        <v>57712.0</v>
      </c>
      <c r="D92" s="12" t="s">
        <v>74</v>
      </c>
      <c r="E92" s="12" t="s">
        <v>96</v>
      </c>
      <c r="F92" s="13"/>
      <c r="G92" s="6" t="b">
        <v>1</v>
      </c>
      <c r="H92" s="6" t="b">
        <v>1</v>
      </c>
      <c r="I92" s="6" t="b">
        <v>0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1</v>
      </c>
      <c r="S92" s="6" t="b">
        <v>1</v>
      </c>
      <c r="T92" s="6" t="b">
        <v>1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0</v>
      </c>
      <c r="AJ92" s="6" t="b">
        <v>0</v>
      </c>
      <c r="AK92" s="6" t="b">
        <v>0</v>
      </c>
      <c r="AL92" s="9" t="str">
        <f t="shared" si="1"/>
        <v>13 dari 31 (42%)</v>
      </c>
    </row>
    <row r="93" ht="22.5" customHeight="1">
      <c r="A93" s="10">
        <v>92.0</v>
      </c>
      <c r="B93" s="11"/>
      <c r="C93" s="20">
        <v>33491.0</v>
      </c>
      <c r="D93" s="12" t="s">
        <v>74</v>
      </c>
      <c r="E93" s="12" t="s">
        <v>96</v>
      </c>
      <c r="F93" s="13"/>
      <c r="G93" s="6" t="b">
        <v>1</v>
      </c>
      <c r="H93" s="6" t="b">
        <v>1</v>
      </c>
      <c r="I93" s="6" t="b">
        <v>0</v>
      </c>
      <c r="J93" s="6" t="b">
        <v>1</v>
      </c>
      <c r="K93" s="6" t="b">
        <v>1</v>
      </c>
      <c r="L93" s="6" t="b">
        <v>1</v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1</v>
      </c>
      <c r="S93" s="6" t="b">
        <v>1</v>
      </c>
      <c r="T93" s="6" t="b">
        <v>1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0</v>
      </c>
      <c r="AJ93" s="6" t="b">
        <v>0</v>
      </c>
      <c r="AK93" s="6" t="b">
        <v>0</v>
      </c>
      <c r="AL93" s="17" t="str">
        <f t="shared" si="1"/>
        <v>13 dari 31 (42%)</v>
      </c>
    </row>
    <row r="94" ht="22.5" customHeight="1">
      <c r="A94" s="2">
        <v>93.0</v>
      </c>
      <c r="B94" s="11"/>
      <c r="C94" s="20">
        <v>21118.0</v>
      </c>
      <c r="D94" s="12" t="s">
        <v>41</v>
      </c>
      <c r="E94" s="12" t="s">
        <v>48</v>
      </c>
      <c r="F94" s="14" t="s">
        <v>50</v>
      </c>
      <c r="G94" s="6" t="b">
        <v>1</v>
      </c>
      <c r="H94" s="6" t="b">
        <v>0</v>
      </c>
      <c r="I94" s="6" t="b">
        <v>0</v>
      </c>
      <c r="J94" s="6" t="b">
        <v>0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0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0</v>
      </c>
      <c r="AJ94" s="6" t="b">
        <v>0</v>
      </c>
      <c r="AK94" s="6" t="b">
        <v>0</v>
      </c>
      <c r="AL94" s="9" t="str">
        <f t="shared" si="1"/>
        <v>10 dari 31 (32%)</v>
      </c>
    </row>
    <row r="95" ht="22.5" customHeight="1">
      <c r="A95" s="10">
        <v>94.0</v>
      </c>
      <c r="B95" s="11"/>
      <c r="C95" s="20">
        <v>61307.0</v>
      </c>
      <c r="D95" s="12" t="s">
        <v>63</v>
      </c>
      <c r="E95" s="12" t="s">
        <v>64</v>
      </c>
      <c r="F95" s="13"/>
      <c r="G95" s="6" t="b">
        <v>1</v>
      </c>
      <c r="H95" s="6" t="b">
        <v>1</v>
      </c>
      <c r="I95" s="6" t="b">
        <v>1</v>
      </c>
      <c r="J95" s="6" t="b">
        <v>1</v>
      </c>
      <c r="K95" s="6" t="b">
        <v>1</v>
      </c>
      <c r="L95" s="6" t="b">
        <v>1</v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1</v>
      </c>
      <c r="S95" s="6" t="b">
        <v>1</v>
      </c>
      <c r="T95" s="6" t="b">
        <v>1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1</v>
      </c>
      <c r="AA95" s="6" t="b">
        <v>1</v>
      </c>
      <c r="AB95" s="6" t="b">
        <v>0</v>
      </c>
      <c r="AC95" s="6" t="b">
        <v>0</v>
      </c>
      <c r="AD95" s="6" t="b">
        <v>1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1</v>
      </c>
      <c r="AJ95" s="6" t="b">
        <v>0</v>
      </c>
      <c r="AK95" s="6" t="b">
        <v>0</v>
      </c>
      <c r="AL95" s="9" t="str">
        <f t="shared" si="1"/>
        <v>18 dari 31 (58%)</v>
      </c>
    </row>
    <row r="96" ht="22.5" customHeight="1">
      <c r="A96" s="10">
        <v>95.0</v>
      </c>
      <c r="B96" s="11"/>
      <c r="C96" s="20">
        <v>61157.0</v>
      </c>
      <c r="D96" s="12" t="s">
        <v>63</v>
      </c>
      <c r="E96" s="12" t="s">
        <v>64</v>
      </c>
      <c r="F96" s="13"/>
      <c r="G96" s="6" t="b">
        <v>1</v>
      </c>
      <c r="H96" s="6" t="b">
        <v>1</v>
      </c>
      <c r="I96" s="6" t="b">
        <v>1</v>
      </c>
      <c r="J96" s="6" t="b">
        <v>1</v>
      </c>
      <c r="K96" s="6" t="b">
        <v>1</v>
      </c>
      <c r="L96" s="6" t="b">
        <v>1</v>
      </c>
      <c r="M96" s="6" t="b">
        <v>1</v>
      </c>
      <c r="N96" s="6" t="b">
        <v>1</v>
      </c>
      <c r="O96" s="6" t="b">
        <v>1</v>
      </c>
      <c r="P96" s="6" t="b">
        <v>1</v>
      </c>
      <c r="Q96" s="6" t="b">
        <v>1</v>
      </c>
      <c r="R96" s="6" t="b">
        <v>1</v>
      </c>
      <c r="S96" s="6" t="b">
        <v>1</v>
      </c>
      <c r="T96" s="6" t="b">
        <v>1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1</v>
      </c>
      <c r="AJ96" s="6" t="b">
        <v>0</v>
      </c>
      <c r="AK96" s="6" t="b">
        <v>0</v>
      </c>
      <c r="AL96" s="17" t="str">
        <f t="shared" si="1"/>
        <v>15 dari 31 (48%)</v>
      </c>
    </row>
    <row r="97" ht="22.5" customHeight="1">
      <c r="A97" s="2">
        <v>96.0</v>
      </c>
      <c r="B97" s="11"/>
      <c r="C97" s="22">
        <v>35747.0</v>
      </c>
      <c r="D97" s="12" t="s">
        <v>74</v>
      </c>
      <c r="E97" s="12" t="s">
        <v>96</v>
      </c>
      <c r="F97" s="13"/>
      <c r="G97" s="6" t="b">
        <v>1</v>
      </c>
      <c r="H97" s="6" t="b">
        <v>1</v>
      </c>
      <c r="I97" s="6" t="b">
        <v>0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1</v>
      </c>
      <c r="S97" s="6" t="b">
        <v>1</v>
      </c>
      <c r="T97" s="6" t="b">
        <v>1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0</v>
      </c>
      <c r="AJ97" s="6" t="b">
        <v>0</v>
      </c>
      <c r="AK97" s="6" t="b">
        <v>0</v>
      </c>
      <c r="AL97" s="9" t="str">
        <f t="shared" si="1"/>
        <v>13 dari 31 (42%)</v>
      </c>
    </row>
    <row r="98" ht="22.5" customHeight="1">
      <c r="A98" s="10">
        <v>97.0</v>
      </c>
      <c r="B98" s="11"/>
      <c r="C98" s="22">
        <v>60126.0</v>
      </c>
      <c r="D98" s="12" t="s">
        <v>54</v>
      </c>
      <c r="E98" s="12" t="s">
        <v>82</v>
      </c>
      <c r="F98" s="14" t="s">
        <v>50</v>
      </c>
      <c r="G98" s="6" t="b">
        <v>1</v>
      </c>
      <c r="H98" s="6" t="b">
        <v>0</v>
      </c>
      <c r="I98" s="6" t="b">
        <v>0</v>
      </c>
      <c r="J98" s="6" t="b">
        <v>0</v>
      </c>
      <c r="K98" s="6" t="b">
        <v>0</v>
      </c>
      <c r="L98" s="6" t="b">
        <v>0</v>
      </c>
      <c r="M98" s="6" t="b">
        <v>0</v>
      </c>
      <c r="N98" s="6" t="b">
        <v>0</v>
      </c>
      <c r="O98" s="6" t="b">
        <v>0</v>
      </c>
      <c r="P98" s="6" t="b">
        <v>0</v>
      </c>
      <c r="Q98" s="6" t="b">
        <v>0</v>
      </c>
      <c r="R98" s="6" t="b">
        <v>1</v>
      </c>
      <c r="S98" s="6" t="b">
        <v>1</v>
      </c>
      <c r="T98" s="6" t="b">
        <v>0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3 dari 31 (10%)</v>
      </c>
    </row>
    <row r="99" ht="22.5" customHeight="1">
      <c r="A99" s="10">
        <v>98.0</v>
      </c>
      <c r="B99" s="11"/>
      <c r="C99" s="22">
        <v>61308.0</v>
      </c>
      <c r="D99" s="12" t="s">
        <v>53</v>
      </c>
      <c r="E99" s="12" t="s">
        <v>92</v>
      </c>
      <c r="F99" s="14" t="s">
        <v>50</v>
      </c>
      <c r="G99" s="6" t="b">
        <v>1</v>
      </c>
      <c r="H99" s="6" t="b">
        <v>0</v>
      </c>
      <c r="I99" s="6" t="b">
        <v>0</v>
      </c>
      <c r="J99" s="6" t="b">
        <v>1</v>
      </c>
      <c r="K99" s="6" t="b">
        <v>1</v>
      </c>
      <c r="L99" s="6" t="b">
        <v>1</v>
      </c>
      <c r="M99" s="6" t="b">
        <v>1</v>
      </c>
      <c r="N99" s="6" t="b">
        <v>1</v>
      </c>
      <c r="O99" s="6" t="b">
        <v>1</v>
      </c>
      <c r="P99" s="6" t="b">
        <v>1</v>
      </c>
      <c r="Q99" s="6" t="b">
        <v>1</v>
      </c>
      <c r="R99" s="6" t="b">
        <v>1</v>
      </c>
      <c r="S99" s="6" t="b">
        <v>1</v>
      </c>
      <c r="T99" s="6" t="b">
        <v>0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1</v>
      </c>
      <c r="AA99" s="6" t="b">
        <v>1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13 dari 31 (42%)</v>
      </c>
    </row>
    <row r="100" ht="22.5" customHeight="1">
      <c r="A100" s="2">
        <v>99.0</v>
      </c>
      <c r="B100" s="11"/>
      <c r="C100" s="22">
        <v>61009.0</v>
      </c>
      <c r="D100" s="12" t="s">
        <v>63</v>
      </c>
      <c r="E100" s="12" t="s">
        <v>64</v>
      </c>
      <c r="F100" s="13"/>
      <c r="G100" s="6" t="b">
        <v>1</v>
      </c>
      <c r="H100" s="6" t="b">
        <v>1</v>
      </c>
      <c r="I100" s="6" t="b">
        <v>1</v>
      </c>
      <c r="J100" s="6" t="b">
        <v>1</v>
      </c>
      <c r="K100" s="6" t="b">
        <v>1</v>
      </c>
      <c r="L100" s="6" t="b">
        <v>1</v>
      </c>
      <c r="M100" s="6" t="b">
        <v>1</v>
      </c>
      <c r="N100" s="6" t="b">
        <v>1</v>
      </c>
      <c r="O100" s="6" t="b">
        <v>1</v>
      </c>
      <c r="P100" s="6" t="b">
        <v>1</v>
      </c>
      <c r="Q100" s="6" t="b">
        <v>1</v>
      </c>
      <c r="R100" s="6" t="b">
        <v>1</v>
      </c>
      <c r="S100" s="6" t="b">
        <v>1</v>
      </c>
      <c r="T100" s="6" t="b">
        <v>1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1</v>
      </c>
      <c r="AJ100" s="6" t="b">
        <v>0</v>
      </c>
      <c r="AK100" s="6" t="b">
        <v>0</v>
      </c>
      <c r="AL100" s="9" t="str">
        <f t="shared" si="1"/>
        <v>15 dari 31 (48%)</v>
      </c>
    </row>
    <row r="101" ht="22.5" customHeight="1">
      <c r="A101" s="10">
        <v>100.0</v>
      </c>
      <c r="B101" s="11"/>
      <c r="C101" s="22">
        <v>48735.0</v>
      </c>
      <c r="D101" s="12" t="s">
        <v>85</v>
      </c>
      <c r="E101" s="12" t="s">
        <v>138</v>
      </c>
      <c r="F101" s="13"/>
      <c r="G101" s="6" t="b">
        <v>1</v>
      </c>
      <c r="H101" s="6" t="b">
        <v>1</v>
      </c>
      <c r="I101" s="6" t="b">
        <v>1</v>
      </c>
      <c r="J101" s="6" t="b">
        <v>1</v>
      </c>
      <c r="K101" s="6" t="b">
        <v>1</v>
      </c>
      <c r="L101" s="6" t="b">
        <v>1</v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b">
        <v>1</v>
      </c>
      <c r="T101" s="6" t="b">
        <v>1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1</v>
      </c>
      <c r="AA101" s="6" t="b">
        <v>1</v>
      </c>
      <c r="AB101" s="6" t="b">
        <v>0</v>
      </c>
      <c r="AC101" s="6" t="b">
        <v>0</v>
      </c>
      <c r="AD101" s="6" t="b">
        <v>1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1</v>
      </c>
      <c r="AJ101" s="6" t="b">
        <v>0</v>
      </c>
      <c r="AK101" s="6" t="b">
        <v>0</v>
      </c>
      <c r="AL101" s="9" t="str">
        <f t="shared" si="1"/>
        <v>18 dari 31 (58%)</v>
      </c>
    </row>
    <row r="102" ht="22.5" customHeight="1">
      <c r="A102" s="10">
        <v>101.0</v>
      </c>
      <c r="B102" s="11"/>
      <c r="C102" s="20">
        <v>55216.0</v>
      </c>
      <c r="D102" s="12" t="s">
        <v>40</v>
      </c>
      <c r="E102" s="12" t="s">
        <v>49</v>
      </c>
      <c r="F102" s="13"/>
      <c r="G102" s="6" t="b">
        <v>1</v>
      </c>
      <c r="H102" s="6" t="b">
        <v>1</v>
      </c>
      <c r="I102" s="6" t="b">
        <v>1</v>
      </c>
      <c r="J102" s="6" t="b">
        <v>1</v>
      </c>
      <c r="K102" s="6" t="b">
        <v>1</v>
      </c>
      <c r="L102" s="6" t="b">
        <v>1</v>
      </c>
      <c r="M102" s="6" t="b">
        <v>1</v>
      </c>
      <c r="N102" s="6" t="b">
        <v>1</v>
      </c>
      <c r="O102" s="6" t="b">
        <v>1</v>
      </c>
      <c r="P102" s="6" t="b">
        <v>1</v>
      </c>
      <c r="Q102" s="6" t="b">
        <v>1</v>
      </c>
      <c r="R102" s="6" t="b">
        <v>1</v>
      </c>
      <c r="S102" s="6" t="b">
        <v>1</v>
      </c>
      <c r="T102" s="6" t="b">
        <v>1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1</v>
      </c>
      <c r="AJ102" s="6" t="b">
        <v>0</v>
      </c>
      <c r="AK102" s="6" t="b">
        <v>0</v>
      </c>
      <c r="AL102" s="17" t="str">
        <f t="shared" si="1"/>
        <v>15 dari 31 (48%)</v>
      </c>
    </row>
    <row r="103" ht="22.5" customHeight="1">
      <c r="A103" s="2">
        <v>102.0</v>
      </c>
      <c r="B103" s="11"/>
      <c r="C103" s="20">
        <v>60023.0</v>
      </c>
      <c r="D103" s="12" t="s">
        <v>98</v>
      </c>
      <c r="E103" s="12" t="s">
        <v>142</v>
      </c>
      <c r="F103" s="13"/>
      <c r="G103" s="6" t="b">
        <v>1</v>
      </c>
      <c r="H103" s="6" t="b">
        <v>1</v>
      </c>
      <c r="I103" s="6" t="b">
        <v>0</v>
      </c>
      <c r="J103" s="6" t="b">
        <v>1</v>
      </c>
      <c r="K103" s="6" t="b">
        <v>1</v>
      </c>
      <c r="L103" s="6" t="b">
        <v>1</v>
      </c>
      <c r="M103" s="6" t="b">
        <v>1</v>
      </c>
      <c r="N103" s="6" t="b">
        <v>1</v>
      </c>
      <c r="O103" s="6" t="b">
        <v>1</v>
      </c>
      <c r="P103" s="6" t="b">
        <v>1</v>
      </c>
      <c r="Q103" s="6" t="b">
        <v>1</v>
      </c>
      <c r="R103" s="6" t="b">
        <v>1</v>
      </c>
      <c r="S103" s="6" t="b">
        <v>1</v>
      </c>
      <c r="T103" s="6" t="b">
        <v>1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13 dari 31 (42%)</v>
      </c>
    </row>
    <row r="104" ht="22.5" customHeight="1">
      <c r="A104" s="10">
        <v>103.0</v>
      </c>
      <c r="B104" s="11"/>
      <c r="C104" s="20">
        <v>32322.0</v>
      </c>
      <c r="D104" s="12" t="s">
        <v>39</v>
      </c>
      <c r="E104" s="12" t="s">
        <v>57</v>
      </c>
      <c r="F104" s="13"/>
      <c r="G104" s="6" t="b">
        <v>1</v>
      </c>
      <c r="H104" s="6" t="b">
        <v>1</v>
      </c>
      <c r="I104" s="6" t="b">
        <v>1</v>
      </c>
      <c r="J104" s="6" t="b">
        <v>1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1</v>
      </c>
      <c r="AJ104" s="6" t="b">
        <v>0</v>
      </c>
      <c r="AK104" s="6" t="b">
        <v>0</v>
      </c>
      <c r="AL104" s="9" t="str">
        <f t="shared" si="1"/>
        <v>15 dari 31 (48%)</v>
      </c>
    </row>
    <row r="105" ht="22.5" customHeight="1">
      <c r="A105" s="10">
        <v>104.0</v>
      </c>
      <c r="B105" s="11"/>
      <c r="C105" s="20">
        <v>61309.0</v>
      </c>
      <c r="D105" s="12" t="s">
        <v>40</v>
      </c>
      <c r="E105" s="12" t="s">
        <v>49</v>
      </c>
      <c r="F105" s="13"/>
      <c r="G105" s="6" t="b">
        <v>1</v>
      </c>
      <c r="H105" s="6" t="b">
        <v>1</v>
      </c>
      <c r="I105" s="6" t="b">
        <v>1</v>
      </c>
      <c r="J105" s="6" t="b">
        <v>1</v>
      </c>
      <c r="K105" s="6" t="b">
        <v>1</v>
      </c>
      <c r="L105" s="6" t="b">
        <v>1</v>
      </c>
      <c r="M105" s="6" t="b">
        <v>1</v>
      </c>
      <c r="N105" s="6" t="b">
        <v>1</v>
      </c>
      <c r="O105" s="6" t="b">
        <v>1</v>
      </c>
      <c r="P105" s="6" t="b">
        <v>1</v>
      </c>
      <c r="Q105" s="6" t="b">
        <v>1</v>
      </c>
      <c r="R105" s="6" t="b">
        <v>1</v>
      </c>
      <c r="S105" s="6" t="b">
        <v>1</v>
      </c>
      <c r="T105" s="6" t="b">
        <v>1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1</v>
      </c>
      <c r="AJ105" s="6" t="b">
        <v>0</v>
      </c>
      <c r="AK105" s="6" t="b">
        <v>0</v>
      </c>
      <c r="AL105" s="17" t="str">
        <f t="shared" si="1"/>
        <v>15 dari 31 (48%)</v>
      </c>
    </row>
    <row r="106" ht="22.5" customHeight="1">
      <c r="A106" s="2">
        <v>105.0</v>
      </c>
      <c r="B106" s="11"/>
      <c r="C106" s="20">
        <v>57546.0</v>
      </c>
      <c r="D106" s="12" t="s">
        <v>53</v>
      </c>
      <c r="E106" s="12" t="s">
        <v>139</v>
      </c>
      <c r="F106" s="13"/>
      <c r="G106" s="6" t="b">
        <v>1</v>
      </c>
      <c r="H106" s="6" t="b">
        <v>1</v>
      </c>
      <c r="I106" s="6" t="b">
        <v>1</v>
      </c>
      <c r="J106" s="6" t="b">
        <v>1</v>
      </c>
      <c r="K106" s="6" t="b">
        <v>1</v>
      </c>
      <c r="L106" s="6" t="b">
        <v>1</v>
      </c>
      <c r="M106" s="6" t="b">
        <v>1</v>
      </c>
      <c r="N106" s="6" t="b">
        <v>1</v>
      </c>
      <c r="O106" s="6" t="b">
        <v>1</v>
      </c>
      <c r="P106" s="6" t="b">
        <v>1</v>
      </c>
      <c r="Q106" s="6" t="b">
        <v>1</v>
      </c>
      <c r="R106" s="6" t="b">
        <v>1</v>
      </c>
      <c r="S106" s="6" t="b">
        <v>1</v>
      </c>
      <c r="T106" s="6" t="b">
        <v>1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1</v>
      </c>
      <c r="AJ106" s="6" t="b">
        <v>0</v>
      </c>
      <c r="AK106" s="6" t="b">
        <v>0</v>
      </c>
      <c r="AL106" s="9" t="str">
        <f t="shared" si="1"/>
        <v>15 dari 31 (48%)</v>
      </c>
    </row>
    <row r="107" ht="22.5" customHeight="1">
      <c r="A107" s="10">
        <v>106.0</v>
      </c>
      <c r="B107" s="11"/>
      <c r="C107" s="22">
        <v>60451.0</v>
      </c>
      <c r="D107" s="12" t="s">
        <v>98</v>
      </c>
      <c r="E107" s="12" t="s">
        <v>65</v>
      </c>
      <c r="F107" s="13"/>
      <c r="G107" s="6" t="b">
        <v>1</v>
      </c>
      <c r="H107" s="6" t="b">
        <v>1</v>
      </c>
      <c r="I107" s="6" t="b">
        <v>0</v>
      </c>
      <c r="J107" s="6" t="b">
        <v>1</v>
      </c>
      <c r="K107" s="6" t="b">
        <v>1</v>
      </c>
      <c r="L107" s="6" t="b">
        <v>1</v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b">
        <v>1</v>
      </c>
      <c r="T107" s="6" t="b">
        <v>1</v>
      </c>
      <c r="U107" s="6" t="b">
        <v>0</v>
      </c>
      <c r="V107" s="6" t="b">
        <v>0</v>
      </c>
      <c r="W107" s="6" t="b">
        <v>1</v>
      </c>
      <c r="X107" s="6" t="b">
        <v>1</v>
      </c>
      <c r="Y107" s="6" t="b">
        <v>1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0</v>
      </c>
      <c r="AJ107" s="6" t="b">
        <v>0</v>
      </c>
      <c r="AK107" s="6" t="b">
        <v>0</v>
      </c>
      <c r="AL107" s="9" t="str">
        <f t="shared" si="1"/>
        <v>16 dari 31 (52%)</v>
      </c>
    </row>
    <row r="108" ht="22.5" customHeight="1">
      <c r="A108" s="10">
        <v>107.0</v>
      </c>
      <c r="B108" s="11"/>
      <c r="C108" s="22">
        <v>60537.0</v>
      </c>
      <c r="D108" s="12" t="s">
        <v>39</v>
      </c>
      <c r="E108" s="12" t="s">
        <v>57</v>
      </c>
      <c r="F108" s="13"/>
      <c r="G108" s="6" t="b">
        <v>1</v>
      </c>
      <c r="H108" s="6" t="b">
        <v>1</v>
      </c>
      <c r="I108" s="6" t="b">
        <v>0</v>
      </c>
      <c r="J108" s="6" t="b">
        <v>1</v>
      </c>
      <c r="K108" s="6" t="b">
        <v>1</v>
      </c>
      <c r="L108" s="6" t="b">
        <v>1</v>
      </c>
      <c r="M108" s="6" t="b">
        <v>1</v>
      </c>
      <c r="N108" s="6" t="b">
        <v>1</v>
      </c>
      <c r="O108" s="6" t="b">
        <v>1</v>
      </c>
      <c r="P108" s="6" t="b">
        <v>1</v>
      </c>
      <c r="Q108" s="6" t="b">
        <v>1</v>
      </c>
      <c r="R108" s="6" t="b">
        <v>1</v>
      </c>
      <c r="S108" s="6" t="b">
        <v>1</v>
      </c>
      <c r="T108" s="6" t="b">
        <v>1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0</v>
      </c>
      <c r="AJ108" s="6" t="b">
        <v>0</v>
      </c>
      <c r="AK108" s="6" t="b">
        <v>0</v>
      </c>
      <c r="AL108" s="17" t="str">
        <f t="shared" si="1"/>
        <v>13 dari 31 (42%)</v>
      </c>
    </row>
    <row r="109" ht="22.5" customHeight="1">
      <c r="A109" s="2">
        <v>108.0</v>
      </c>
      <c r="B109" s="11"/>
      <c r="C109" s="22">
        <v>61011.0</v>
      </c>
      <c r="D109" s="12" t="s">
        <v>40</v>
      </c>
      <c r="E109" s="12" t="s">
        <v>49</v>
      </c>
      <c r="F109" s="13"/>
      <c r="G109" s="6" t="b">
        <v>1</v>
      </c>
      <c r="H109" s="6" t="b">
        <v>1</v>
      </c>
      <c r="I109" s="6" t="b">
        <v>1</v>
      </c>
      <c r="J109" s="6" t="b">
        <v>1</v>
      </c>
      <c r="K109" s="6" t="b">
        <v>1</v>
      </c>
      <c r="L109" s="6" t="b">
        <v>1</v>
      </c>
      <c r="M109" s="6" t="b">
        <v>1</v>
      </c>
      <c r="N109" s="6" t="b">
        <v>1</v>
      </c>
      <c r="O109" s="6" t="b">
        <v>1</v>
      </c>
      <c r="P109" s="6" t="b">
        <v>1</v>
      </c>
      <c r="Q109" s="6" t="b">
        <v>1</v>
      </c>
      <c r="R109" s="6" t="b">
        <v>1</v>
      </c>
      <c r="S109" s="6" t="b">
        <v>1</v>
      </c>
      <c r="T109" s="6" t="b">
        <v>1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1</v>
      </c>
      <c r="AJ109" s="6" t="b">
        <v>0</v>
      </c>
      <c r="AK109" s="6" t="b">
        <v>0</v>
      </c>
      <c r="AL109" s="9" t="str">
        <f t="shared" si="1"/>
        <v>15 dari 31 (48%)</v>
      </c>
    </row>
    <row r="110" ht="22.5" customHeight="1">
      <c r="A110" s="10">
        <v>109.0</v>
      </c>
      <c r="B110" s="11"/>
      <c r="C110" s="22">
        <v>61312.0</v>
      </c>
      <c r="D110" s="12" t="s">
        <v>39</v>
      </c>
      <c r="E110" s="12" t="s">
        <v>57</v>
      </c>
      <c r="F110" s="13"/>
      <c r="G110" s="6" t="b">
        <v>1</v>
      </c>
      <c r="H110" s="6" t="b">
        <v>1</v>
      </c>
      <c r="I110" s="6" t="b">
        <v>1</v>
      </c>
      <c r="J110" s="6" t="b">
        <v>1</v>
      </c>
      <c r="K110" s="6" t="b">
        <v>1</v>
      </c>
      <c r="L110" s="6" t="b">
        <v>1</v>
      </c>
      <c r="M110" s="6" t="b">
        <v>1</v>
      </c>
      <c r="N110" s="6" t="b">
        <v>1</v>
      </c>
      <c r="O110" s="6" t="b">
        <v>1</v>
      </c>
      <c r="P110" s="6" t="b">
        <v>1</v>
      </c>
      <c r="Q110" s="6" t="b">
        <v>1</v>
      </c>
      <c r="R110" s="6" t="b">
        <v>1</v>
      </c>
      <c r="S110" s="6" t="b">
        <v>1</v>
      </c>
      <c r="T110" s="6" t="b">
        <v>1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1</v>
      </c>
      <c r="AA110" s="6" t="b">
        <v>1</v>
      </c>
      <c r="AB110" s="6" t="b">
        <v>1</v>
      </c>
      <c r="AC110" s="6" t="b">
        <v>1</v>
      </c>
      <c r="AD110" s="6" t="b">
        <v>1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1</v>
      </c>
      <c r="AJ110" s="6" t="b">
        <v>0</v>
      </c>
      <c r="AK110" s="6" t="b">
        <v>0</v>
      </c>
      <c r="AL110" s="9" t="str">
        <f t="shared" si="1"/>
        <v>20 dari 31 (65%)</v>
      </c>
    </row>
    <row r="111" ht="22.5" customHeight="1">
      <c r="A111" s="10">
        <v>110.0</v>
      </c>
      <c r="B111" s="11"/>
      <c r="C111" s="22">
        <v>61310.0</v>
      </c>
      <c r="D111" s="12" t="s">
        <v>98</v>
      </c>
      <c r="E111" s="12" t="s">
        <v>65</v>
      </c>
      <c r="F111" s="13"/>
      <c r="G111" s="6" t="b">
        <v>1</v>
      </c>
      <c r="H111" s="6" t="b">
        <v>1</v>
      </c>
      <c r="I111" s="6" t="b">
        <v>0</v>
      </c>
      <c r="J111" s="6" t="b">
        <v>1</v>
      </c>
      <c r="K111" s="6" t="b">
        <v>1</v>
      </c>
      <c r="L111" s="6" t="b">
        <v>1</v>
      </c>
      <c r="M111" s="6" t="b">
        <v>1</v>
      </c>
      <c r="N111" s="6" t="b">
        <v>1</v>
      </c>
      <c r="O111" s="6" t="b">
        <v>1</v>
      </c>
      <c r="P111" s="6" t="b">
        <v>1</v>
      </c>
      <c r="Q111" s="6" t="b">
        <v>1</v>
      </c>
      <c r="R111" s="6" t="b">
        <v>1</v>
      </c>
      <c r="S111" s="6" t="b">
        <v>1</v>
      </c>
      <c r="T111" s="6" t="b">
        <v>1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0</v>
      </c>
      <c r="AJ111" s="6" t="b">
        <v>0</v>
      </c>
      <c r="AK111" s="6" t="b">
        <v>0</v>
      </c>
      <c r="AL111" s="17" t="str">
        <f t="shared" si="1"/>
        <v>13 dari 31 (42%)</v>
      </c>
    </row>
    <row r="112" ht="22.5" customHeight="1">
      <c r="A112" s="2">
        <v>111.0</v>
      </c>
      <c r="B112" s="11"/>
      <c r="C112" s="20">
        <v>60912.0</v>
      </c>
      <c r="D112" s="12" t="s">
        <v>39</v>
      </c>
      <c r="E112" s="12" t="s">
        <v>57</v>
      </c>
      <c r="F112" s="13"/>
      <c r="G112" s="6" t="b">
        <v>1</v>
      </c>
      <c r="H112" s="6" t="b">
        <v>1</v>
      </c>
      <c r="I112" s="6" t="b">
        <v>1</v>
      </c>
      <c r="J112" s="6" t="b">
        <v>1</v>
      </c>
      <c r="K112" s="6" t="b">
        <v>1</v>
      </c>
      <c r="L112" s="6" t="b">
        <v>1</v>
      </c>
      <c r="M112" s="6" t="b">
        <v>1</v>
      </c>
      <c r="N112" s="6" t="b">
        <v>1</v>
      </c>
      <c r="O112" s="6" t="b">
        <v>1</v>
      </c>
      <c r="P112" s="6" t="b">
        <v>1</v>
      </c>
      <c r="Q112" s="6" t="b">
        <v>1</v>
      </c>
      <c r="R112" s="6" t="b">
        <v>1</v>
      </c>
      <c r="S112" s="6" t="b">
        <v>1</v>
      </c>
      <c r="T112" s="6" t="b">
        <v>1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1</v>
      </c>
      <c r="AF112" s="6" t="b">
        <v>1</v>
      </c>
      <c r="AG112" s="6" t="b">
        <v>1</v>
      </c>
      <c r="AH112" s="6" t="b">
        <v>1</v>
      </c>
      <c r="AI112" s="6" t="b">
        <v>1</v>
      </c>
      <c r="AJ112" s="6" t="b">
        <v>0</v>
      </c>
      <c r="AK112" s="6" t="b">
        <v>0</v>
      </c>
      <c r="AL112" s="9" t="str">
        <f t="shared" si="1"/>
        <v>19 dari 31 (61%)</v>
      </c>
    </row>
    <row r="113" ht="22.5" customHeight="1">
      <c r="A113" s="10">
        <v>112.0</v>
      </c>
      <c r="B113" s="11"/>
      <c r="C113" s="20">
        <v>60751.0</v>
      </c>
      <c r="D113" s="12" t="s">
        <v>63</v>
      </c>
      <c r="E113" s="12" t="s">
        <v>64</v>
      </c>
      <c r="F113" s="13"/>
      <c r="G113" s="6" t="b">
        <v>1</v>
      </c>
      <c r="H113" s="6" t="b">
        <v>1</v>
      </c>
      <c r="I113" s="6" t="b">
        <v>1</v>
      </c>
      <c r="J113" s="6" t="b">
        <v>1</v>
      </c>
      <c r="K113" s="6" t="b">
        <v>1</v>
      </c>
      <c r="L113" s="6" t="b">
        <v>1</v>
      </c>
      <c r="M113" s="6" t="b">
        <v>1</v>
      </c>
      <c r="N113" s="6" t="b">
        <v>1</v>
      </c>
      <c r="O113" s="6" t="b">
        <v>1</v>
      </c>
      <c r="P113" s="6" t="b">
        <v>1</v>
      </c>
      <c r="Q113" s="6" t="b">
        <v>1</v>
      </c>
      <c r="R113" s="6" t="b">
        <v>0</v>
      </c>
      <c r="S113" s="6" t="b">
        <v>1</v>
      </c>
      <c r="T113" s="6" t="b">
        <v>0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1</v>
      </c>
      <c r="AJ113" s="6" t="b">
        <v>0</v>
      </c>
      <c r="AK113" s="6" t="b">
        <v>0</v>
      </c>
      <c r="AL113" s="9" t="str">
        <f t="shared" si="1"/>
        <v>13 dari 31 (42%)</v>
      </c>
    </row>
    <row r="114" ht="22.5" customHeight="1">
      <c r="A114" s="10">
        <v>113.0</v>
      </c>
      <c r="B114" s="11"/>
      <c r="C114" s="20">
        <v>61311.0</v>
      </c>
      <c r="D114" s="12" t="s">
        <v>98</v>
      </c>
      <c r="E114" s="12" t="s">
        <v>65</v>
      </c>
      <c r="F114" s="13"/>
      <c r="G114" s="6" t="b">
        <v>1</v>
      </c>
      <c r="H114" s="6" t="b">
        <v>1</v>
      </c>
      <c r="I114" s="6" t="b">
        <v>0</v>
      </c>
      <c r="J114" s="6" t="b">
        <v>1</v>
      </c>
      <c r="K114" s="6" t="b">
        <v>1</v>
      </c>
      <c r="L114" s="6" t="b">
        <v>1</v>
      </c>
      <c r="M114" s="6" t="b">
        <v>1</v>
      </c>
      <c r="N114" s="6" t="b">
        <v>1</v>
      </c>
      <c r="O114" s="6" t="b">
        <v>1</v>
      </c>
      <c r="P114" s="6" t="b">
        <v>1</v>
      </c>
      <c r="Q114" s="6" t="b">
        <v>1</v>
      </c>
      <c r="R114" s="6" t="b">
        <v>1</v>
      </c>
      <c r="S114" s="6" t="b">
        <v>1</v>
      </c>
      <c r="T114" s="6" t="b">
        <v>1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0</v>
      </c>
      <c r="AJ114" s="6" t="b">
        <v>0</v>
      </c>
      <c r="AK114" s="6" t="b">
        <v>0</v>
      </c>
      <c r="AL114" s="17" t="str">
        <f t="shared" si="1"/>
        <v>13 dari 31 (42%)</v>
      </c>
    </row>
    <row r="115" ht="22.5" customHeight="1">
      <c r="A115" s="2">
        <v>114.0</v>
      </c>
      <c r="B115" s="11"/>
      <c r="C115" s="20">
        <v>61313.0</v>
      </c>
      <c r="D115" s="12" t="s">
        <v>85</v>
      </c>
      <c r="E115" s="12" t="s">
        <v>139</v>
      </c>
      <c r="F115" s="86" t="s">
        <v>67</v>
      </c>
      <c r="G115" s="6" t="b">
        <v>0</v>
      </c>
      <c r="H115" s="6" t="b">
        <v>0</v>
      </c>
      <c r="I115" s="6" t="b">
        <v>0</v>
      </c>
      <c r="J115" s="6" t="b">
        <v>0</v>
      </c>
      <c r="K115" s="6" t="b">
        <v>0</v>
      </c>
      <c r="L115" s="6" t="b">
        <v>0</v>
      </c>
      <c r="M115" s="6" t="b">
        <v>0</v>
      </c>
      <c r="N115" s="6" t="b">
        <v>0</v>
      </c>
      <c r="O115" s="6" t="b">
        <v>0</v>
      </c>
      <c r="P115" s="6" t="b">
        <v>0</v>
      </c>
      <c r="Q115" s="6" t="b">
        <v>0</v>
      </c>
      <c r="R115" s="6" t="b">
        <v>0</v>
      </c>
      <c r="S115" s="6" t="b">
        <v>0</v>
      </c>
      <c r="T115" s="6" t="b">
        <v>0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0 dari 31 (0%)</v>
      </c>
    </row>
    <row r="116" ht="22.5" customHeight="1">
      <c r="A116" s="10">
        <v>115.0</v>
      </c>
      <c r="B116" s="11"/>
      <c r="C116" s="20">
        <v>61136.0</v>
      </c>
      <c r="D116" s="12" t="s">
        <v>40</v>
      </c>
      <c r="E116" s="12" t="s">
        <v>49</v>
      </c>
      <c r="F116" s="13"/>
      <c r="G116" s="6" t="b">
        <v>1</v>
      </c>
      <c r="H116" s="6" t="b">
        <v>1</v>
      </c>
      <c r="I116" s="6" t="b">
        <v>1</v>
      </c>
      <c r="J116" s="6" t="b">
        <v>1</v>
      </c>
      <c r="K116" s="6" t="b">
        <v>1</v>
      </c>
      <c r="L116" s="6" t="b">
        <v>1</v>
      </c>
      <c r="M116" s="6" t="b">
        <v>1</v>
      </c>
      <c r="N116" s="6" t="b">
        <v>1</v>
      </c>
      <c r="O116" s="6" t="b">
        <v>1</v>
      </c>
      <c r="P116" s="6" t="b">
        <v>1</v>
      </c>
      <c r="Q116" s="6" t="b">
        <v>1</v>
      </c>
      <c r="R116" s="6" t="b">
        <v>1</v>
      </c>
      <c r="S116" s="6" t="b">
        <v>1</v>
      </c>
      <c r="T116" s="6" t="b">
        <v>0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1</v>
      </c>
      <c r="AJ116" s="6" t="b">
        <v>0</v>
      </c>
      <c r="AK116" s="6" t="b">
        <v>0</v>
      </c>
      <c r="AL116" s="9" t="str">
        <f t="shared" si="1"/>
        <v>14 dari 31 (45%)</v>
      </c>
    </row>
    <row r="117" ht="22.5" customHeight="1">
      <c r="A117" s="10">
        <v>116.0</v>
      </c>
      <c r="B117" s="11"/>
      <c r="C117" s="22">
        <v>53528.0</v>
      </c>
      <c r="D117" s="12" t="s">
        <v>40</v>
      </c>
      <c r="E117" s="12" t="s">
        <v>49</v>
      </c>
      <c r="F117" s="13"/>
      <c r="G117" s="6" t="b">
        <v>1</v>
      </c>
      <c r="H117" s="6" t="b">
        <v>1</v>
      </c>
      <c r="I117" s="6" t="b">
        <v>1</v>
      </c>
      <c r="J117" s="6" t="b">
        <v>1</v>
      </c>
      <c r="K117" s="6" t="b">
        <v>1</v>
      </c>
      <c r="L117" s="6" t="b">
        <v>1</v>
      </c>
      <c r="M117" s="6" t="b">
        <v>1</v>
      </c>
      <c r="N117" s="6" t="b">
        <v>1</v>
      </c>
      <c r="O117" s="6" t="b">
        <v>1</v>
      </c>
      <c r="P117" s="6" t="b">
        <v>1</v>
      </c>
      <c r="Q117" s="6" t="b">
        <v>1</v>
      </c>
      <c r="R117" s="6" t="b">
        <v>1</v>
      </c>
      <c r="S117" s="6" t="b">
        <v>1</v>
      </c>
      <c r="T117" s="6" t="b">
        <v>0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1</v>
      </c>
      <c r="AJ117" s="6" t="b">
        <v>0</v>
      </c>
      <c r="AK117" s="6" t="b">
        <v>0</v>
      </c>
      <c r="AL117" s="17" t="str">
        <f t="shared" si="1"/>
        <v>14 dari 31 (45%)</v>
      </c>
    </row>
    <row r="118" ht="22.5" customHeight="1">
      <c r="A118" s="2">
        <v>117.0</v>
      </c>
      <c r="B118" s="11"/>
      <c r="C118" s="22">
        <v>60701.0</v>
      </c>
      <c r="D118" s="12" t="s">
        <v>63</v>
      </c>
      <c r="E118" s="12" t="s">
        <v>64</v>
      </c>
      <c r="F118" s="13"/>
      <c r="G118" s="6" t="b">
        <v>1</v>
      </c>
      <c r="H118" s="6" t="b">
        <v>1</v>
      </c>
      <c r="I118" s="6" t="b">
        <v>1</v>
      </c>
      <c r="J118" s="6" t="b">
        <v>1</v>
      </c>
      <c r="K118" s="6" t="b">
        <v>1</v>
      </c>
      <c r="L118" s="6" t="b">
        <v>1</v>
      </c>
      <c r="M118" s="6" t="b">
        <v>1</v>
      </c>
      <c r="N118" s="6" t="b">
        <v>1</v>
      </c>
      <c r="O118" s="6" t="b">
        <v>1</v>
      </c>
      <c r="P118" s="6" t="b">
        <v>1</v>
      </c>
      <c r="Q118" s="6" t="b">
        <v>1</v>
      </c>
      <c r="R118" s="6" t="b">
        <v>0</v>
      </c>
      <c r="S118" s="6" t="b">
        <v>1</v>
      </c>
      <c r="T118" s="6" t="b">
        <v>1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1</v>
      </c>
      <c r="AJ118" s="6" t="b">
        <v>0</v>
      </c>
      <c r="AK118" s="6" t="b">
        <v>0</v>
      </c>
      <c r="AL118" s="9" t="str">
        <f t="shared" si="1"/>
        <v>14 dari 31 (45%)</v>
      </c>
    </row>
    <row r="119" ht="22.5" customHeight="1">
      <c r="A119" s="10">
        <v>118.0</v>
      </c>
      <c r="B119" s="11"/>
      <c r="C119" s="22">
        <v>61015.0</v>
      </c>
      <c r="D119" s="12" t="s">
        <v>63</v>
      </c>
      <c r="E119" s="12" t="s">
        <v>64</v>
      </c>
      <c r="F119" s="13"/>
      <c r="G119" s="6" t="b">
        <v>1</v>
      </c>
      <c r="H119" s="6" t="b">
        <v>1</v>
      </c>
      <c r="I119" s="6" t="b">
        <v>1</v>
      </c>
      <c r="J119" s="6" t="b">
        <v>1</v>
      </c>
      <c r="K119" s="6" t="b">
        <v>1</v>
      </c>
      <c r="L119" s="6" t="b">
        <v>1</v>
      </c>
      <c r="M119" s="6" t="b">
        <v>1</v>
      </c>
      <c r="N119" s="6" t="b">
        <v>1</v>
      </c>
      <c r="O119" s="6" t="b">
        <v>1</v>
      </c>
      <c r="P119" s="6" t="b">
        <v>1</v>
      </c>
      <c r="Q119" s="6" t="b">
        <v>1</v>
      </c>
      <c r="R119" s="6" t="b">
        <v>0</v>
      </c>
      <c r="S119" s="6" t="b">
        <v>1</v>
      </c>
      <c r="T119" s="6" t="b">
        <v>1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0</v>
      </c>
      <c r="AA119" s="6" t="b">
        <v>0</v>
      </c>
      <c r="AB119" s="6" t="b">
        <v>0</v>
      </c>
      <c r="AC119" s="6" t="b">
        <v>0</v>
      </c>
      <c r="AD119" s="6" t="b">
        <v>0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1</v>
      </c>
      <c r="AJ119" s="6" t="b">
        <v>0</v>
      </c>
      <c r="AK119" s="6" t="b">
        <v>0</v>
      </c>
      <c r="AL119" s="9" t="str">
        <f t="shared" si="1"/>
        <v>14 dari 31 (45%)</v>
      </c>
    </row>
    <row r="120" ht="22.5" customHeight="1">
      <c r="A120" s="10">
        <v>119.0</v>
      </c>
      <c r="B120" s="11"/>
      <c r="C120" s="65">
        <v>60287.0</v>
      </c>
      <c r="D120" s="12" t="s">
        <v>54</v>
      </c>
      <c r="E120" s="12" t="s">
        <v>155</v>
      </c>
      <c r="F120" s="13"/>
      <c r="G120" s="6" t="b">
        <v>1</v>
      </c>
      <c r="H120" s="6" t="b">
        <v>1</v>
      </c>
      <c r="I120" s="6" t="b">
        <v>0</v>
      </c>
      <c r="J120" s="6" t="b">
        <v>1</v>
      </c>
      <c r="K120" s="6" t="b">
        <v>0</v>
      </c>
      <c r="L120" s="6" t="b">
        <v>0</v>
      </c>
      <c r="M120" s="6" t="b">
        <v>1</v>
      </c>
      <c r="N120" s="6" t="b">
        <v>1</v>
      </c>
      <c r="O120" s="6" t="b">
        <v>1</v>
      </c>
      <c r="P120" s="6" t="b">
        <v>1</v>
      </c>
      <c r="Q120" s="6" t="b">
        <v>1</v>
      </c>
      <c r="R120" s="6" t="b">
        <v>1</v>
      </c>
      <c r="S120" s="6" t="b">
        <v>1</v>
      </c>
      <c r="T120" s="6" t="b">
        <v>0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0</v>
      </c>
      <c r="AJ120" s="6" t="b">
        <v>0</v>
      </c>
      <c r="AK120" s="6" t="b">
        <v>0</v>
      </c>
      <c r="AL120" s="17" t="str">
        <f t="shared" si="1"/>
        <v>10 dari 31 (32%)</v>
      </c>
    </row>
    <row r="121" ht="22.5" customHeight="1">
      <c r="A121" s="2">
        <v>120.0</v>
      </c>
      <c r="B121" s="11"/>
      <c r="C121" s="22">
        <v>60578.0</v>
      </c>
      <c r="D121" s="12" t="s">
        <v>54</v>
      </c>
      <c r="E121" s="12" t="s">
        <v>155</v>
      </c>
      <c r="F121" s="14" t="s">
        <v>50</v>
      </c>
      <c r="G121" s="6" t="b">
        <v>1</v>
      </c>
      <c r="H121" s="6" t="b">
        <v>0</v>
      </c>
      <c r="I121" s="6" t="b">
        <v>0</v>
      </c>
      <c r="J121" s="6" t="b">
        <v>0</v>
      </c>
      <c r="K121" s="6" t="b">
        <v>0</v>
      </c>
      <c r="L121" s="6" t="b">
        <v>0</v>
      </c>
      <c r="M121" s="6" t="b">
        <v>0</v>
      </c>
      <c r="N121" s="6" t="b">
        <v>0</v>
      </c>
      <c r="O121" s="6" t="b">
        <v>0</v>
      </c>
      <c r="P121" s="6" t="b">
        <v>0</v>
      </c>
      <c r="Q121" s="6" t="b">
        <v>0</v>
      </c>
      <c r="R121" s="6" t="b">
        <v>0</v>
      </c>
      <c r="S121" s="6" t="b">
        <v>0</v>
      </c>
      <c r="T121" s="6" t="b">
        <v>0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0</v>
      </c>
      <c r="AJ121" s="6" t="b">
        <v>0</v>
      </c>
      <c r="AK121" s="6" t="b">
        <v>0</v>
      </c>
      <c r="AL121" s="9" t="str">
        <f t="shared" si="1"/>
        <v>1 dari 31 (3%)</v>
      </c>
    </row>
    <row r="122" ht="22.5" customHeight="1">
      <c r="A122" s="10">
        <v>121.0</v>
      </c>
      <c r="B122" s="11"/>
      <c r="C122" s="20">
        <v>57622.0</v>
      </c>
      <c r="D122" s="12" t="s">
        <v>54</v>
      </c>
      <c r="E122" s="12" t="s">
        <v>155</v>
      </c>
      <c r="F122" s="13"/>
      <c r="G122" s="6" t="b">
        <v>1</v>
      </c>
      <c r="H122" s="6" t="b">
        <v>1</v>
      </c>
      <c r="I122" s="6" t="b">
        <v>1</v>
      </c>
      <c r="J122" s="6" t="b">
        <v>1</v>
      </c>
      <c r="K122" s="6" t="b">
        <v>1</v>
      </c>
      <c r="L122" s="6" t="b">
        <v>1</v>
      </c>
      <c r="M122" s="6" t="b">
        <v>1</v>
      </c>
      <c r="N122" s="6" t="b">
        <v>1</v>
      </c>
      <c r="O122" s="6" t="b">
        <v>1</v>
      </c>
      <c r="P122" s="6" t="b">
        <v>1</v>
      </c>
      <c r="Q122" s="6" t="b">
        <v>1</v>
      </c>
      <c r="R122" s="6" t="b">
        <v>1</v>
      </c>
      <c r="S122" s="6" t="b">
        <v>1</v>
      </c>
      <c r="T122" s="6" t="b">
        <v>0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1</v>
      </c>
      <c r="AJ122" s="6" t="b">
        <v>0</v>
      </c>
      <c r="AK122" s="6" t="b">
        <v>0</v>
      </c>
      <c r="AL122" s="9" t="str">
        <f t="shared" si="1"/>
        <v>14 dari 31 (45%)</v>
      </c>
    </row>
    <row r="123" ht="22.5" customHeight="1">
      <c r="A123" s="10">
        <v>122.0</v>
      </c>
      <c r="B123" s="11"/>
      <c r="C123" s="20">
        <v>59255.0</v>
      </c>
      <c r="D123" s="12" t="s">
        <v>54</v>
      </c>
      <c r="E123" s="12" t="s">
        <v>155</v>
      </c>
      <c r="F123" s="13"/>
      <c r="G123" s="6" t="b">
        <v>1</v>
      </c>
      <c r="H123" s="6" t="b">
        <v>1</v>
      </c>
      <c r="I123" s="6" t="b">
        <v>1</v>
      </c>
      <c r="J123" s="6" t="b">
        <v>0</v>
      </c>
      <c r="K123" s="6" t="b">
        <v>0</v>
      </c>
      <c r="L123" s="6" t="b">
        <v>0</v>
      </c>
      <c r="M123" s="6" t="b">
        <v>0</v>
      </c>
      <c r="N123" s="6" t="b">
        <v>0</v>
      </c>
      <c r="O123" s="6" t="b">
        <v>0</v>
      </c>
      <c r="P123" s="6" t="b">
        <v>0</v>
      </c>
      <c r="Q123" s="6" t="b">
        <v>0</v>
      </c>
      <c r="R123" s="6" t="b">
        <v>1</v>
      </c>
      <c r="S123" s="6" t="b">
        <v>0</v>
      </c>
      <c r="T123" s="6" t="b">
        <v>0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1</v>
      </c>
      <c r="AJ123" s="6" t="b">
        <v>0</v>
      </c>
      <c r="AK123" s="6" t="b">
        <v>0</v>
      </c>
      <c r="AL123" s="17" t="str">
        <f t="shared" si="1"/>
        <v>5 dari 31 (16%)</v>
      </c>
    </row>
    <row r="124" ht="22.5" customHeight="1">
      <c r="A124" s="2">
        <v>123.0</v>
      </c>
      <c r="B124" s="11"/>
      <c r="C124" s="20">
        <v>58824.0</v>
      </c>
      <c r="D124" s="12" t="s">
        <v>54</v>
      </c>
      <c r="E124" s="12" t="s">
        <v>155</v>
      </c>
      <c r="F124" s="13"/>
      <c r="G124" s="6" t="b">
        <v>1</v>
      </c>
      <c r="H124" s="6" t="b">
        <v>1</v>
      </c>
      <c r="I124" s="6" t="b">
        <v>0</v>
      </c>
      <c r="J124" s="6" t="b">
        <v>1</v>
      </c>
      <c r="K124" s="6" t="b">
        <v>1</v>
      </c>
      <c r="L124" s="6" t="b">
        <v>1</v>
      </c>
      <c r="M124" s="6" t="b">
        <v>1</v>
      </c>
      <c r="N124" s="6" t="b">
        <v>1</v>
      </c>
      <c r="O124" s="6" t="b">
        <v>1</v>
      </c>
      <c r="P124" s="6" t="b">
        <v>1</v>
      </c>
      <c r="Q124" s="6" t="b">
        <v>1</v>
      </c>
      <c r="R124" s="6" t="b">
        <v>0</v>
      </c>
      <c r="S124" s="6" t="b">
        <v>1</v>
      </c>
      <c r="T124" s="6" t="b">
        <v>0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0</v>
      </c>
      <c r="AJ124" s="6" t="b">
        <v>0</v>
      </c>
      <c r="AK124" s="6" t="b">
        <v>0</v>
      </c>
      <c r="AL124" s="9" t="str">
        <f t="shared" si="1"/>
        <v>11 dari 31 (35%)</v>
      </c>
    </row>
    <row r="125" ht="22.5" customHeight="1">
      <c r="A125" s="10">
        <v>124.0</v>
      </c>
      <c r="B125" s="11"/>
      <c r="C125" s="20">
        <v>60226.0</v>
      </c>
      <c r="D125" s="12" t="s">
        <v>63</v>
      </c>
      <c r="E125" s="12" t="s">
        <v>64</v>
      </c>
      <c r="F125" s="13"/>
      <c r="G125" s="6" t="b">
        <v>1</v>
      </c>
      <c r="H125" s="6" t="b">
        <v>1</v>
      </c>
      <c r="I125" s="6" t="b">
        <v>0</v>
      </c>
      <c r="J125" s="6" t="b">
        <v>1</v>
      </c>
      <c r="K125" s="6" t="b">
        <v>1</v>
      </c>
      <c r="L125" s="6" t="b">
        <v>1</v>
      </c>
      <c r="M125" s="6" t="b">
        <v>1</v>
      </c>
      <c r="N125" s="6" t="b">
        <v>1</v>
      </c>
      <c r="O125" s="6" t="b">
        <v>1</v>
      </c>
      <c r="P125" s="6" t="b">
        <v>1</v>
      </c>
      <c r="Q125" s="6" t="b">
        <v>1</v>
      </c>
      <c r="R125" s="6" t="b">
        <v>0</v>
      </c>
      <c r="S125" s="6" t="b">
        <v>1</v>
      </c>
      <c r="T125" s="6" t="b">
        <v>1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0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1</v>
      </c>
      <c r="AJ125" s="6" t="b">
        <v>0</v>
      </c>
      <c r="AK125" s="6" t="b">
        <v>0</v>
      </c>
      <c r="AL125" s="9" t="str">
        <f t="shared" si="1"/>
        <v>13 dari 31 (42%)</v>
      </c>
    </row>
    <row r="126" ht="22.5" customHeight="1">
      <c r="A126" s="10">
        <v>125.0</v>
      </c>
      <c r="B126" s="11"/>
      <c r="C126" s="20">
        <v>60863.0</v>
      </c>
      <c r="D126" s="12" t="s">
        <v>63</v>
      </c>
      <c r="E126" s="12" t="s">
        <v>64</v>
      </c>
      <c r="F126" s="13"/>
      <c r="G126" s="6" t="b">
        <v>1</v>
      </c>
      <c r="H126" s="6" t="b">
        <v>1</v>
      </c>
      <c r="I126" s="6" t="b">
        <v>1</v>
      </c>
      <c r="J126" s="6" t="b">
        <v>1</v>
      </c>
      <c r="K126" s="6" t="b">
        <v>1</v>
      </c>
      <c r="L126" s="6" t="b">
        <v>1</v>
      </c>
      <c r="M126" s="6" t="b">
        <v>1</v>
      </c>
      <c r="N126" s="6" t="b">
        <v>1</v>
      </c>
      <c r="O126" s="6" t="b">
        <v>1</v>
      </c>
      <c r="P126" s="6" t="b">
        <v>1</v>
      </c>
      <c r="Q126" s="6" t="b">
        <v>1</v>
      </c>
      <c r="R126" s="6" t="b">
        <v>1</v>
      </c>
      <c r="S126" s="6" t="b">
        <v>1</v>
      </c>
      <c r="T126" s="6" t="b">
        <v>0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1</v>
      </c>
      <c r="AJ126" s="6" t="b">
        <v>0</v>
      </c>
      <c r="AK126" s="6" t="b">
        <v>0</v>
      </c>
      <c r="AL126" s="17" t="str">
        <f t="shared" si="1"/>
        <v>14 dari 31 (45%)</v>
      </c>
    </row>
    <row r="127" ht="22.5" customHeight="1">
      <c r="A127" s="2">
        <v>126.0</v>
      </c>
      <c r="B127" s="11"/>
      <c r="C127" s="22">
        <v>45984.0</v>
      </c>
      <c r="D127" s="12" t="s">
        <v>98</v>
      </c>
      <c r="E127" s="12" t="s">
        <v>142</v>
      </c>
      <c r="F127" s="13"/>
      <c r="G127" s="6" t="b">
        <v>1</v>
      </c>
      <c r="H127" s="6" t="b">
        <v>1</v>
      </c>
      <c r="I127" s="6" t="b">
        <v>0</v>
      </c>
      <c r="J127" s="6" t="b">
        <v>1</v>
      </c>
      <c r="K127" s="6" t="b">
        <v>1</v>
      </c>
      <c r="L127" s="6" t="b">
        <v>1</v>
      </c>
      <c r="M127" s="6" t="b">
        <v>1</v>
      </c>
      <c r="N127" s="6" t="b">
        <v>1</v>
      </c>
      <c r="O127" s="6" t="b">
        <v>1</v>
      </c>
      <c r="P127" s="6" t="b">
        <v>1</v>
      </c>
      <c r="Q127" s="6" t="b">
        <v>1</v>
      </c>
      <c r="R127" s="6" t="b">
        <v>1</v>
      </c>
      <c r="S127" s="6" t="b">
        <v>1</v>
      </c>
      <c r="T127" s="6" t="b">
        <v>0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1</v>
      </c>
      <c r="AJ127" s="6" t="b">
        <v>0</v>
      </c>
      <c r="AK127" s="6" t="b">
        <v>0</v>
      </c>
      <c r="AL127" s="9" t="str">
        <f t="shared" si="1"/>
        <v>13 dari 31 (42%)</v>
      </c>
    </row>
    <row r="128" ht="22.5" customHeight="1">
      <c r="A128" s="10">
        <v>127.0</v>
      </c>
      <c r="B128" s="11"/>
      <c r="C128" s="22">
        <v>61318.0</v>
      </c>
      <c r="D128" s="56" t="s">
        <v>93</v>
      </c>
      <c r="E128" s="56" t="s">
        <v>113</v>
      </c>
      <c r="F128" s="57"/>
      <c r="G128" s="6" t="b">
        <v>1</v>
      </c>
      <c r="H128" s="6" t="b">
        <v>1</v>
      </c>
      <c r="I128" s="6" t="b">
        <v>1</v>
      </c>
      <c r="J128" s="6" t="b">
        <v>1</v>
      </c>
      <c r="K128" s="6" t="b">
        <v>1</v>
      </c>
      <c r="L128" s="6" t="b">
        <v>1</v>
      </c>
      <c r="M128" s="6" t="b">
        <v>1</v>
      </c>
      <c r="N128" s="6" t="b">
        <v>1</v>
      </c>
      <c r="O128" s="6" t="b">
        <v>1</v>
      </c>
      <c r="P128" s="6" t="b">
        <v>1</v>
      </c>
      <c r="Q128" s="6" t="b">
        <v>1</v>
      </c>
      <c r="R128" s="6" t="b">
        <v>1</v>
      </c>
      <c r="S128" s="6" t="b">
        <v>1</v>
      </c>
      <c r="T128" s="6" t="b">
        <v>1</v>
      </c>
      <c r="U128" s="6" t="b">
        <v>0</v>
      </c>
      <c r="V128" s="6" t="b">
        <v>0</v>
      </c>
      <c r="W128" s="6" t="b">
        <v>1</v>
      </c>
      <c r="X128" s="6" t="b">
        <v>1</v>
      </c>
      <c r="Y128" s="6" t="b">
        <v>1</v>
      </c>
      <c r="Z128" s="6" t="b">
        <v>0</v>
      </c>
      <c r="AA128" s="6" t="b">
        <v>0</v>
      </c>
      <c r="AB128" s="6" t="b">
        <v>0</v>
      </c>
      <c r="AC128" s="6" t="b">
        <v>0</v>
      </c>
      <c r="AD128" s="6" t="b">
        <v>0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1</v>
      </c>
      <c r="AJ128" s="6" t="b">
        <v>0</v>
      </c>
      <c r="AK128" s="6" t="b">
        <v>0</v>
      </c>
      <c r="AL128" s="9" t="str">
        <f t="shared" si="1"/>
        <v>18 dari 31 (58%)</v>
      </c>
    </row>
    <row r="129" ht="22.5" customHeight="1">
      <c r="A129" s="10">
        <v>128.0</v>
      </c>
      <c r="B129" s="11"/>
      <c r="C129" s="22">
        <v>61320.0</v>
      </c>
      <c r="D129" s="12" t="s">
        <v>54</v>
      </c>
      <c r="E129" s="12" t="s">
        <v>155</v>
      </c>
      <c r="F129" s="13"/>
      <c r="G129" s="6" t="b">
        <v>1</v>
      </c>
      <c r="H129" s="6" t="b">
        <v>1</v>
      </c>
      <c r="I129" s="6" t="b">
        <v>1</v>
      </c>
      <c r="J129" s="6" t="b">
        <v>0</v>
      </c>
      <c r="K129" s="6" t="b">
        <v>0</v>
      </c>
      <c r="L129" s="6" t="b">
        <v>0</v>
      </c>
      <c r="M129" s="6" t="b">
        <v>0</v>
      </c>
      <c r="N129" s="6" t="b">
        <v>0</v>
      </c>
      <c r="O129" s="6" t="b">
        <v>0</v>
      </c>
      <c r="P129" s="6" t="b">
        <v>0</v>
      </c>
      <c r="Q129" s="6" t="b">
        <v>0</v>
      </c>
      <c r="R129" s="6" t="b">
        <v>1</v>
      </c>
      <c r="S129" s="6" t="b">
        <v>1</v>
      </c>
      <c r="T129" s="6" t="b">
        <v>0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1</v>
      </c>
      <c r="AJ129" s="6" t="b">
        <v>0</v>
      </c>
      <c r="AK129" s="6" t="b">
        <v>0</v>
      </c>
      <c r="AL129" s="17" t="str">
        <f t="shared" si="1"/>
        <v>6 dari 31 (19%)</v>
      </c>
    </row>
    <row r="130" ht="22.5" customHeight="1">
      <c r="A130" s="2">
        <v>129.0</v>
      </c>
      <c r="B130" s="11"/>
      <c r="C130" s="22">
        <v>61321.0</v>
      </c>
      <c r="D130" s="12" t="s">
        <v>54</v>
      </c>
      <c r="E130" s="12" t="s">
        <v>155</v>
      </c>
      <c r="F130" s="14" t="s">
        <v>50</v>
      </c>
      <c r="G130" s="6" t="b">
        <v>1</v>
      </c>
      <c r="H130" s="6" t="b">
        <v>0</v>
      </c>
      <c r="I130" s="6" t="b">
        <v>0</v>
      </c>
      <c r="J130" s="6" t="b">
        <v>0</v>
      </c>
      <c r="K130" s="6" t="b">
        <v>1</v>
      </c>
      <c r="L130" s="6" t="b">
        <v>1</v>
      </c>
      <c r="M130" s="6" t="b">
        <v>1</v>
      </c>
      <c r="N130" s="6" t="b">
        <v>1</v>
      </c>
      <c r="O130" s="6" t="b">
        <v>1</v>
      </c>
      <c r="P130" s="6" t="b">
        <v>1</v>
      </c>
      <c r="Q130" s="6" t="b">
        <v>1</v>
      </c>
      <c r="R130" s="6" t="b">
        <v>1</v>
      </c>
      <c r="S130" s="6" t="b">
        <v>1</v>
      </c>
      <c r="T130" s="6" t="b">
        <v>0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1</v>
      </c>
      <c r="AJ130" s="6" t="b">
        <v>0</v>
      </c>
      <c r="AK130" s="6" t="b">
        <v>0</v>
      </c>
      <c r="AL130" s="9" t="str">
        <f t="shared" si="1"/>
        <v>11 dari 31 (35%)</v>
      </c>
    </row>
    <row r="131" ht="22.5" customHeight="1">
      <c r="A131" s="10">
        <v>130.0</v>
      </c>
      <c r="B131" s="11"/>
      <c r="C131" s="22">
        <v>61319.0</v>
      </c>
      <c r="D131" s="12" t="s">
        <v>54</v>
      </c>
      <c r="E131" s="12" t="s">
        <v>155</v>
      </c>
      <c r="F131" s="13"/>
      <c r="G131" s="6" t="b">
        <v>1</v>
      </c>
      <c r="H131" s="6" t="b">
        <v>1</v>
      </c>
      <c r="I131" s="6" t="b">
        <v>0</v>
      </c>
      <c r="J131" s="6" t="b">
        <v>0</v>
      </c>
      <c r="K131" s="6" t="b">
        <v>0</v>
      </c>
      <c r="L131" s="6" t="b">
        <v>0</v>
      </c>
      <c r="M131" s="6" t="b">
        <v>0</v>
      </c>
      <c r="N131" s="6" t="b">
        <v>0</v>
      </c>
      <c r="O131" s="6" t="b">
        <v>0</v>
      </c>
      <c r="P131" s="6" t="b">
        <v>0</v>
      </c>
      <c r="Q131" s="6" t="b">
        <v>0</v>
      </c>
      <c r="R131" s="6" t="b">
        <v>1</v>
      </c>
      <c r="S131" s="6" t="b">
        <v>1</v>
      </c>
      <c r="T131" s="6" t="b">
        <v>0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0</v>
      </c>
      <c r="AJ131" s="6" t="b">
        <v>0</v>
      </c>
      <c r="AK131" s="6" t="b">
        <v>0</v>
      </c>
      <c r="AL131" s="9" t="str">
        <f t="shared" si="1"/>
        <v>4 dari 31 (13%)</v>
      </c>
    </row>
    <row r="132" ht="22.5" customHeight="1">
      <c r="A132" s="10">
        <v>131.0</v>
      </c>
      <c r="B132" s="11"/>
      <c r="C132" s="20">
        <v>61315.0</v>
      </c>
      <c r="D132" s="12" t="s">
        <v>89</v>
      </c>
      <c r="E132" s="12" t="s">
        <v>95</v>
      </c>
      <c r="F132" s="14" t="s">
        <v>50</v>
      </c>
      <c r="G132" s="6" t="b">
        <v>1</v>
      </c>
      <c r="H132" s="6" t="b">
        <v>0</v>
      </c>
      <c r="I132" s="6" t="b">
        <v>0</v>
      </c>
      <c r="J132" s="6" t="b">
        <v>0</v>
      </c>
      <c r="K132" s="6" t="b">
        <v>0</v>
      </c>
      <c r="L132" s="6" t="b">
        <v>0</v>
      </c>
      <c r="M132" s="6" t="b">
        <v>0</v>
      </c>
      <c r="N132" s="6" t="b">
        <v>0</v>
      </c>
      <c r="O132" s="6" t="b">
        <v>0</v>
      </c>
      <c r="P132" s="6" t="b">
        <v>0</v>
      </c>
      <c r="Q132" s="6" t="b">
        <v>0</v>
      </c>
      <c r="R132" s="6" t="b">
        <v>0</v>
      </c>
      <c r="S132" s="6" t="b">
        <v>0</v>
      </c>
      <c r="T132" s="6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17" t="str">
        <f t="shared" si="1"/>
        <v>1 dari 31 (3%)</v>
      </c>
    </row>
    <row r="133" ht="22.5" customHeight="1">
      <c r="A133" s="2">
        <v>132.0</v>
      </c>
      <c r="B133" s="11"/>
      <c r="C133" s="20">
        <v>61317.0</v>
      </c>
      <c r="D133" s="12" t="s">
        <v>89</v>
      </c>
      <c r="E133" s="12" t="s">
        <v>95</v>
      </c>
      <c r="F133" s="14" t="s">
        <v>50</v>
      </c>
      <c r="G133" s="6" t="b">
        <v>1</v>
      </c>
      <c r="H133" s="6" t="b">
        <v>0</v>
      </c>
      <c r="I133" s="6" t="b">
        <v>0</v>
      </c>
      <c r="J133" s="6" t="b">
        <v>0</v>
      </c>
      <c r="K133" s="6" t="b">
        <v>0</v>
      </c>
      <c r="L133" s="6" t="b">
        <v>0</v>
      </c>
      <c r="M133" s="6" t="b">
        <v>0</v>
      </c>
      <c r="N133" s="6" t="b">
        <v>0</v>
      </c>
      <c r="O133" s="6" t="b">
        <v>0</v>
      </c>
      <c r="P133" s="6" t="b">
        <v>0</v>
      </c>
      <c r="Q133" s="6" t="b">
        <v>0</v>
      </c>
      <c r="R133" s="6" t="b">
        <v>0</v>
      </c>
      <c r="S133" s="6" t="b">
        <v>0</v>
      </c>
      <c r="T133" s="6" t="b">
        <v>0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0</v>
      </c>
      <c r="AJ133" s="6" t="b">
        <v>0</v>
      </c>
      <c r="AK133" s="6" t="b">
        <v>0</v>
      </c>
      <c r="AL133" s="9" t="str">
        <f t="shared" si="1"/>
        <v>1 dari 31 (3%)</v>
      </c>
    </row>
    <row r="134" ht="22.5" customHeight="1">
      <c r="A134" s="10">
        <v>133.0</v>
      </c>
      <c r="B134" s="11"/>
      <c r="C134" s="20">
        <v>61316.0</v>
      </c>
      <c r="D134" s="12" t="s">
        <v>89</v>
      </c>
      <c r="E134" s="12" t="s">
        <v>95</v>
      </c>
      <c r="F134" s="14" t="s">
        <v>50</v>
      </c>
      <c r="G134" s="6" t="b">
        <v>1</v>
      </c>
      <c r="H134" s="6" t="b">
        <v>0</v>
      </c>
      <c r="I134" s="6" t="b">
        <v>0</v>
      </c>
      <c r="J134" s="6" t="b">
        <v>0</v>
      </c>
      <c r="K134" s="6" t="b">
        <v>0</v>
      </c>
      <c r="L134" s="6" t="b">
        <v>0</v>
      </c>
      <c r="M134" s="6" t="b">
        <v>0</v>
      </c>
      <c r="N134" s="6" t="b">
        <v>0</v>
      </c>
      <c r="O134" s="6" t="b">
        <v>0</v>
      </c>
      <c r="P134" s="6" t="b">
        <v>0</v>
      </c>
      <c r="Q134" s="6" t="b">
        <v>0</v>
      </c>
      <c r="R134" s="6" t="b">
        <v>0</v>
      </c>
      <c r="S134" s="6" t="b">
        <v>0</v>
      </c>
      <c r="T134" s="6" t="b">
        <v>0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0</v>
      </c>
      <c r="AJ134" s="6" t="b">
        <v>0</v>
      </c>
      <c r="AK134" s="6" t="b">
        <v>0</v>
      </c>
      <c r="AL134" s="9" t="str">
        <f t="shared" si="1"/>
        <v>1 dari 31 (3%)</v>
      </c>
    </row>
    <row r="135" ht="22.5" customHeight="1">
      <c r="A135" s="10">
        <v>134.0</v>
      </c>
      <c r="B135" s="11"/>
      <c r="C135" s="20">
        <v>61322.0</v>
      </c>
      <c r="D135" s="12" t="s">
        <v>89</v>
      </c>
      <c r="E135" s="12" t="s">
        <v>95</v>
      </c>
      <c r="F135" s="14" t="s">
        <v>50</v>
      </c>
      <c r="G135" s="6" t="b">
        <v>1</v>
      </c>
      <c r="H135" s="6" t="b">
        <v>0</v>
      </c>
      <c r="I135" s="6" t="b">
        <v>0</v>
      </c>
      <c r="J135" s="6" t="b">
        <v>0</v>
      </c>
      <c r="K135" s="6" t="b">
        <v>0</v>
      </c>
      <c r="L135" s="6" t="b">
        <v>0</v>
      </c>
      <c r="M135" s="6" t="b">
        <v>0</v>
      </c>
      <c r="N135" s="6" t="b">
        <v>0</v>
      </c>
      <c r="O135" s="6" t="b">
        <v>0</v>
      </c>
      <c r="P135" s="6" t="b">
        <v>0</v>
      </c>
      <c r="Q135" s="6" t="b">
        <v>0</v>
      </c>
      <c r="R135" s="6" t="b">
        <v>0</v>
      </c>
      <c r="S135" s="6" t="b">
        <v>0</v>
      </c>
      <c r="T135" s="6" t="b">
        <v>0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0</v>
      </c>
      <c r="AJ135" s="6" t="b">
        <v>0</v>
      </c>
      <c r="AK135" s="6" t="b">
        <v>0</v>
      </c>
      <c r="AL135" s="17" t="str">
        <f t="shared" si="1"/>
        <v>1 dari 31 (3%)</v>
      </c>
    </row>
    <row r="136" ht="22.5" customHeight="1">
      <c r="A136" s="2">
        <v>135.0</v>
      </c>
      <c r="B136" s="11"/>
      <c r="D136" s="138"/>
      <c r="E136" s="138"/>
      <c r="F136" s="13"/>
      <c r="G136" s="6" t="b">
        <v>0</v>
      </c>
      <c r="H136" s="6" t="b">
        <v>0</v>
      </c>
      <c r="I136" s="6" t="b">
        <v>0</v>
      </c>
      <c r="J136" s="6" t="b">
        <v>0</v>
      </c>
      <c r="K136" s="6" t="b">
        <v>0</v>
      </c>
      <c r="L136" s="6" t="b">
        <v>0</v>
      </c>
      <c r="M136" s="6" t="b">
        <v>0</v>
      </c>
      <c r="N136" s="6" t="b">
        <v>0</v>
      </c>
      <c r="O136" s="6" t="b">
        <v>0</v>
      </c>
      <c r="P136" s="6" t="b">
        <v>0</v>
      </c>
      <c r="Q136" s="6" t="b">
        <v>0</v>
      </c>
      <c r="R136" s="6" t="b">
        <v>0</v>
      </c>
      <c r="S136" s="6" t="b">
        <v>0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0</v>
      </c>
      <c r="AJ136" s="6" t="b">
        <v>0</v>
      </c>
      <c r="AK136" s="6" t="b">
        <v>0</v>
      </c>
      <c r="AL136" s="9" t="str">
        <f t="shared" si="1"/>
        <v>0 dari 31 (0%)</v>
      </c>
    </row>
    <row r="137" ht="22.5" customHeight="1">
      <c r="A137" s="10">
        <v>136.0</v>
      </c>
      <c r="B137" s="11"/>
      <c r="C137" s="20" t="s">
        <v>173</v>
      </c>
      <c r="D137" s="138"/>
      <c r="E137" s="138"/>
      <c r="F137" s="13"/>
      <c r="G137" s="6" t="b">
        <v>0</v>
      </c>
      <c r="H137" s="6" t="b">
        <v>0</v>
      </c>
      <c r="I137" s="6" t="b">
        <v>0</v>
      </c>
      <c r="J137" s="6" t="b">
        <v>0</v>
      </c>
      <c r="K137" s="6" t="b">
        <v>0</v>
      </c>
      <c r="L137" s="6" t="b">
        <v>0</v>
      </c>
      <c r="M137" s="6" t="b">
        <v>0</v>
      </c>
      <c r="N137" s="6" t="b">
        <v>0</v>
      </c>
      <c r="O137" s="6" t="b">
        <v>0</v>
      </c>
      <c r="P137" s="6" t="b">
        <v>0</v>
      </c>
      <c r="Q137" s="6" t="b">
        <v>0</v>
      </c>
      <c r="R137" s="6" t="b">
        <v>0</v>
      </c>
      <c r="S137" s="6" t="b">
        <v>0</v>
      </c>
      <c r="T137" s="6" t="b">
        <v>0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0</v>
      </c>
      <c r="AJ137" s="6" t="b">
        <v>0</v>
      </c>
      <c r="AK137" s="6" t="b">
        <v>0</v>
      </c>
      <c r="AL137" s="9" t="str">
        <f t="shared" si="1"/>
        <v>0 dari 31 (0%)</v>
      </c>
    </row>
    <row r="138" ht="22.5" customHeight="1">
      <c r="A138" s="10">
        <v>137.0</v>
      </c>
      <c r="B138" s="11"/>
      <c r="D138" s="138"/>
      <c r="E138" s="138"/>
      <c r="F138" s="13"/>
      <c r="G138" s="6" t="b">
        <v>0</v>
      </c>
      <c r="H138" s="6" t="b">
        <v>0</v>
      </c>
      <c r="I138" s="6" t="b">
        <v>0</v>
      </c>
      <c r="J138" s="6" t="b">
        <v>0</v>
      </c>
      <c r="K138" s="6" t="b">
        <v>0</v>
      </c>
      <c r="L138" s="6" t="b">
        <v>0</v>
      </c>
      <c r="M138" s="6" t="b">
        <v>0</v>
      </c>
      <c r="N138" s="6" t="b">
        <v>0</v>
      </c>
      <c r="O138" s="6" t="b">
        <v>0</v>
      </c>
      <c r="P138" s="6" t="b">
        <v>0</v>
      </c>
      <c r="Q138" s="6" t="b">
        <v>0</v>
      </c>
      <c r="R138" s="6" t="b">
        <v>0</v>
      </c>
      <c r="S138" s="6" t="b">
        <v>0</v>
      </c>
      <c r="T138" s="6" t="b">
        <v>0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0</v>
      </c>
      <c r="AJ138" s="6" t="b">
        <v>0</v>
      </c>
      <c r="AK138" s="6" t="b">
        <v>0</v>
      </c>
      <c r="AL138" s="17" t="str">
        <f t="shared" si="1"/>
        <v>0 dari 31 (0%)</v>
      </c>
    </row>
    <row r="139" ht="22.5" customHeight="1">
      <c r="A139" s="2">
        <v>138.0</v>
      </c>
      <c r="B139" s="11"/>
      <c r="C139" s="22"/>
      <c r="D139" s="138"/>
      <c r="E139" s="138"/>
      <c r="F139" s="13"/>
      <c r="G139" s="6" t="b">
        <v>0</v>
      </c>
      <c r="H139" s="6" t="b">
        <v>0</v>
      </c>
      <c r="I139" s="6" t="b">
        <v>0</v>
      </c>
      <c r="J139" s="6" t="b">
        <v>0</v>
      </c>
      <c r="K139" s="6" t="b">
        <v>0</v>
      </c>
      <c r="L139" s="6" t="b">
        <v>0</v>
      </c>
      <c r="M139" s="6" t="b">
        <v>0</v>
      </c>
      <c r="N139" s="6" t="b">
        <v>0</v>
      </c>
      <c r="O139" s="6" t="b">
        <v>0</v>
      </c>
      <c r="P139" s="6" t="b">
        <v>0</v>
      </c>
      <c r="Q139" s="6" t="b">
        <v>0</v>
      </c>
      <c r="R139" s="6" t="b">
        <v>0</v>
      </c>
      <c r="S139" s="6" t="b">
        <v>0</v>
      </c>
      <c r="T139" s="6" t="b">
        <v>0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0</v>
      </c>
      <c r="AJ139" s="6" t="b">
        <v>0</v>
      </c>
      <c r="AK139" s="6" t="b">
        <v>0</v>
      </c>
      <c r="AL139" s="9" t="str">
        <f t="shared" si="1"/>
        <v>0 dari 31 (0%)</v>
      </c>
    </row>
    <row r="140" ht="22.5" customHeight="1">
      <c r="A140" s="10">
        <v>139.0</v>
      </c>
      <c r="B140" s="11"/>
      <c r="D140" s="138"/>
      <c r="E140" s="138"/>
      <c r="F140" s="13"/>
      <c r="G140" s="6" t="b">
        <v>0</v>
      </c>
      <c r="H140" s="6" t="b">
        <v>0</v>
      </c>
      <c r="I140" s="6" t="b">
        <v>0</v>
      </c>
      <c r="J140" s="6" t="b">
        <v>0</v>
      </c>
      <c r="K140" s="6" t="b">
        <v>0</v>
      </c>
      <c r="L140" s="6" t="b">
        <v>0</v>
      </c>
      <c r="M140" s="6" t="b">
        <v>0</v>
      </c>
      <c r="N140" s="6" t="b">
        <v>0</v>
      </c>
      <c r="O140" s="6" t="b">
        <v>0</v>
      </c>
      <c r="P140" s="6" t="b">
        <v>0</v>
      </c>
      <c r="Q140" s="6" t="b">
        <v>0</v>
      </c>
      <c r="R140" s="6" t="b">
        <v>0</v>
      </c>
      <c r="S140" s="6" t="b">
        <v>0</v>
      </c>
      <c r="T140" s="6" t="b">
        <v>0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0</v>
      </c>
      <c r="AJ140" s="6" t="b">
        <v>0</v>
      </c>
      <c r="AK140" s="6" t="b">
        <v>0</v>
      </c>
      <c r="AL140" s="9" t="str">
        <f t="shared" si="1"/>
        <v>0 dari 31 (0%)</v>
      </c>
    </row>
    <row r="141" ht="22.5" customHeight="1">
      <c r="A141" s="10">
        <v>140.0</v>
      </c>
      <c r="B141" s="11"/>
      <c r="C141" s="22"/>
      <c r="D141" s="138"/>
      <c r="E141" s="138"/>
      <c r="F141" s="13"/>
      <c r="G141" s="6" t="b">
        <v>0</v>
      </c>
      <c r="H141" s="6" t="b">
        <v>0</v>
      </c>
      <c r="I141" s="6" t="b">
        <v>0</v>
      </c>
      <c r="J141" s="6" t="b">
        <v>0</v>
      </c>
      <c r="K141" s="6" t="b">
        <v>0</v>
      </c>
      <c r="L141" s="6" t="b">
        <v>0</v>
      </c>
      <c r="M141" s="6" t="b">
        <v>0</v>
      </c>
      <c r="N141" s="6" t="b">
        <v>0</v>
      </c>
      <c r="O141" s="6" t="b">
        <v>0</v>
      </c>
      <c r="P141" s="6" t="b">
        <v>0</v>
      </c>
      <c r="Q141" s="6" t="b">
        <v>0</v>
      </c>
      <c r="R141" s="6" t="b">
        <v>0</v>
      </c>
      <c r="S141" s="6" t="b">
        <v>0</v>
      </c>
      <c r="T141" s="6" t="b">
        <v>0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0</v>
      </c>
      <c r="AJ141" s="6" t="b">
        <v>0</v>
      </c>
      <c r="AK141" s="6" t="b">
        <v>0</v>
      </c>
      <c r="AL141" s="17" t="str">
        <f t="shared" si="1"/>
        <v>0 dari 31 (0%)</v>
      </c>
    </row>
    <row r="142" ht="22.5" customHeight="1">
      <c r="A142" s="2">
        <v>141.0</v>
      </c>
      <c r="B142" s="11"/>
      <c r="C142" s="140"/>
      <c r="D142" s="138"/>
      <c r="E142" s="138"/>
      <c r="F142" s="13"/>
      <c r="G142" s="6" t="b">
        <v>0</v>
      </c>
      <c r="H142" s="6" t="b">
        <v>0</v>
      </c>
      <c r="I142" s="6" t="b">
        <v>0</v>
      </c>
      <c r="J142" s="6" t="b">
        <v>0</v>
      </c>
      <c r="K142" s="6" t="b">
        <v>0</v>
      </c>
      <c r="L142" s="6" t="b">
        <v>0</v>
      </c>
      <c r="M142" s="6" t="b">
        <v>0</v>
      </c>
      <c r="N142" s="6" t="b">
        <v>0</v>
      </c>
      <c r="O142" s="6" t="b">
        <v>0</v>
      </c>
      <c r="P142" s="6" t="b">
        <v>0</v>
      </c>
      <c r="Q142" s="6" t="b">
        <v>0</v>
      </c>
      <c r="R142" s="6" t="b">
        <v>0</v>
      </c>
      <c r="S142" s="6" t="b">
        <v>0</v>
      </c>
      <c r="T142" s="6" t="b">
        <v>0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0</v>
      </c>
      <c r="AJ142" s="6" t="b">
        <v>0</v>
      </c>
      <c r="AK142" s="6" t="b">
        <v>0</v>
      </c>
      <c r="AL142" s="9" t="str">
        <f t="shared" si="1"/>
        <v>0 dari 31 (0%)</v>
      </c>
    </row>
    <row r="143" ht="22.5" customHeight="1">
      <c r="A143" s="10">
        <v>142.0</v>
      </c>
      <c r="B143" s="11"/>
      <c r="C143" s="140"/>
      <c r="D143" s="138"/>
      <c r="E143" s="138"/>
      <c r="F143" s="13"/>
      <c r="G143" s="6" t="b">
        <v>0</v>
      </c>
      <c r="H143" s="6" t="b">
        <v>0</v>
      </c>
      <c r="I143" s="6" t="b">
        <v>0</v>
      </c>
      <c r="J143" s="6" t="b">
        <v>0</v>
      </c>
      <c r="K143" s="6" t="b">
        <v>0</v>
      </c>
      <c r="L143" s="6" t="b">
        <v>0</v>
      </c>
      <c r="M143" s="6" t="b">
        <v>0</v>
      </c>
      <c r="N143" s="6" t="b">
        <v>0</v>
      </c>
      <c r="O143" s="6" t="b">
        <v>0</v>
      </c>
      <c r="P143" s="6" t="b">
        <v>0</v>
      </c>
      <c r="Q143" s="6" t="b">
        <v>0</v>
      </c>
      <c r="R143" s="6" t="b">
        <v>0</v>
      </c>
      <c r="S143" s="6" t="b">
        <v>0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0</v>
      </c>
      <c r="AJ143" s="6" t="b">
        <v>0</v>
      </c>
      <c r="AK143" s="6" t="b">
        <v>0</v>
      </c>
      <c r="AL143" s="9" t="str">
        <f t="shared" si="1"/>
        <v>0 dari 31 (0%)</v>
      </c>
    </row>
    <row r="144" ht="22.5" customHeight="1">
      <c r="A144" s="10">
        <v>143.0</v>
      </c>
      <c r="B144" s="11"/>
      <c r="C144" s="140"/>
      <c r="D144" s="138"/>
      <c r="E144" s="138"/>
      <c r="F144" s="13"/>
      <c r="G144" s="6" t="b">
        <v>0</v>
      </c>
      <c r="H144" s="6" t="b">
        <v>0</v>
      </c>
      <c r="I144" s="6" t="b">
        <v>0</v>
      </c>
      <c r="J144" s="6" t="b">
        <v>0</v>
      </c>
      <c r="K144" s="6" t="b">
        <v>0</v>
      </c>
      <c r="L144" s="6" t="b">
        <v>0</v>
      </c>
      <c r="M144" s="6" t="b">
        <v>0</v>
      </c>
      <c r="N144" s="6" t="b">
        <v>0</v>
      </c>
      <c r="O144" s="6" t="b">
        <v>0</v>
      </c>
      <c r="P144" s="6" t="b">
        <v>0</v>
      </c>
      <c r="Q144" s="6" t="b">
        <v>0</v>
      </c>
      <c r="R144" s="6" t="b">
        <v>0</v>
      </c>
      <c r="S144" s="6" t="b">
        <v>0</v>
      </c>
      <c r="T144" s="6" t="b">
        <v>0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0</v>
      </c>
      <c r="AJ144" s="6" t="b">
        <v>0</v>
      </c>
      <c r="AK144" s="6" t="b">
        <v>0</v>
      </c>
      <c r="AL144" s="17" t="str">
        <f t="shared" si="1"/>
        <v>0 dari 31 (0%)</v>
      </c>
    </row>
    <row r="145" ht="22.5" customHeight="1">
      <c r="A145" s="2">
        <v>144.0</v>
      </c>
      <c r="B145" s="11"/>
      <c r="C145" s="140"/>
      <c r="D145" s="138"/>
      <c r="E145" s="138"/>
      <c r="F145" s="13"/>
      <c r="G145" s="6" t="b">
        <v>0</v>
      </c>
      <c r="H145" s="6" t="b">
        <v>0</v>
      </c>
      <c r="I145" s="6" t="b">
        <v>0</v>
      </c>
      <c r="J145" s="6" t="b">
        <v>0</v>
      </c>
      <c r="K145" s="6" t="b">
        <v>0</v>
      </c>
      <c r="L145" s="6" t="b">
        <v>0</v>
      </c>
      <c r="M145" s="6" t="b">
        <v>0</v>
      </c>
      <c r="N145" s="6" t="b">
        <v>0</v>
      </c>
      <c r="O145" s="6" t="b">
        <v>0</v>
      </c>
      <c r="P145" s="6" t="b">
        <v>0</v>
      </c>
      <c r="Q145" s="6" t="b">
        <v>0</v>
      </c>
      <c r="R145" s="6" t="b">
        <v>0</v>
      </c>
      <c r="S145" s="6" t="b">
        <v>0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0</v>
      </c>
      <c r="AJ145" s="6" t="b">
        <v>0</v>
      </c>
      <c r="AK145" s="6" t="b">
        <v>0</v>
      </c>
      <c r="AL145" s="9" t="str">
        <f t="shared" si="1"/>
        <v>0 dari 31 (0%)</v>
      </c>
    </row>
    <row r="146" ht="22.5" customHeight="1">
      <c r="A146" s="10">
        <v>145.0</v>
      </c>
      <c r="B146" s="11"/>
      <c r="C146" s="140"/>
      <c r="D146" s="138"/>
      <c r="E146" s="138"/>
      <c r="F146" s="13"/>
      <c r="G146" s="6" t="b">
        <v>0</v>
      </c>
      <c r="H146" s="6" t="b">
        <v>0</v>
      </c>
      <c r="I146" s="6" t="b">
        <v>0</v>
      </c>
      <c r="J146" s="6" t="b">
        <v>0</v>
      </c>
      <c r="K146" s="6" t="b">
        <v>0</v>
      </c>
      <c r="L146" s="6" t="b">
        <v>0</v>
      </c>
      <c r="M146" s="6" t="b">
        <v>0</v>
      </c>
      <c r="N146" s="6" t="b">
        <v>0</v>
      </c>
      <c r="O146" s="6" t="b">
        <v>0</v>
      </c>
      <c r="P146" s="6" t="b">
        <v>0</v>
      </c>
      <c r="Q146" s="6" t="b">
        <v>0</v>
      </c>
      <c r="R146" s="6" t="b">
        <v>0</v>
      </c>
      <c r="S146" s="6" t="b">
        <v>0</v>
      </c>
      <c r="T146" s="6" t="b">
        <v>0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0</v>
      </c>
      <c r="AJ146" s="6" t="b">
        <v>0</v>
      </c>
      <c r="AK146" s="6" t="b">
        <v>0</v>
      </c>
      <c r="AL146" s="9" t="str">
        <f t="shared" si="1"/>
        <v>0 dari 31 (0%)</v>
      </c>
    </row>
    <row r="147" ht="22.5" customHeight="1">
      <c r="A147" s="10">
        <v>146.0</v>
      </c>
      <c r="B147" s="11"/>
      <c r="C147" s="140"/>
      <c r="D147" s="138"/>
      <c r="E147" s="138"/>
      <c r="F147" s="13"/>
      <c r="G147" s="6" t="b">
        <v>0</v>
      </c>
      <c r="H147" s="6" t="b">
        <v>0</v>
      </c>
      <c r="I147" s="6" t="b">
        <v>0</v>
      </c>
      <c r="J147" s="6" t="b">
        <v>0</v>
      </c>
      <c r="K147" s="6" t="b">
        <v>0</v>
      </c>
      <c r="L147" s="6" t="b">
        <v>0</v>
      </c>
      <c r="M147" s="6" t="b">
        <v>0</v>
      </c>
      <c r="N147" s="6" t="b">
        <v>0</v>
      </c>
      <c r="O147" s="6" t="b">
        <v>0</v>
      </c>
      <c r="P147" s="6" t="b">
        <v>0</v>
      </c>
      <c r="Q147" s="6" t="b">
        <v>0</v>
      </c>
      <c r="R147" s="6" t="b">
        <v>0</v>
      </c>
      <c r="S147" s="6" t="b">
        <v>0</v>
      </c>
      <c r="T147" s="6" t="b">
        <v>0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0</v>
      </c>
      <c r="AJ147" s="6" t="b">
        <v>0</v>
      </c>
      <c r="AK147" s="6" t="b">
        <v>0</v>
      </c>
      <c r="AL147" s="17" t="str">
        <f t="shared" si="1"/>
        <v>0 dari 31 (0%)</v>
      </c>
    </row>
    <row r="148" ht="22.5" customHeight="1">
      <c r="A148" s="2">
        <v>147.0</v>
      </c>
      <c r="B148" s="11"/>
      <c r="C148" s="140"/>
      <c r="D148" s="138"/>
      <c r="E148" s="138"/>
      <c r="F148" s="13"/>
      <c r="G148" s="6" t="b">
        <v>0</v>
      </c>
      <c r="H148" s="6" t="b">
        <v>0</v>
      </c>
      <c r="I148" s="6" t="b">
        <v>0</v>
      </c>
      <c r="J148" s="6" t="b">
        <v>0</v>
      </c>
      <c r="K148" s="6" t="b">
        <v>0</v>
      </c>
      <c r="L148" s="6" t="b">
        <v>0</v>
      </c>
      <c r="M148" s="6" t="b">
        <v>0</v>
      </c>
      <c r="N148" s="6" t="b">
        <v>0</v>
      </c>
      <c r="O148" s="6" t="b">
        <v>0</v>
      </c>
      <c r="P148" s="6" t="b">
        <v>0</v>
      </c>
      <c r="Q148" s="6" t="b">
        <v>0</v>
      </c>
      <c r="R148" s="6" t="b">
        <v>0</v>
      </c>
      <c r="S148" s="6" t="b">
        <v>0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0</v>
      </c>
      <c r="AJ148" s="6" t="b">
        <v>0</v>
      </c>
      <c r="AK148" s="6" t="b">
        <v>0</v>
      </c>
      <c r="AL148" s="9" t="str">
        <f t="shared" si="1"/>
        <v>0 dari 31 (0%)</v>
      </c>
    </row>
    <row r="149" ht="22.5" customHeight="1">
      <c r="A149" s="10">
        <v>148.0</v>
      </c>
      <c r="B149" s="11"/>
      <c r="C149" s="140"/>
      <c r="D149" s="138"/>
      <c r="E149" s="138"/>
      <c r="F149" s="13"/>
      <c r="G149" s="6" t="b">
        <v>0</v>
      </c>
      <c r="H149" s="6" t="b">
        <v>0</v>
      </c>
      <c r="I149" s="6" t="b">
        <v>0</v>
      </c>
      <c r="J149" s="6" t="b">
        <v>0</v>
      </c>
      <c r="K149" s="6" t="b">
        <v>0</v>
      </c>
      <c r="L149" s="6" t="b">
        <v>0</v>
      </c>
      <c r="M149" s="6" t="b">
        <v>0</v>
      </c>
      <c r="N149" s="6" t="b">
        <v>0</v>
      </c>
      <c r="O149" s="6" t="b">
        <v>0</v>
      </c>
      <c r="P149" s="6" t="b">
        <v>0</v>
      </c>
      <c r="Q149" s="6" t="b">
        <v>0</v>
      </c>
      <c r="R149" s="6" t="b">
        <v>0</v>
      </c>
      <c r="S149" s="6" t="b">
        <v>0</v>
      </c>
      <c r="T149" s="6" t="b">
        <v>0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0</v>
      </c>
      <c r="AJ149" s="6" t="b">
        <v>0</v>
      </c>
      <c r="AK149" s="6" t="b">
        <v>0</v>
      </c>
      <c r="AL149" s="9" t="str">
        <f t="shared" si="1"/>
        <v>0 dari 31 (0%)</v>
      </c>
    </row>
    <row r="150" ht="22.5" customHeight="1">
      <c r="A150" s="10">
        <v>149.0</v>
      </c>
      <c r="B150" s="11"/>
      <c r="C150" s="140"/>
      <c r="D150" s="138"/>
      <c r="E150" s="138"/>
      <c r="F150" s="13"/>
      <c r="G150" s="6" t="b">
        <v>0</v>
      </c>
      <c r="H150" s="6" t="b">
        <v>0</v>
      </c>
      <c r="I150" s="6" t="b">
        <v>0</v>
      </c>
      <c r="J150" s="6" t="b">
        <v>0</v>
      </c>
      <c r="K150" s="6" t="b">
        <v>0</v>
      </c>
      <c r="L150" s="6" t="b">
        <v>0</v>
      </c>
      <c r="M150" s="6" t="b">
        <v>0</v>
      </c>
      <c r="N150" s="6" t="b">
        <v>0</v>
      </c>
      <c r="O150" s="6" t="b">
        <v>0</v>
      </c>
      <c r="P150" s="6" t="b">
        <v>0</v>
      </c>
      <c r="Q150" s="6" t="b">
        <v>0</v>
      </c>
      <c r="R150" s="6" t="b">
        <v>0</v>
      </c>
      <c r="S150" s="6" t="b">
        <v>0</v>
      </c>
      <c r="T150" s="6" t="b">
        <v>0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0</v>
      </c>
      <c r="AJ150" s="6" t="b">
        <v>0</v>
      </c>
      <c r="AK150" s="6" t="b">
        <v>0</v>
      </c>
      <c r="AL150" s="17" t="str">
        <f t="shared" si="1"/>
        <v>0 dari 31 (0%)</v>
      </c>
    </row>
    <row r="151" ht="22.5" customHeight="1">
      <c r="A151" s="2">
        <v>150.0</v>
      </c>
      <c r="B151" s="11"/>
      <c r="C151" s="140"/>
      <c r="D151" s="138"/>
      <c r="E151" s="138"/>
      <c r="F151" s="13"/>
      <c r="G151" s="6" t="b">
        <v>0</v>
      </c>
      <c r="H151" s="6" t="b">
        <v>0</v>
      </c>
      <c r="I151" s="6" t="b">
        <v>0</v>
      </c>
      <c r="J151" s="6" t="b">
        <v>0</v>
      </c>
      <c r="K151" s="6" t="b">
        <v>0</v>
      </c>
      <c r="L151" s="6" t="b">
        <v>0</v>
      </c>
      <c r="M151" s="6" t="b">
        <v>0</v>
      </c>
      <c r="N151" s="6" t="b">
        <v>0</v>
      </c>
      <c r="O151" s="6" t="b">
        <v>0</v>
      </c>
      <c r="P151" s="6" t="b">
        <v>0</v>
      </c>
      <c r="Q151" s="6" t="b">
        <v>0</v>
      </c>
      <c r="R151" s="6" t="b">
        <v>0</v>
      </c>
      <c r="S151" s="6" t="b">
        <v>0</v>
      </c>
      <c r="T151" s="6" t="b">
        <v>0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0</v>
      </c>
      <c r="AF151" s="6" t="b">
        <v>0</v>
      </c>
      <c r="AG151" s="6" t="b">
        <v>0</v>
      </c>
      <c r="AH151" s="6" t="b">
        <v>0</v>
      </c>
      <c r="AI151" s="6" t="b">
        <v>0</v>
      </c>
      <c r="AJ151" s="6" t="b">
        <v>0</v>
      </c>
      <c r="AK151" s="6" t="b">
        <v>0</v>
      </c>
      <c r="AL151" s="9" t="str">
        <f t="shared" si="1"/>
        <v>0 dari 31 (0%)</v>
      </c>
    </row>
    <row r="152" ht="22.5" customHeight="1">
      <c r="A152" s="10">
        <v>151.0</v>
      </c>
      <c r="B152" s="11"/>
      <c r="C152" s="140"/>
      <c r="D152" s="138"/>
      <c r="E152" s="138"/>
      <c r="F152" s="13"/>
      <c r="G152" s="6" t="b">
        <v>0</v>
      </c>
      <c r="H152" s="6" t="b">
        <v>0</v>
      </c>
      <c r="I152" s="6" t="b">
        <v>0</v>
      </c>
      <c r="J152" s="6" t="b">
        <v>0</v>
      </c>
      <c r="K152" s="6" t="b">
        <v>0</v>
      </c>
      <c r="L152" s="6" t="b">
        <v>0</v>
      </c>
      <c r="M152" s="6" t="b">
        <v>0</v>
      </c>
      <c r="N152" s="6" t="b">
        <v>0</v>
      </c>
      <c r="O152" s="6" t="b">
        <v>0</v>
      </c>
      <c r="P152" s="6" t="b">
        <v>0</v>
      </c>
      <c r="Q152" s="6" t="b">
        <v>0</v>
      </c>
      <c r="R152" s="6" t="b">
        <v>0</v>
      </c>
      <c r="S152" s="6" t="b">
        <v>0</v>
      </c>
      <c r="T152" s="6" t="b">
        <v>0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0</v>
      </c>
      <c r="Z152" s="6" t="b">
        <v>0</v>
      </c>
      <c r="AA152" s="6" t="b">
        <v>0</v>
      </c>
      <c r="AB152" s="6" t="b">
        <v>0</v>
      </c>
      <c r="AC152" s="6" t="b">
        <v>0</v>
      </c>
      <c r="AD152" s="6" t="b">
        <v>0</v>
      </c>
      <c r="AE152" s="6" t="b">
        <v>0</v>
      </c>
      <c r="AF152" s="6" t="b">
        <v>0</v>
      </c>
      <c r="AG152" s="6" t="b">
        <v>0</v>
      </c>
      <c r="AH152" s="6" t="b">
        <v>0</v>
      </c>
      <c r="AI152" s="6" t="b">
        <v>0</v>
      </c>
      <c r="AJ152" s="6" t="b">
        <v>0</v>
      </c>
      <c r="AK152" s="6" t="b">
        <v>0</v>
      </c>
      <c r="AL152" s="9" t="str">
        <f t="shared" si="1"/>
        <v>0 dari 31 (0%)</v>
      </c>
    </row>
    <row r="153" ht="22.5" customHeight="1">
      <c r="A153" s="10">
        <v>152.0</v>
      </c>
      <c r="B153" s="11"/>
      <c r="C153" s="140"/>
      <c r="D153" s="138"/>
      <c r="E153" s="138"/>
      <c r="F153" s="13"/>
      <c r="G153" s="112" t="b">
        <v>0</v>
      </c>
      <c r="H153" s="112" t="b">
        <v>0</v>
      </c>
      <c r="I153" s="112" t="b">
        <v>0</v>
      </c>
      <c r="J153" s="112" t="b">
        <v>0</v>
      </c>
      <c r="K153" s="112" t="b">
        <v>0</v>
      </c>
      <c r="L153" s="112" t="b">
        <v>0</v>
      </c>
      <c r="M153" s="112" t="b">
        <v>0</v>
      </c>
      <c r="N153" s="112" t="b">
        <v>0</v>
      </c>
      <c r="O153" s="112" t="b">
        <v>0</v>
      </c>
      <c r="P153" s="112" t="b">
        <v>0</v>
      </c>
      <c r="Q153" s="112" t="b">
        <v>0</v>
      </c>
      <c r="R153" s="112" t="b">
        <v>0</v>
      </c>
      <c r="S153" s="112" t="b">
        <v>0</v>
      </c>
      <c r="T153" s="112" t="b">
        <v>0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0</v>
      </c>
      <c r="AA153" s="112" t="b">
        <v>0</v>
      </c>
      <c r="AB153" s="112" t="b">
        <v>0</v>
      </c>
      <c r="AC153" s="112" t="b">
        <v>0</v>
      </c>
      <c r="AD153" s="112" t="b">
        <v>0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0</v>
      </c>
      <c r="AJ153" s="112" t="b">
        <v>0</v>
      </c>
      <c r="AK153" s="112" t="b">
        <v>0</v>
      </c>
      <c r="AL153" s="113" t="str">
        <f t="shared" si="1"/>
        <v>0 dari 31 (0%)</v>
      </c>
    </row>
    <row r="154" ht="22.5" customHeight="1">
      <c r="A154" s="2">
        <v>153.0</v>
      </c>
      <c r="B154" s="11"/>
      <c r="C154" s="140"/>
      <c r="D154" s="138"/>
      <c r="E154" s="138"/>
      <c r="F154" s="135"/>
      <c r="G154" s="114" t="b">
        <v>0</v>
      </c>
      <c r="H154" s="114" t="b">
        <v>0</v>
      </c>
      <c r="I154" s="114" t="b">
        <v>0</v>
      </c>
      <c r="J154" s="114" t="b">
        <v>0</v>
      </c>
      <c r="K154" s="114" t="b">
        <v>0</v>
      </c>
      <c r="L154" s="114" t="b">
        <v>0</v>
      </c>
      <c r="M154" s="114" t="b">
        <v>0</v>
      </c>
      <c r="N154" s="114" t="b">
        <v>0</v>
      </c>
      <c r="O154" s="114" t="b">
        <v>0</v>
      </c>
      <c r="P154" s="114" t="b">
        <v>0</v>
      </c>
      <c r="Q154" s="114" t="b">
        <v>0</v>
      </c>
      <c r="R154" s="114" t="b">
        <v>0</v>
      </c>
      <c r="S154" s="114" t="b">
        <v>0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0</v>
      </c>
      <c r="AJ154" s="114" t="b">
        <v>0</v>
      </c>
      <c r="AK154" s="114" t="b">
        <v>0</v>
      </c>
      <c r="AL154" s="115" t="str">
        <f t="shared" si="1"/>
        <v>0 dari 31 (0%)</v>
      </c>
    </row>
    <row r="155" ht="22.5" customHeight="1">
      <c r="A155" s="10">
        <v>154.0</v>
      </c>
      <c r="B155" s="11"/>
      <c r="C155" s="140"/>
      <c r="D155" s="138"/>
      <c r="E155" s="138"/>
      <c r="F155" s="13"/>
      <c r="G155" s="114" t="b">
        <v>0</v>
      </c>
      <c r="H155" s="114" t="b">
        <v>0</v>
      </c>
      <c r="I155" s="114" t="b">
        <v>0</v>
      </c>
      <c r="J155" s="114" t="b">
        <v>0</v>
      </c>
      <c r="K155" s="114" t="b">
        <v>0</v>
      </c>
      <c r="L155" s="114" t="b">
        <v>0</v>
      </c>
      <c r="M155" s="114" t="b">
        <v>0</v>
      </c>
      <c r="N155" s="114" t="b">
        <v>0</v>
      </c>
      <c r="O155" s="114" t="b">
        <v>0</v>
      </c>
      <c r="P155" s="114" t="b">
        <v>0</v>
      </c>
      <c r="Q155" s="114" t="b">
        <v>0</v>
      </c>
      <c r="R155" s="114" t="b">
        <v>0</v>
      </c>
      <c r="S155" s="114" t="b">
        <v>0</v>
      </c>
      <c r="T155" s="114" t="b">
        <v>0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5" t="str">
        <f t="shared" si="1"/>
        <v>0 dari 31 (0%)</v>
      </c>
    </row>
    <row r="156" ht="22.5" customHeight="1">
      <c r="A156" s="10">
        <v>155.0</v>
      </c>
      <c r="B156" s="11"/>
      <c r="C156" s="140"/>
      <c r="D156" s="138"/>
      <c r="E156" s="138"/>
      <c r="F156" s="13"/>
      <c r="G156" s="114" t="b">
        <v>0</v>
      </c>
      <c r="H156" s="114" t="b">
        <v>0</v>
      </c>
      <c r="I156" s="114" t="b">
        <v>0</v>
      </c>
      <c r="J156" s="114" t="b">
        <v>0</v>
      </c>
      <c r="K156" s="114" t="b">
        <v>0</v>
      </c>
      <c r="L156" s="114" t="b">
        <v>0</v>
      </c>
      <c r="M156" s="114" t="b">
        <v>0</v>
      </c>
      <c r="N156" s="114" t="b">
        <v>0</v>
      </c>
      <c r="O156" s="114" t="b">
        <v>0</v>
      </c>
      <c r="P156" s="114" t="b">
        <v>0</v>
      </c>
      <c r="Q156" s="114" t="b">
        <v>0</v>
      </c>
      <c r="R156" s="114" t="b">
        <v>0</v>
      </c>
      <c r="S156" s="114" t="b">
        <v>0</v>
      </c>
      <c r="T156" s="114" t="b">
        <v>0</v>
      </c>
      <c r="U156" s="114" t="b">
        <v>0</v>
      </c>
      <c r="V156" s="114" t="b">
        <v>0</v>
      </c>
      <c r="W156" s="114" t="b">
        <v>0</v>
      </c>
      <c r="X156" s="114" t="b">
        <v>0</v>
      </c>
      <c r="Y156" s="114" t="b">
        <v>0</v>
      </c>
      <c r="Z156" s="114" t="b">
        <v>0</v>
      </c>
      <c r="AA156" s="114" t="b">
        <v>0</v>
      </c>
      <c r="AB156" s="114" t="b">
        <v>0</v>
      </c>
      <c r="AC156" s="114" t="b">
        <v>0</v>
      </c>
      <c r="AD156" s="114" t="b">
        <v>0</v>
      </c>
      <c r="AE156" s="114" t="b">
        <v>0</v>
      </c>
      <c r="AF156" s="114" t="b">
        <v>0</v>
      </c>
      <c r="AG156" s="114" t="b">
        <v>0</v>
      </c>
      <c r="AH156" s="114" t="b">
        <v>0</v>
      </c>
      <c r="AI156" s="114" t="b">
        <v>0</v>
      </c>
      <c r="AJ156" s="114" t="b">
        <v>0</v>
      </c>
      <c r="AK156" s="114" t="b">
        <v>0</v>
      </c>
      <c r="AL156" s="115" t="str">
        <f t="shared" si="1"/>
        <v>0 dari 31 (0%)</v>
      </c>
    </row>
    <row r="157" ht="22.5" customHeight="1">
      <c r="A157" s="2">
        <v>156.0</v>
      </c>
      <c r="B157" s="11"/>
      <c r="C157" s="140"/>
      <c r="D157" s="138"/>
      <c r="E157" s="138"/>
      <c r="F157" s="13"/>
      <c r="G157" s="114" t="b">
        <v>0</v>
      </c>
      <c r="H157" s="114" t="b">
        <v>0</v>
      </c>
      <c r="I157" s="114" t="b">
        <v>0</v>
      </c>
      <c r="J157" s="114" t="b">
        <v>0</v>
      </c>
      <c r="K157" s="114" t="b">
        <v>0</v>
      </c>
      <c r="L157" s="114" t="b">
        <v>0</v>
      </c>
      <c r="M157" s="114" t="b">
        <v>0</v>
      </c>
      <c r="N157" s="114" t="b">
        <v>0</v>
      </c>
      <c r="O157" s="114" t="b">
        <v>0</v>
      </c>
      <c r="P157" s="114" t="b">
        <v>0</v>
      </c>
      <c r="Q157" s="114" t="b">
        <v>0</v>
      </c>
      <c r="R157" s="114" t="b">
        <v>0</v>
      </c>
      <c r="S157" s="114" t="b">
        <v>0</v>
      </c>
      <c r="T157" s="114" t="b">
        <v>0</v>
      </c>
      <c r="U157" s="114" t="b">
        <v>0</v>
      </c>
      <c r="V157" s="114" t="b">
        <v>0</v>
      </c>
      <c r="W157" s="114" t="b">
        <v>0</v>
      </c>
      <c r="X157" s="114" t="b">
        <v>0</v>
      </c>
      <c r="Y157" s="114" t="b">
        <v>0</v>
      </c>
      <c r="Z157" s="114" t="b">
        <v>0</v>
      </c>
      <c r="AA157" s="114" t="b">
        <v>0</v>
      </c>
      <c r="AB157" s="114" t="b">
        <v>0</v>
      </c>
      <c r="AC157" s="114" t="b">
        <v>0</v>
      </c>
      <c r="AD157" s="114" t="b">
        <v>0</v>
      </c>
      <c r="AE157" s="114" t="b">
        <v>0</v>
      </c>
      <c r="AF157" s="114" t="b">
        <v>0</v>
      </c>
      <c r="AG157" s="114" t="b">
        <v>0</v>
      </c>
      <c r="AH157" s="114" t="b">
        <v>0</v>
      </c>
      <c r="AI157" s="114" t="b">
        <v>0</v>
      </c>
      <c r="AJ157" s="114" t="b">
        <v>0</v>
      </c>
      <c r="AK157" s="114" t="b">
        <v>0</v>
      </c>
      <c r="AL157" s="115" t="str">
        <f t="shared" si="1"/>
        <v>0 dari 31 (0%)</v>
      </c>
    </row>
    <row r="158" ht="22.5" customHeight="1">
      <c r="A158" s="10">
        <v>157.0</v>
      </c>
      <c r="B158" s="11"/>
      <c r="C158" s="140"/>
      <c r="D158" s="138"/>
      <c r="E158" s="138"/>
      <c r="F158" s="13"/>
      <c r="G158" s="114" t="b">
        <v>0</v>
      </c>
      <c r="H158" s="114" t="b">
        <v>0</v>
      </c>
      <c r="I158" s="114" t="b">
        <v>0</v>
      </c>
      <c r="J158" s="114" t="b">
        <v>0</v>
      </c>
      <c r="K158" s="114" t="b">
        <v>0</v>
      </c>
      <c r="L158" s="114" t="b">
        <v>0</v>
      </c>
      <c r="M158" s="114" t="b">
        <v>0</v>
      </c>
      <c r="N158" s="114" t="b">
        <v>0</v>
      </c>
      <c r="O158" s="114" t="b">
        <v>0</v>
      </c>
      <c r="P158" s="114" t="b">
        <v>0</v>
      </c>
      <c r="Q158" s="114" t="b">
        <v>0</v>
      </c>
      <c r="R158" s="114" t="b">
        <v>0</v>
      </c>
      <c r="S158" s="114" t="b">
        <v>0</v>
      </c>
      <c r="T158" s="114" t="b">
        <v>0</v>
      </c>
      <c r="U158" s="114" t="b">
        <v>0</v>
      </c>
      <c r="V158" s="114" t="b">
        <v>0</v>
      </c>
      <c r="W158" s="114" t="b">
        <v>0</v>
      </c>
      <c r="X158" s="114" t="b">
        <v>0</v>
      </c>
      <c r="Y158" s="114" t="b">
        <v>0</v>
      </c>
      <c r="Z158" s="114" t="b">
        <v>0</v>
      </c>
      <c r="AA158" s="114" t="b">
        <v>0</v>
      </c>
      <c r="AB158" s="114" t="b">
        <v>0</v>
      </c>
      <c r="AC158" s="114" t="b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 t="b">
        <v>0</v>
      </c>
      <c r="AI158" s="114" t="b">
        <v>0</v>
      </c>
      <c r="AJ158" s="114" t="b">
        <v>0</v>
      </c>
      <c r="AK158" s="114" t="b">
        <v>0</v>
      </c>
      <c r="AL158" s="115" t="str">
        <f t="shared" si="1"/>
        <v>0 dari 31 (0%)</v>
      </c>
    </row>
    <row r="159" ht="22.5" customHeight="1">
      <c r="A159" s="10">
        <v>158.0</v>
      </c>
      <c r="B159" s="11"/>
      <c r="C159" s="140"/>
      <c r="D159" s="138"/>
      <c r="E159" s="138"/>
      <c r="F159" s="13"/>
      <c r="G159" s="114" t="b">
        <v>0</v>
      </c>
      <c r="H159" s="114" t="b">
        <v>0</v>
      </c>
      <c r="I159" s="114" t="b">
        <v>0</v>
      </c>
      <c r="J159" s="114" t="b">
        <v>0</v>
      </c>
      <c r="K159" s="114" t="b">
        <v>0</v>
      </c>
      <c r="L159" s="114" t="b">
        <v>0</v>
      </c>
      <c r="M159" s="114" t="b">
        <v>0</v>
      </c>
      <c r="N159" s="114" t="b">
        <v>0</v>
      </c>
      <c r="O159" s="114" t="b">
        <v>0</v>
      </c>
      <c r="P159" s="114" t="b">
        <v>0</v>
      </c>
      <c r="Q159" s="114" t="b">
        <v>0</v>
      </c>
      <c r="R159" s="114" t="b">
        <v>0</v>
      </c>
      <c r="S159" s="114" t="b">
        <v>0</v>
      </c>
      <c r="T159" s="114" t="b">
        <v>0</v>
      </c>
      <c r="U159" s="114" t="b">
        <v>0</v>
      </c>
      <c r="V159" s="114" t="b">
        <v>0</v>
      </c>
      <c r="W159" s="114" t="b">
        <v>0</v>
      </c>
      <c r="X159" s="114" t="b">
        <v>0</v>
      </c>
      <c r="Y159" s="114" t="b">
        <v>0</v>
      </c>
      <c r="Z159" s="114" t="b">
        <v>0</v>
      </c>
      <c r="AA159" s="114" t="b">
        <v>0</v>
      </c>
      <c r="AB159" s="114" t="b">
        <v>0</v>
      </c>
      <c r="AC159" s="114" t="b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 t="b">
        <v>0</v>
      </c>
      <c r="AI159" s="114" t="b">
        <v>0</v>
      </c>
      <c r="AJ159" s="114" t="b">
        <v>0</v>
      </c>
      <c r="AK159" s="114" t="b">
        <v>0</v>
      </c>
      <c r="AL159" s="115" t="str">
        <f t="shared" si="1"/>
        <v>0 dari 31 (0%)</v>
      </c>
    </row>
    <row r="160" ht="22.5" customHeight="1">
      <c r="A160" s="2">
        <v>159.0</v>
      </c>
      <c r="B160" s="11"/>
      <c r="C160" s="140"/>
      <c r="D160" s="138"/>
      <c r="E160" s="138"/>
      <c r="F160" s="13"/>
      <c r="G160" s="114" t="b">
        <v>0</v>
      </c>
      <c r="H160" s="114" t="b">
        <v>0</v>
      </c>
      <c r="I160" s="114" t="b">
        <v>0</v>
      </c>
      <c r="J160" s="114" t="b">
        <v>0</v>
      </c>
      <c r="K160" s="114" t="b">
        <v>0</v>
      </c>
      <c r="L160" s="114" t="b">
        <v>0</v>
      </c>
      <c r="M160" s="114" t="b">
        <v>0</v>
      </c>
      <c r="N160" s="114" t="b">
        <v>0</v>
      </c>
      <c r="O160" s="114" t="b">
        <v>0</v>
      </c>
      <c r="P160" s="114" t="b">
        <v>0</v>
      </c>
      <c r="Q160" s="114" t="b">
        <v>0</v>
      </c>
      <c r="R160" s="114" t="b">
        <v>0</v>
      </c>
      <c r="S160" s="114" t="b">
        <v>0</v>
      </c>
      <c r="T160" s="114" t="b">
        <v>0</v>
      </c>
      <c r="U160" s="114" t="b">
        <v>0</v>
      </c>
      <c r="V160" s="114" t="b">
        <v>0</v>
      </c>
      <c r="W160" s="114" t="b">
        <v>0</v>
      </c>
      <c r="X160" s="114" t="b">
        <v>0</v>
      </c>
      <c r="Y160" s="114" t="b">
        <v>0</v>
      </c>
      <c r="Z160" s="114" t="b">
        <v>0</v>
      </c>
      <c r="AA160" s="114" t="b">
        <v>0</v>
      </c>
      <c r="AB160" s="114" t="b">
        <v>0</v>
      </c>
      <c r="AC160" s="114" t="b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 t="b">
        <v>0</v>
      </c>
      <c r="AI160" s="114" t="b">
        <v>0</v>
      </c>
      <c r="AJ160" s="114" t="b">
        <v>0</v>
      </c>
      <c r="AK160" s="114" t="b">
        <v>0</v>
      </c>
      <c r="AL160" s="115" t="str">
        <f t="shared" si="1"/>
        <v>0 dari 31 (0%)</v>
      </c>
    </row>
    <row r="161" ht="22.5" customHeight="1">
      <c r="A161" s="10">
        <v>160.0</v>
      </c>
      <c r="B161" s="11"/>
      <c r="C161" s="140"/>
      <c r="D161" s="138"/>
      <c r="E161" s="138"/>
      <c r="F161" s="13"/>
      <c r="G161" s="114" t="b">
        <v>0</v>
      </c>
      <c r="H161" s="114" t="b">
        <v>0</v>
      </c>
      <c r="I161" s="114" t="b">
        <v>0</v>
      </c>
      <c r="J161" s="114" t="b">
        <v>0</v>
      </c>
      <c r="K161" s="114" t="b">
        <v>0</v>
      </c>
      <c r="L161" s="114" t="b">
        <v>0</v>
      </c>
      <c r="M161" s="114" t="b">
        <v>0</v>
      </c>
      <c r="N161" s="114" t="b">
        <v>0</v>
      </c>
      <c r="O161" s="114" t="b">
        <v>0</v>
      </c>
      <c r="P161" s="114" t="b">
        <v>0</v>
      </c>
      <c r="Q161" s="114" t="b">
        <v>0</v>
      </c>
      <c r="R161" s="114" t="b">
        <v>0</v>
      </c>
      <c r="S161" s="114" t="b">
        <v>0</v>
      </c>
      <c r="T161" s="114" t="b">
        <v>0</v>
      </c>
      <c r="U161" s="114" t="b">
        <v>0</v>
      </c>
      <c r="V161" s="114" t="b">
        <v>0</v>
      </c>
      <c r="W161" s="114" t="b">
        <v>0</v>
      </c>
      <c r="X161" s="114" t="b">
        <v>0</v>
      </c>
      <c r="Y161" s="114" t="b">
        <v>0</v>
      </c>
      <c r="Z161" s="114" t="b">
        <v>0</v>
      </c>
      <c r="AA161" s="114" t="b">
        <v>0</v>
      </c>
      <c r="AB161" s="114" t="b">
        <v>0</v>
      </c>
      <c r="AC161" s="114" t="b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 t="b">
        <v>0</v>
      </c>
      <c r="AI161" s="114" t="b">
        <v>0</v>
      </c>
      <c r="AJ161" s="114" t="b">
        <v>0</v>
      </c>
      <c r="AK161" s="114" t="b">
        <v>0</v>
      </c>
      <c r="AL161" s="115" t="str">
        <f t="shared" si="1"/>
        <v>0 dari 31 (0%)</v>
      </c>
    </row>
    <row r="162" ht="22.5" customHeight="1">
      <c r="A162" s="10">
        <v>161.0</v>
      </c>
      <c r="B162" s="11"/>
      <c r="C162" s="140"/>
      <c r="D162" s="138"/>
      <c r="E162" s="138"/>
      <c r="F162" s="13"/>
      <c r="G162" s="114" t="b">
        <v>0</v>
      </c>
      <c r="H162" s="114" t="b">
        <v>0</v>
      </c>
      <c r="I162" s="114" t="b">
        <v>0</v>
      </c>
      <c r="J162" s="114" t="b">
        <v>0</v>
      </c>
      <c r="K162" s="114" t="b">
        <v>0</v>
      </c>
      <c r="L162" s="114" t="b">
        <v>0</v>
      </c>
      <c r="M162" s="114" t="b">
        <v>0</v>
      </c>
      <c r="N162" s="114" t="b">
        <v>0</v>
      </c>
      <c r="O162" s="114" t="b">
        <v>0</v>
      </c>
      <c r="P162" s="114" t="b">
        <v>0</v>
      </c>
      <c r="Q162" s="114" t="b">
        <v>0</v>
      </c>
      <c r="R162" s="114" t="b">
        <v>0</v>
      </c>
      <c r="S162" s="114" t="b">
        <v>0</v>
      </c>
      <c r="T162" s="114" t="b">
        <v>0</v>
      </c>
      <c r="U162" s="114" t="b">
        <v>0</v>
      </c>
      <c r="V162" s="114" t="b">
        <v>0</v>
      </c>
      <c r="W162" s="114" t="b">
        <v>0</v>
      </c>
      <c r="X162" s="114" t="b">
        <v>0</v>
      </c>
      <c r="Y162" s="114" t="b">
        <v>0</v>
      </c>
      <c r="Z162" s="114" t="b">
        <v>0</v>
      </c>
      <c r="AA162" s="114" t="b">
        <v>0</v>
      </c>
      <c r="AB162" s="114" t="b">
        <v>0</v>
      </c>
      <c r="AC162" s="114" t="b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 t="b">
        <v>0</v>
      </c>
      <c r="AI162" s="114" t="b">
        <v>0</v>
      </c>
      <c r="AJ162" s="114" t="b">
        <v>0</v>
      </c>
      <c r="AK162" s="114" t="b">
        <v>0</v>
      </c>
      <c r="AL162" s="115" t="str">
        <f t="shared" si="1"/>
        <v>0 dari 31 (0%)</v>
      </c>
    </row>
    <row r="163" ht="22.5" customHeight="1">
      <c r="A163" s="2">
        <v>162.0</v>
      </c>
      <c r="B163" s="11"/>
      <c r="C163" s="140"/>
      <c r="D163" s="138"/>
      <c r="E163" s="138"/>
      <c r="F163" s="13"/>
      <c r="G163" s="114" t="b">
        <v>0</v>
      </c>
      <c r="H163" s="114" t="b">
        <v>0</v>
      </c>
      <c r="I163" s="114" t="b">
        <v>0</v>
      </c>
      <c r="J163" s="114" t="b">
        <v>0</v>
      </c>
      <c r="K163" s="114" t="b">
        <v>0</v>
      </c>
      <c r="L163" s="114" t="b">
        <v>0</v>
      </c>
      <c r="M163" s="114" t="b">
        <v>0</v>
      </c>
      <c r="N163" s="114" t="b">
        <v>0</v>
      </c>
      <c r="O163" s="114" t="b">
        <v>0</v>
      </c>
      <c r="P163" s="114" t="b">
        <v>0</v>
      </c>
      <c r="Q163" s="114" t="b">
        <v>0</v>
      </c>
      <c r="R163" s="114" t="b">
        <v>0</v>
      </c>
      <c r="S163" s="114" t="b">
        <v>0</v>
      </c>
      <c r="T163" s="114" t="b">
        <v>0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0</v>
      </c>
      <c r="AJ163" s="114" t="b">
        <v>0</v>
      </c>
      <c r="AK163" s="114" t="b">
        <v>0</v>
      </c>
      <c r="AL163" s="115" t="str">
        <f t="shared" si="1"/>
        <v>0 dari 31 (0%)</v>
      </c>
    </row>
    <row r="164" ht="22.5" customHeight="1">
      <c r="A164" s="10">
        <v>163.0</v>
      </c>
      <c r="B164" s="11"/>
      <c r="C164" s="140"/>
      <c r="D164" s="138"/>
      <c r="E164" s="138"/>
      <c r="F164" s="13"/>
      <c r="G164" s="114" t="b">
        <v>0</v>
      </c>
      <c r="H164" s="114" t="b">
        <v>0</v>
      </c>
      <c r="I164" s="114" t="b">
        <v>0</v>
      </c>
      <c r="J164" s="114" t="b">
        <v>0</v>
      </c>
      <c r="K164" s="114" t="b">
        <v>0</v>
      </c>
      <c r="L164" s="114" t="b">
        <v>0</v>
      </c>
      <c r="M164" s="114" t="b">
        <v>0</v>
      </c>
      <c r="N164" s="114" t="b">
        <v>0</v>
      </c>
      <c r="O164" s="114" t="b">
        <v>0</v>
      </c>
      <c r="P164" s="114" t="b">
        <v>0</v>
      </c>
      <c r="Q164" s="114" t="b">
        <v>0</v>
      </c>
      <c r="R164" s="114" t="b">
        <v>0</v>
      </c>
      <c r="S164" s="114" t="b">
        <v>0</v>
      </c>
      <c r="T164" s="114" t="b">
        <v>0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0</v>
      </c>
      <c r="AJ164" s="114" t="b">
        <v>0</v>
      </c>
      <c r="AK164" s="114" t="b">
        <v>0</v>
      </c>
      <c r="AL164" s="115" t="str">
        <f t="shared" si="1"/>
        <v>0 dari 31 (0%)</v>
      </c>
    </row>
    <row r="165" ht="22.5" customHeight="1">
      <c r="A165" s="10">
        <v>164.0</v>
      </c>
      <c r="B165" s="11"/>
      <c r="C165" s="140"/>
      <c r="D165" s="138"/>
      <c r="E165" s="138"/>
      <c r="F165" s="13"/>
      <c r="G165" s="114" t="b">
        <v>0</v>
      </c>
      <c r="H165" s="114" t="b">
        <v>0</v>
      </c>
      <c r="I165" s="114" t="b">
        <v>0</v>
      </c>
      <c r="J165" s="114" t="b">
        <v>0</v>
      </c>
      <c r="K165" s="114" t="b">
        <v>0</v>
      </c>
      <c r="L165" s="114" t="b">
        <v>0</v>
      </c>
      <c r="M165" s="114" t="b">
        <v>0</v>
      </c>
      <c r="N165" s="114" t="b">
        <v>0</v>
      </c>
      <c r="O165" s="114" t="b">
        <v>0</v>
      </c>
      <c r="P165" s="114" t="b">
        <v>0</v>
      </c>
      <c r="Q165" s="114" t="b">
        <v>0</v>
      </c>
      <c r="R165" s="114" t="b">
        <v>0</v>
      </c>
      <c r="S165" s="114" t="b">
        <v>0</v>
      </c>
      <c r="T165" s="114" t="b">
        <v>0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0</v>
      </c>
      <c r="AA165" s="114" t="b">
        <v>0</v>
      </c>
      <c r="AB165" s="114" t="b">
        <v>0</v>
      </c>
      <c r="AC165" s="114" t="b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0</v>
      </c>
      <c r="AJ165" s="114" t="b">
        <v>0</v>
      </c>
      <c r="AK165" s="114" t="b">
        <v>0</v>
      </c>
      <c r="AL165" s="115" t="str">
        <f t="shared" si="1"/>
        <v>0 dari 31 (0%)</v>
      </c>
    </row>
    <row r="166" ht="22.5" customHeight="1">
      <c r="A166" s="2">
        <v>165.0</v>
      </c>
      <c r="B166" s="11"/>
      <c r="C166" s="140"/>
      <c r="D166" s="138"/>
      <c r="E166" s="138"/>
      <c r="F166" s="13"/>
      <c r="G166" s="114" t="b">
        <v>0</v>
      </c>
      <c r="H166" s="114" t="b">
        <v>0</v>
      </c>
      <c r="I166" s="114" t="b">
        <v>0</v>
      </c>
      <c r="J166" s="114" t="b">
        <v>0</v>
      </c>
      <c r="K166" s="114" t="b">
        <v>0</v>
      </c>
      <c r="L166" s="114" t="b">
        <v>0</v>
      </c>
      <c r="M166" s="114" t="b">
        <v>0</v>
      </c>
      <c r="N166" s="114" t="b">
        <v>0</v>
      </c>
      <c r="O166" s="114" t="b">
        <v>0</v>
      </c>
      <c r="P166" s="114" t="b">
        <v>0</v>
      </c>
      <c r="Q166" s="114" t="b">
        <v>0</v>
      </c>
      <c r="R166" s="114" t="b">
        <v>0</v>
      </c>
      <c r="S166" s="114" t="b">
        <v>0</v>
      </c>
      <c r="T166" s="114" t="b">
        <v>0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0</v>
      </c>
      <c r="AJ166" s="114" t="b">
        <v>0</v>
      </c>
      <c r="AK166" s="114" t="b">
        <v>0</v>
      </c>
      <c r="AL166" s="115" t="str">
        <f t="shared" si="1"/>
        <v>0 dari 31 (0%)</v>
      </c>
    </row>
    <row r="167" ht="22.5" customHeight="1">
      <c r="A167" s="10">
        <v>166.0</v>
      </c>
      <c r="B167" s="11"/>
      <c r="C167" s="140"/>
      <c r="D167" s="138"/>
      <c r="E167" s="138"/>
      <c r="F167" s="13"/>
      <c r="G167" s="114" t="b">
        <v>0</v>
      </c>
      <c r="H167" s="114" t="b">
        <v>0</v>
      </c>
      <c r="I167" s="114" t="b">
        <v>0</v>
      </c>
      <c r="J167" s="114" t="b">
        <v>0</v>
      </c>
      <c r="K167" s="114" t="b">
        <v>0</v>
      </c>
      <c r="L167" s="114" t="b">
        <v>0</v>
      </c>
      <c r="M167" s="114" t="b">
        <v>0</v>
      </c>
      <c r="N167" s="114" t="b">
        <v>0</v>
      </c>
      <c r="O167" s="114" t="b">
        <v>0</v>
      </c>
      <c r="P167" s="114" t="b">
        <v>0</v>
      </c>
      <c r="Q167" s="114" t="b">
        <v>0</v>
      </c>
      <c r="R167" s="114" t="b">
        <v>0</v>
      </c>
      <c r="S167" s="114" t="b">
        <v>0</v>
      </c>
      <c r="T167" s="114" t="b">
        <v>0</v>
      </c>
      <c r="U167" s="114" t="b">
        <v>0</v>
      </c>
      <c r="V167" s="114" t="b">
        <v>0</v>
      </c>
      <c r="W167" s="114" t="b">
        <v>0</v>
      </c>
      <c r="X167" s="114" t="b">
        <v>0</v>
      </c>
      <c r="Y167" s="114" t="b">
        <v>0</v>
      </c>
      <c r="Z167" s="114" t="b">
        <v>0</v>
      </c>
      <c r="AA167" s="114" t="b">
        <v>0</v>
      </c>
      <c r="AB167" s="114" t="b">
        <v>0</v>
      </c>
      <c r="AC167" s="114" t="b">
        <v>0</v>
      </c>
      <c r="AD167" s="114" t="b">
        <v>0</v>
      </c>
      <c r="AE167" s="114" t="b">
        <v>0</v>
      </c>
      <c r="AF167" s="114" t="b">
        <v>0</v>
      </c>
      <c r="AG167" s="114" t="b">
        <v>0</v>
      </c>
      <c r="AH167" s="114" t="b">
        <v>0</v>
      </c>
      <c r="AI167" s="114" t="b">
        <v>0</v>
      </c>
      <c r="AJ167" s="114" t="b">
        <v>0</v>
      </c>
      <c r="AK167" s="114" t="b">
        <v>0</v>
      </c>
      <c r="AL167" s="115" t="str">
        <f t="shared" si="1"/>
        <v>0 dari 31 (0%)</v>
      </c>
    </row>
    <row r="168" ht="22.5" customHeight="1">
      <c r="A168" s="10">
        <v>167.0</v>
      </c>
      <c r="B168" s="11"/>
      <c r="C168" s="140"/>
      <c r="D168" s="138"/>
      <c r="E168" s="138"/>
      <c r="F168" s="13"/>
      <c r="G168" s="114" t="b">
        <v>0</v>
      </c>
      <c r="H168" s="114" t="b">
        <v>0</v>
      </c>
      <c r="I168" s="114" t="b">
        <v>0</v>
      </c>
      <c r="J168" s="114" t="b">
        <v>0</v>
      </c>
      <c r="K168" s="114" t="b">
        <v>0</v>
      </c>
      <c r="L168" s="114" t="b">
        <v>0</v>
      </c>
      <c r="M168" s="114" t="b">
        <v>0</v>
      </c>
      <c r="N168" s="114" t="b">
        <v>0</v>
      </c>
      <c r="O168" s="114" t="b">
        <v>0</v>
      </c>
      <c r="P168" s="114" t="b">
        <v>0</v>
      </c>
      <c r="Q168" s="114" t="b">
        <v>0</v>
      </c>
      <c r="R168" s="114" t="b">
        <v>0</v>
      </c>
      <c r="S168" s="114" t="b">
        <v>0</v>
      </c>
      <c r="T168" s="114" t="b">
        <v>0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0</v>
      </c>
      <c r="AJ168" s="114" t="b">
        <v>0</v>
      </c>
      <c r="AK168" s="114" t="b">
        <v>0</v>
      </c>
      <c r="AL168" s="115" t="str">
        <f t="shared" si="1"/>
        <v>0 dari 31 (0%)</v>
      </c>
    </row>
    <row r="169" ht="22.5" customHeight="1">
      <c r="A169" s="2">
        <v>168.0</v>
      </c>
      <c r="B169" s="11"/>
      <c r="C169" s="140"/>
      <c r="D169" s="138"/>
      <c r="E169" s="138"/>
      <c r="F169" s="13"/>
      <c r="G169" s="114" t="b">
        <v>0</v>
      </c>
      <c r="H169" s="114" t="b">
        <v>0</v>
      </c>
      <c r="I169" s="114" t="b">
        <v>0</v>
      </c>
      <c r="J169" s="114" t="b">
        <v>0</v>
      </c>
      <c r="K169" s="114" t="b">
        <v>0</v>
      </c>
      <c r="L169" s="114" t="b">
        <v>0</v>
      </c>
      <c r="M169" s="114" t="b">
        <v>0</v>
      </c>
      <c r="N169" s="114" t="b">
        <v>0</v>
      </c>
      <c r="O169" s="114" t="b">
        <v>0</v>
      </c>
      <c r="P169" s="114" t="b">
        <v>0</v>
      </c>
      <c r="Q169" s="114" t="b">
        <v>0</v>
      </c>
      <c r="R169" s="114" t="b">
        <v>0</v>
      </c>
      <c r="S169" s="114" t="b">
        <v>0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0</v>
      </c>
      <c r="AJ169" s="114" t="b">
        <v>0</v>
      </c>
      <c r="AK169" s="114" t="b">
        <v>0</v>
      </c>
      <c r="AL169" s="115" t="str">
        <f t="shared" si="1"/>
        <v>0 dari 31 (0%)</v>
      </c>
    </row>
    <row r="170" ht="22.5" customHeight="1">
      <c r="A170" s="10">
        <v>169.0</v>
      </c>
      <c r="B170" s="11"/>
      <c r="C170" s="140"/>
      <c r="D170" s="138"/>
      <c r="E170" s="138"/>
      <c r="F170" s="13"/>
      <c r="G170" s="114" t="b">
        <v>0</v>
      </c>
      <c r="H170" s="114" t="b">
        <v>0</v>
      </c>
      <c r="I170" s="114" t="b">
        <v>0</v>
      </c>
      <c r="J170" s="114" t="b">
        <v>0</v>
      </c>
      <c r="K170" s="114" t="b">
        <v>0</v>
      </c>
      <c r="L170" s="114" t="b">
        <v>0</v>
      </c>
      <c r="M170" s="114" t="b">
        <v>0</v>
      </c>
      <c r="N170" s="114" t="b">
        <v>0</v>
      </c>
      <c r="O170" s="114" t="b">
        <v>0</v>
      </c>
      <c r="P170" s="114" t="b">
        <v>0</v>
      </c>
      <c r="Q170" s="114" t="b">
        <v>0</v>
      </c>
      <c r="R170" s="114" t="b">
        <v>0</v>
      </c>
      <c r="S170" s="114" t="b">
        <v>0</v>
      </c>
      <c r="T170" s="114" t="b">
        <v>0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0</v>
      </c>
      <c r="AA170" s="114" t="b">
        <v>0</v>
      </c>
      <c r="AB170" s="114" t="b">
        <v>0</v>
      </c>
      <c r="AC170" s="114" t="b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0</v>
      </c>
      <c r="AJ170" s="114" t="b">
        <v>0</v>
      </c>
      <c r="AK170" s="114" t="b">
        <v>0</v>
      </c>
      <c r="AL170" s="115" t="str">
        <f t="shared" si="1"/>
        <v>0 dari 31 (0%)</v>
      </c>
    </row>
    <row r="171" ht="22.5" customHeight="1">
      <c r="A171" s="10">
        <v>170.0</v>
      </c>
      <c r="B171" s="11"/>
      <c r="C171" s="140"/>
      <c r="D171" s="138"/>
      <c r="E171" s="138"/>
      <c r="F171" s="13"/>
      <c r="G171" s="114" t="b">
        <v>0</v>
      </c>
      <c r="H171" s="114" t="b">
        <v>0</v>
      </c>
      <c r="I171" s="114" t="b">
        <v>0</v>
      </c>
      <c r="J171" s="114" t="b">
        <v>0</v>
      </c>
      <c r="K171" s="114" t="b">
        <v>0</v>
      </c>
      <c r="L171" s="114" t="b">
        <v>0</v>
      </c>
      <c r="M171" s="114" t="b">
        <v>0</v>
      </c>
      <c r="N171" s="114" t="b">
        <v>0</v>
      </c>
      <c r="O171" s="114" t="b">
        <v>0</v>
      </c>
      <c r="P171" s="114" t="b">
        <v>0</v>
      </c>
      <c r="Q171" s="114" t="b">
        <v>0</v>
      </c>
      <c r="R171" s="114" t="b">
        <v>0</v>
      </c>
      <c r="S171" s="114" t="b">
        <v>0</v>
      </c>
      <c r="T171" s="114" t="b">
        <v>0</v>
      </c>
      <c r="U171" s="114" t="b">
        <v>0</v>
      </c>
      <c r="V171" s="114" t="b">
        <v>0</v>
      </c>
      <c r="W171" s="114" t="b">
        <v>0</v>
      </c>
      <c r="X171" s="114" t="b">
        <v>0</v>
      </c>
      <c r="Y171" s="114" t="b">
        <v>0</v>
      </c>
      <c r="Z171" s="114" t="b">
        <v>0</v>
      </c>
      <c r="AA171" s="114" t="b">
        <v>0</v>
      </c>
      <c r="AB171" s="114" t="b">
        <v>0</v>
      </c>
      <c r="AC171" s="114" t="b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 t="b">
        <v>0</v>
      </c>
      <c r="AI171" s="114" t="b">
        <v>0</v>
      </c>
      <c r="AJ171" s="114" t="b">
        <v>0</v>
      </c>
      <c r="AK171" s="114" t="b">
        <v>0</v>
      </c>
      <c r="AL171" s="115" t="str">
        <f t="shared" si="1"/>
        <v>0 dari 31 (0%)</v>
      </c>
    </row>
    <row r="172" ht="22.5" customHeight="1">
      <c r="A172" s="2">
        <v>171.0</v>
      </c>
      <c r="B172" s="11"/>
      <c r="C172" s="140"/>
      <c r="D172" s="138"/>
      <c r="E172" s="138"/>
      <c r="F172" s="13"/>
      <c r="G172" s="114" t="b">
        <v>0</v>
      </c>
      <c r="H172" s="114" t="b">
        <v>0</v>
      </c>
      <c r="I172" s="114" t="b">
        <v>0</v>
      </c>
      <c r="J172" s="114" t="b">
        <v>0</v>
      </c>
      <c r="K172" s="114" t="b">
        <v>0</v>
      </c>
      <c r="L172" s="114" t="b">
        <v>0</v>
      </c>
      <c r="M172" s="114" t="b">
        <v>0</v>
      </c>
      <c r="N172" s="114" t="b">
        <v>0</v>
      </c>
      <c r="O172" s="114" t="b">
        <v>0</v>
      </c>
      <c r="P172" s="114" t="b">
        <v>0</v>
      </c>
      <c r="Q172" s="114" t="b">
        <v>0</v>
      </c>
      <c r="R172" s="114" t="b">
        <v>0</v>
      </c>
      <c r="S172" s="114" t="b">
        <v>0</v>
      </c>
      <c r="T172" s="114" t="b">
        <v>0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0</v>
      </c>
      <c r="AJ172" s="114" t="b">
        <v>0</v>
      </c>
      <c r="AK172" s="114" t="b">
        <v>0</v>
      </c>
      <c r="AL172" s="115" t="str">
        <f t="shared" si="1"/>
        <v>0 dari 31 (0%)</v>
      </c>
    </row>
    <row r="173" ht="22.5" customHeight="1">
      <c r="A173" s="10">
        <v>172.0</v>
      </c>
      <c r="B173" s="11"/>
      <c r="C173" s="140"/>
      <c r="D173" s="138"/>
      <c r="E173" s="138"/>
      <c r="F173" s="13"/>
      <c r="G173" s="114" t="b">
        <v>0</v>
      </c>
      <c r="H173" s="114" t="b">
        <v>0</v>
      </c>
      <c r="I173" s="114" t="b">
        <v>0</v>
      </c>
      <c r="J173" s="114" t="b">
        <v>0</v>
      </c>
      <c r="K173" s="114" t="b">
        <v>0</v>
      </c>
      <c r="L173" s="114" t="b">
        <v>0</v>
      </c>
      <c r="M173" s="114" t="b">
        <v>0</v>
      </c>
      <c r="N173" s="114" t="b">
        <v>0</v>
      </c>
      <c r="O173" s="114" t="b">
        <v>0</v>
      </c>
      <c r="P173" s="114" t="b">
        <v>0</v>
      </c>
      <c r="Q173" s="114" t="b">
        <v>0</v>
      </c>
      <c r="R173" s="114" t="b">
        <v>0</v>
      </c>
      <c r="S173" s="114" t="b">
        <v>0</v>
      </c>
      <c r="T173" s="114" t="b">
        <v>0</v>
      </c>
      <c r="U173" s="114" t="b">
        <v>0</v>
      </c>
      <c r="V173" s="114" t="b">
        <v>0</v>
      </c>
      <c r="W173" s="114" t="b">
        <v>0</v>
      </c>
      <c r="X173" s="114" t="b">
        <v>0</v>
      </c>
      <c r="Y173" s="114" t="b">
        <v>0</v>
      </c>
      <c r="Z173" s="114" t="b">
        <v>0</v>
      </c>
      <c r="AA173" s="114" t="b">
        <v>0</v>
      </c>
      <c r="AB173" s="114" t="b">
        <v>0</v>
      </c>
      <c r="AC173" s="114" t="b">
        <v>0</v>
      </c>
      <c r="AD173" s="114" t="b">
        <v>0</v>
      </c>
      <c r="AE173" s="114" t="b">
        <v>0</v>
      </c>
      <c r="AF173" s="114" t="b">
        <v>0</v>
      </c>
      <c r="AG173" s="114" t="b">
        <v>0</v>
      </c>
      <c r="AH173" s="114" t="b">
        <v>0</v>
      </c>
      <c r="AI173" s="114" t="b">
        <v>0</v>
      </c>
      <c r="AJ173" s="114" t="b">
        <v>0</v>
      </c>
      <c r="AK173" s="114" t="b">
        <v>0</v>
      </c>
      <c r="AL173" s="115" t="str">
        <f t="shared" si="1"/>
        <v>0 dari 31 (0%)</v>
      </c>
    </row>
    <row r="174" ht="22.5" customHeight="1">
      <c r="A174" s="10">
        <v>173.0</v>
      </c>
      <c r="B174" s="11"/>
      <c r="C174" s="140"/>
      <c r="D174" s="138"/>
      <c r="E174" s="138"/>
      <c r="F174" s="13"/>
      <c r="G174" s="114" t="b">
        <v>0</v>
      </c>
      <c r="H174" s="114" t="b">
        <v>0</v>
      </c>
      <c r="I174" s="114" t="b">
        <v>0</v>
      </c>
      <c r="J174" s="114" t="b">
        <v>0</v>
      </c>
      <c r="K174" s="114" t="b">
        <v>0</v>
      </c>
      <c r="L174" s="114" t="b">
        <v>0</v>
      </c>
      <c r="M174" s="114" t="b">
        <v>0</v>
      </c>
      <c r="N174" s="114" t="b">
        <v>0</v>
      </c>
      <c r="O174" s="114" t="b">
        <v>0</v>
      </c>
      <c r="P174" s="114" t="b">
        <v>0</v>
      </c>
      <c r="Q174" s="114" t="b">
        <v>0</v>
      </c>
      <c r="R174" s="114" t="b">
        <v>0</v>
      </c>
      <c r="S174" s="114" t="b">
        <v>0</v>
      </c>
      <c r="T174" s="114" t="b">
        <v>0</v>
      </c>
      <c r="U174" s="114" t="b">
        <v>0</v>
      </c>
      <c r="V174" s="114" t="b">
        <v>0</v>
      </c>
      <c r="W174" s="114" t="b">
        <v>0</v>
      </c>
      <c r="X174" s="114" t="b">
        <v>0</v>
      </c>
      <c r="Y174" s="114" t="b">
        <v>0</v>
      </c>
      <c r="Z174" s="114" t="b">
        <v>0</v>
      </c>
      <c r="AA174" s="114" t="b">
        <v>0</v>
      </c>
      <c r="AB174" s="114" t="b">
        <v>0</v>
      </c>
      <c r="AC174" s="114" t="b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 t="b">
        <v>0</v>
      </c>
      <c r="AI174" s="114" t="b">
        <v>0</v>
      </c>
      <c r="AJ174" s="114" t="b">
        <v>0</v>
      </c>
      <c r="AK174" s="114" t="b">
        <v>0</v>
      </c>
      <c r="AL174" s="115" t="str">
        <f t="shared" si="1"/>
        <v>0 dari 31 (0%)</v>
      </c>
    </row>
    <row r="175" ht="22.5" customHeight="1">
      <c r="A175" s="2">
        <v>174.0</v>
      </c>
      <c r="B175" s="11"/>
      <c r="C175" s="140"/>
      <c r="D175" s="138"/>
      <c r="E175" s="138"/>
      <c r="F175" s="13"/>
      <c r="G175" s="114" t="b">
        <v>0</v>
      </c>
      <c r="H175" s="114" t="b">
        <v>0</v>
      </c>
      <c r="I175" s="114" t="b">
        <v>0</v>
      </c>
      <c r="J175" s="114" t="b">
        <v>0</v>
      </c>
      <c r="K175" s="114" t="b">
        <v>0</v>
      </c>
      <c r="L175" s="114" t="b">
        <v>0</v>
      </c>
      <c r="M175" s="114" t="b">
        <v>0</v>
      </c>
      <c r="N175" s="114" t="b">
        <v>0</v>
      </c>
      <c r="O175" s="114" t="b">
        <v>0</v>
      </c>
      <c r="P175" s="114" t="b">
        <v>0</v>
      </c>
      <c r="Q175" s="114" t="b">
        <v>0</v>
      </c>
      <c r="R175" s="114" t="b">
        <v>0</v>
      </c>
      <c r="S175" s="114" t="b">
        <v>0</v>
      </c>
      <c r="T175" s="114" t="b">
        <v>0</v>
      </c>
      <c r="U175" s="114" t="b">
        <v>0</v>
      </c>
      <c r="V175" s="114" t="b">
        <v>0</v>
      </c>
      <c r="W175" s="114" t="b">
        <v>0</v>
      </c>
      <c r="X175" s="114" t="b">
        <v>0</v>
      </c>
      <c r="Y175" s="114" t="b">
        <v>0</v>
      </c>
      <c r="Z175" s="114" t="b">
        <v>0</v>
      </c>
      <c r="AA175" s="114" t="b">
        <v>0</v>
      </c>
      <c r="AB175" s="114" t="b">
        <v>0</v>
      </c>
      <c r="AC175" s="114" t="b">
        <v>0</v>
      </c>
      <c r="AD175" s="114" t="b">
        <v>0</v>
      </c>
      <c r="AE175" s="114" t="b">
        <v>0</v>
      </c>
      <c r="AF175" s="114" t="b">
        <v>0</v>
      </c>
      <c r="AG175" s="114" t="b">
        <v>0</v>
      </c>
      <c r="AH175" s="114" t="b">
        <v>0</v>
      </c>
      <c r="AI175" s="114" t="b">
        <v>0</v>
      </c>
      <c r="AJ175" s="114" t="b">
        <v>0</v>
      </c>
      <c r="AK175" s="114" t="b">
        <v>0</v>
      </c>
      <c r="AL175" s="115" t="str">
        <f t="shared" si="1"/>
        <v>0 dari 31 (0%)</v>
      </c>
    </row>
    <row r="176" ht="22.5" customHeight="1">
      <c r="A176" s="10">
        <v>175.0</v>
      </c>
      <c r="B176" s="11"/>
      <c r="C176" s="140"/>
      <c r="D176" s="138"/>
      <c r="E176" s="138"/>
      <c r="F176" s="13"/>
      <c r="G176" s="114" t="b">
        <v>0</v>
      </c>
      <c r="H176" s="114" t="b">
        <v>0</v>
      </c>
      <c r="I176" s="114" t="b">
        <v>0</v>
      </c>
      <c r="J176" s="114" t="b">
        <v>0</v>
      </c>
      <c r="K176" s="114" t="b">
        <v>0</v>
      </c>
      <c r="L176" s="114" t="b">
        <v>0</v>
      </c>
      <c r="M176" s="114" t="b">
        <v>0</v>
      </c>
      <c r="N176" s="114" t="b">
        <v>0</v>
      </c>
      <c r="O176" s="114" t="b">
        <v>0</v>
      </c>
      <c r="P176" s="114" t="b">
        <v>0</v>
      </c>
      <c r="Q176" s="114" t="b">
        <v>0</v>
      </c>
      <c r="R176" s="114" t="b">
        <v>0</v>
      </c>
      <c r="S176" s="114" t="b">
        <v>0</v>
      </c>
      <c r="T176" s="114" t="b">
        <v>0</v>
      </c>
      <c r="U176" s="114" t="b">
        <v>0</v>
      </c>
      <c r="V176" s="114" t="b">
        <v>0</v>
      </c>
      <c r="W176" s="114" t="b">
        <v>0</v>
      </c>
      <c r="X176" s="114" t="b">
        <v>0</v>
      </c>
      <c r="Y176" s="114" t="b">
        <v>0</v>
      </c>
      <c r="Z176" s="114" t="b">
        <v>0</v>
      </c>
      <c r="AA176" s="114" t="b">
        <v>0</v>
      </c>
      <c r="AB176" s="114" t="b">
        <v>0</v>
      </c>
      <c r="AC176" s="114" t="b">
        <v>0</v>
      </c>
      <c r="AD176" s="114" t="b">
        <v>0</v>
      </c>
      <c r="AE176" s="114" t="b">
        <v>0</v>
      </c>
      <c r="AF176" s="114" t="b">
        <v>0</v>
      </c>
      <c r="AG176" s="114" t="b">
        <v>0</v>
      </c>
      <c r="AH176" s="114" t="b">
        <v>0</v>
      </c>
      <c r="AI176" s="114" t="b">
        <v>0</v>
      </c>
      <c r="AJ176" s="114" t="b">
        <v>0</v>
      </c>
      <c r="AK176" s="114" t="b">
        <v>0</v>
      </c>
      <c r="AL176" s="115" t="str">
        <f t="shared" si="1"/>
        <v>0 dari 31 (0%)</v>
      </c>
    </row>
    <row r="177" ht="22.5" customHeight="1">
      <c r="A177" s="10">
        <v>176.0</v>
      </c>
      <c r="B177" s="11"/>
      <c r="C177" s="140"/>
      <c r="D177" s="138"/>
      <c r="E177" s="138"/>
      <c r="F177" s="13"/>
      <c r="G177" s="114" t="b">
        <v>0</v>
      </c>
      <c r="H177" s="114" t="b">
        <v>0</v>
      </c>
      <c r="I177" s="114" t="b">
        <v>0</v>
      </c>
      <c r="J177" s="114" t="b">
        <v>0</v>
      </c>
      <c r="K177" s="114" t="b">
        <v>0</v>
      </c>
      <c r="L177" s="114" t="b">
        <v>0</v>
      </c>
      <c r="M177" s="114" t="b">
        <v>0</v>
      </c>
      <c r="N177" s="114" t="b">
        <v>0</v>
      </c>
      <c r="O177" s="114" t="b">
        <v>0</v>
      </c>
      <c r="P177" s="114" t="b">
        <v>0</v>
      </c>
      <c r="Q177" s="114" t="b">
        <v>0</v>
      </c>
      <c r="R177" s="114" t="b">
        <v>0</v>
      </c>
      <c r="S177" s="114" t="b">
        <v>0</v>
      </c>
      <c r="T177" s="114" t="b">
        <v>0</v>
      </c>
      <c r="U177" s="114" t="b">
        <v>0</v>
      </c>
      <c r="V177" s="114" t="b">
        <v>0</v>
      </c>
      <c r="W177" s="114" t="b">
        <v>0</v>
      </c>
      <c r="X177" s="114" t="b">
        <v>0</v>
      </c>
      <c r="Y177" s="114" t="b">
        <v>0</v>
      </c>
      <c r="Z177" s="114" t="b">
        <v>0</v>
      </c>
      <c r="AA177" s="114" t="b">
        <v>0</v>
      </c>
      <c r="AB177" s="114" t="b">
        <v>0</v>
      </c>
      <c r="AC177" s="114" t="b">
        <v>0</v>
      </c>
      <c r="AD177" s="114" t="b">
        <v>0</v>
      </c>
      <c r="AE177" s="114" t="b">
        <v>0</v>
      </c>
      <c r="AF177" s="114" t="b">
        <v>0</v>
      </c>
      <c r="AG177" s="114" t="b">
        <v>0</v>
      </c>
      <c r="AH177" s="114" t="b">
        <v>0</v>
      </c>
      <c r="AI177" s="114" t="b">
        <v>0</v>
      </c>
      <c r="AJ177" s="114" t="b">
        <v>0</v>
      </c>
      <c r="AK177" s="114" t="b">
        <v>0</v>
      </c>
      <c r="AL177" s="115" t="str">
        <f t="shared" si="1"/>
        <v>0 dari 31 (0%)</v>
      </c>
    </row>
    <row r="178" ht="22.5" customHeight="1">
      <c r="A178" s="2">
        <v>177.0</v>
      </c>
      <c r="B178" s="11"/>
      <c r="C178" s="140"/>
      <c r="D178" s="138"/>
      <c r="E178" s="138"/>
      <c r="F178" s="13"/>
      <c r="G178" s="114" t="b">
        <v>0</v>
      </c>
      <c r="H178" s="114" t="b">
        <v>0</v>
      </c>
      <c r="I178" s="114" t="b">
        <v>0</v>
      </c>
      <c r="J178" s="114" t="b">
        <v>0</v>
      </c>
      <c r="K178" s="114" t="b">
        <v>0</v>
      </c>
      <c r="L178" s="114" t="b">
        <v>0</v>
      </c>
      <c r="M178" s="114" t="b">
        <v>0</v>
      </c>
      <c r="N178" s="114" t="b">
        <v>0</v>
      </c>
      <c r="O178" s="114" t="b">
        <v>0</v>
      </c>
      <c r="P178" s="114" t="b">
        <v>0</v>
      </c>
      <c r="Q178" s="114" t="b">
        <v>0</v>
      </c>
      <c r="R178" s="114" t="b">
        <v>0</v>
      </c>
      <c r="S178" s="114" t="b">
        <v>0</v>
      </c>
      <c r="T178" s="114" t="b">
        <v>0</v>
      </c>
      <c r="U178" s="114" t="b">
        <v>0</v>
      </c>
      <c r="V178" s="114" t="b">
        <v>0</v>
      </c>
      <c r="W178" s="114" t="b">
        <v>0</v>
      </c>
      <c r="X178" s="114" t="b">
        <v>0</v>
      </c>
      <c r="Y178" s="114" t="b">
        <v>0</v>
      </c>
      <c r="Z178" s="114" t="b">
        <v>0</v>
      </c>
      <c r="AA178" s="114" t="b">
        <v>0</v>
      </c>
      <c r="AB178" s="114" t="b">
        <v>0</v>
      </c>
      <c r="AC178" s="114" t="b">
        <v>0</v>
      </c>
      <c r="AD178" s="114" t="b">
        <v>0</v>
      </c>
      <c r="AE178" s="114" t="b">
        <v>0</v>
      </c>
      <c r="AF178" s="114" t="b">
        <v>0</v>
      </c>
      <c r="AG178" s="114" t="b">
        <v>0</v>
      </c>
      <c r="AH178" s="114" t="b">
        <v>0</v>
      </c>
      <c r="AI178" s="114" t="b">
        <v>0</v>
      </c>
      <c r="AJ178" s="114" t="b">
        <v>0</v>
      </c>
      <c r="AK178" s="114" t="b">
        <v>0</v>
      </c>
      <c r="AL178" s="115" t="str">
        <f t="shared" si="1"/>
        <v>0 dari 31 (0%)</v>
      </c>
    </row>
    <row r="179" ht="22.5" customHeight="1">
      <c r="A179" s="10">
        <v>178.0</v>
      </c>
      <c r="B179" s="11"/>
      <c r="C179" s="140"/>
      <c r="D179" s="138"/>
      <c r="E179" s="138"/>
      <c r="F179" s="13"/>
      <c r="G179" s="114" t="b">
        <v>0</v>
      </c>
      <c r="H179" s="114" t="b">
        <v>0</v>
      </c>
      <c r="I179" s="114" t="b">
        <v>0</v>
      </c>
      <c r="J179" s="114" t="b">
        <v>0</v>
      </c>
      <c r="K179" s="114" t="b">
        <v>0</v>
      </c>
      <c r="L179" s="114" t="b">
        <v>0</v>
      </c>
      <c r="M179" s="114" t="b">
        <v>0</v>
      </c>
      <c r="N179" s="114" t="b">
        <v>0</v>
      </c>
      <c r="O179" s="114" t="b">
        <v>0</v>
      </c>
      <c r="P179" s="114" t="b">
        <v>0</v>
      </c>
      <c r="Q179" s="114" t="b">
        <v>0</v>
      </c>
      <c r="R179" s="114" t="b">
        <v>0</v>
      </c>
      <c r="S179" s="114" t="b">
        <v>0</v>
      </c>
      <c r="T179" s="114" t="b">
        <v>0</v>
      </c>
      <c r="U179" s="114" t="b">
        <v>0</v>
      </c>
      <c r="V179" s="114" t="b">
        <v>0</v>
      </c>
      <c r="W179" s="114" t="b">
        <v>0</v>
      </c>
      <c r="X179" s="114" t="b">
        <v>0</v>
      </c>
      <c r="Y179" s="114" t="b">
        <v>0</v>
      </c>
      <c r="Z179" s="114" t="b">
        <v>0</v>
      </c>
      <c r="AA179" s="114" t="b">
        <v>0</v>
      </c>
      <c r="AB179" s="114" t="b">
        <v>0</v>
      </c>
      <c r="AC179" s="114" t="b">
        <v>0</v>
      </c>
      <c r="AD179" s="114" t="b">
        <v>0</v>
      </c>
      <c r="AE179" s="114" t="b">
        <v>0</v>
      </c>
      <c r="AF179" s="114" t="b">
        <v>0</v>
      </c>
      <c r="AG179" s="114" t="b">
        <v>0</v>
      </c>
      <c r="AH179" s="114" t="b">
        <v>0</v>
      </c>
      <c r="AI179" s="114" t="b">
        <v>0</v>
      </c>
      <c r="AJ179" s="114" t="b">
        <v>0</v>
      </c>
      <c r="AK179" s="114" t="b">
        <v>0</v>
      </c>
      <c r="AL179" s="115" t="str">
        <f t="shared" si="1"/>
        <v>0 dari 31 (0%)</v>
      </c>
    </row>
    <row r="180" ht="22.5" customHeight="1">
      <c r="A180" s="10">
        <v>179.0</v>
      </c>
      <c r="B180" s="11"/>
      <c r="C180" s="140"/>
      <c r="D180" s="138"/>
      <c r="E180" s="138"/>
      <c r="F180" s="13"/>
      <c r="G180" s="114" t="b">
        <v>0</v>
      </c>
      <c r="H180" s="114" t="b">
        <v>0</v>
      </c>
      <c r="I180" s="114" t="b">
        <v>0</v>
      </c>
      <c r="J180" s="114" t="b">
        <v>0</v>
      </c>
      <c r="K180" s="114" t="b">
        <v>0</v>
      </c>
      <c r="L180" s="114" t="b">
        <v>0</v>
      </c>
      <c r="M180" s="114" t="b">
        <v>0</v>
      </c>
      <c r="N180" s="114" t="b">
        <v>0</v>
      </c>
      <c r="O180" s="114" t="b">
        <v>0</v>
      </c>
      <c r="P180" s="114" t="b">
        <v>0</v>
      </c>
      <c r="Q180" s="114" t="b">
        <v>0</v>
      </c>
      <c r="R180" s="114" t="b">
        <v>0</v>
      </c>
      <c r="S180" s="114" t="b">
        <v>0</v>
      </c>
      <c r="T180" s="114" t="b">
        <v>0</v>
      </c>
      <c r="U180" s="114" t="b">
        <v>0</v>
      </c>
      <c r="V180" s="114" t="b">
        <v>0</v>
      </c>
      <c r="W180" s="114" t="b">
        <v>0</v>
      </c>
      <c r="X180" s="114" t="b">
        <v>0</v>
      </c>
      <c r="Y180" s="114" t="b">
        <v>0</v>
      </c>
      <c r="Z180" s="114" t="b">
        <v>0</v>
      </c>
      <c r="AA180" s="114" t="b">
        <v>0</v>
      </c>
      <c r="AB180" s="114" t="b">
        <v>0</v>
      </c>
      <c r="AC180" s="114" t="b">
        <v>0</v>
      </c>
      <c r="AD180" s="114" t="b">
        <v>0</v>
      </c>
      <c r="AE180" s="114" t="b">
        <v>0</v>
      </c>
      <c r="AF180" s="114" t="b">
        <v>0</v>
      </c>
      <c r="AG180" s="114" t="b">
        <v>0</v>
      </c>
      <c r="AH180" s="114" t="b">
        <v>0</v>
      </c>
      <c r="AI180" s="114" t="b">
        <v>0</v>
      </c>
      <c r="AJ180" s="114" t="b">
        <v>0</v>
      </c>
      <c r="AK180" s="114" t="b">
        <v>0</v>
      </c>
      <c r="AL180" s="115" t="str">
        <f t="shared" si="1"/>
        <v>0 dari 31 (0%)</v>
      </c>
    </row>
    <row r="181" ht="22.5" customHeight="1">
      <c r="A181" s="2">
        <v>180.0</v>
      </c>
      <c r="B181" s="11"/>
      <c r="C181" s="140"/>
      <c r="D181" s="138"/>
      <c r="E181" s="138"/>
      <c r="F181" s="13"/>
      <c r="G181" s="114" t="b">
        <v>0</v>
      </c>
      <c r="H181" s="114" t="b">
        <v>0</v>
      </c>
      <c r="I181" s="114" t="b">
        <v>0</v>
      </c>
      <c r="J181" s="114" t="b">
        <v>0</v>
      </c>
      <c r="K181" s="114" t="b">
        <v>0</v>
      </c>
      <c r="L181" s="114" t="b">
        <v>0</v>
      </c>
      <c r="M181" s="114" t="b">
        <v>0</v>
      </c>
      <c r="N181" s="114" t="b">
        <v>0</v>
      </c>
      <c r="O181" s="114" t="b">
        <v>0</v>
      </c>
      <c r="P181" s="114" t="b">
        <v>0</v>
      </c>
      <c r="Q181" s="114" t="b">
        <v>0</v>
      </c>
      <c r="R181" s="114" t="b">
        <v>0</v>
      </c>
      <c r="S181" s="114" t="b">
        <v>0</v>
      </c>
      <c r="T181" s="114" t="b">
        <v>0</v>
      </c>
      <c r="U181" s="114" t="b">
        <v>0</v>
      </c>
      <c r="V181" s="114" t="b">
        <v>0</v>
      </c>
      <c r="W181" s="114" t="b">
        <v>0</v>
      </c>
      <c r="X181" s="114" t="b">
        <v>0</v>
      </c>
      <c r="Y181" s="114" t="b">
        <v>0</v>
      </c>
      <c r="Z181" s="114" t="b">
        <v>0</v>
      </c>
      <c r="AA181" s="114" t="b">
        <v>0</v>
      </c>
      <c r="AB181" s="114" t="b">
        <v>0</v>
      </c>
      <c r="AC181" s="114" t="b">
        <v>0</v>
      </c>
      <c r="AD181" s="114" t="b">
        <v>0</v>
      </c>
      <c r="AE181" s="114" t="b">
        <v>0</v>
      </c>
      <c r="AF181" s="114" t="b">
        <v>0</v>
      </c>
      <c r="AG181" s="114" t="b">
        <v>0</v>
      </c>
      <c r="AH181" s="114" t="b">
        <v>0</v>
      </c>
      <c r="AI181" s="114" t="b">
        <v>0</v>
      </c>
      <c r="AJ181" s="114" t="b">
        <v>0</v>
      </c>
      <c r="AK181" s="114" t="b">
        <v>0</v>
      </c>
      <c r="AL181" s="115" t="str">
        <f t="shared" si="1"/>
        <v>0 dari 31 (0%)</v>
      </c>
    </row>
    <row r="182" ht="22.5" customHeight="1">
      <c r="A182" s="10">
        <v>181.0</v>
      </c>
      <c r="B182" s="11"/>
      <c r="C182" s="140"/>
      <c r="D182" s="138"/>
      <c r="E182" s="138"/>
      <c r="F182" s="13"/>
      <c r="G182" s="114" t="b">
        <v>0</v>
      </c>
      <c r="H182" s="114" t="b">
        <v>0</v>
      </c>
      <c r="I182" s="114" t="b">
        <v>0</v>
      </c>
      <c r="J182" s="114" t="b">
        <v>0</v>
      </c>
      <c r="K182" s="114" t="b">
        <v>0</v>
      </c>
      <c r="L182" s="114" t="b">
        <v>0</v>
      </c>
      <c r="M182" s="114" t="b">
        <v>0</v>
      </c>
      <c r="N182" s="114" t="b">
        <v>0</v>
      </c>
      <c r="O182" s="114" t="b">
        <v>0</v>
      </c>
      <c r="P182" s="114" t="b">
        <v>0</v>
      </c>
      <c r="Q182" s="114" t="b">
        <v>0</v>
      </c>
      <c r="R182" s="114" t="b">
        <v>0</v>
      </c>
      <c r="S182" s="114" t="b">
        <v>0</v>
      </c>
      <c r="T182" s="114" t="b">
        <v>0</v>
      </c>
      <c r="U182" s="114" t="b">
        <v>0</v>
      </c>
      <c r="V182" s="114" t="b">
        <v>0</v>
      </c>
      <c r="W182" s="114" t="b">
        <v>0</v>
      </c>
      <c r="X182" s="114" t="b">
        <v>0</v>
      </c>
      <c r="Y182" s="114" t="b">
        <v>0</v>
      </c>
      <c r="Z182" s="114" t="b">
        <v>0</v>
      </c>
      <c r="AA182" s="114" t="b">
        <v>0</v>
      </c>
      <c r="AB182" s="114" t="b">
        <v>0</v>
      </c>
      <c r="AC182" s="114" t="b">
        <v>0</v>
      </c>
      <c r="AD182" s="114" t="b">
        <v>0</v>
      </c>
      <c r="AE182" s="114" t="b">
        <v>0</v>
      </c>
      <c r="AF182" s="114" t="b">
        <v>0</v>
      </c>
      <c r="AG182" s="114" t="b">
        <v>0</v>
      </c>
      <c r="AH182" s="114" t="b">
        <v>0</v>
      </c>
      <c r="AI182" s="114" t="b">
        <v>0</v>
      </c>
      <c r="AJ182" s="114" t="b">
        <v>0</v>
      </c>
      <c r="AK182" s="114" t="b">
        <v>0</v>
      </c>
      <c r="AL182" s="115" t="str">
        <f t="shared" si="1"/>
        <v>0 dari 31 (0%)</v>
      </c>
    </row>
    <row r="183" ht="22.5" customHeight="1">
      <c r="A183" s="10">
        <v>182.0</v>
      </c>
      <c r="B183" s="11"/>
      <c r="C183" s="140"/>
      <c r="D183" s="138"/>
      <c r="E183" s="138"/>
      <c r="F183" s="13"/>
      <c r="G183" s="114" t="b">
        <v>0</v>
      </c>
      <c r="H183" s="114" t="b">
        <v>0</v>
      </c>
      <c r="I183" s="114" t="b">
        <v>0</v>
      </c>
      <c r="J183" s="114" t="b">
        <v>0</v>
      </c>
      <c r="K183" s="114" t="b">
        <v>0</v>
      </c>
      <c r="L183" s="114" t="b">
        <v>0</v>
      </c>
      <c r="M183" s="114" t="b">
        <v>0</v>
      </c>
      <c r="N183" s="114" t="b">
        <v>0</v>
      </c>
      <c r="O183" s="114" t="b">
        <v>0</v>
      </c>
      <c r="P183" s="114" t="b">
        <v>0</v>
      </c>
      <c r="Q183" s="114" t="b">
        <v>0</v>
      </c>
      <c r="R183" s="114" t="b">
        <v>0</v>
      </c>
      <c r="S183" s="114" t="b">
        <v>0</v>
      </c>
      <c r="T183" s="114" t="b">
        <v>0</v>
      </c>
      <c r="U183" s="114" t="b">
        <v>0</v>
      </c>
      <c r="V183" s="114" t="b">
        <v>0</v>
      </c>
      <c r="W183" s="114" t="b">
        <v>0</v>
      </c>
      <c r="X183" s="114" t="b">
        <v>0</v>
      </c>
      <c r="Y183" s="114" t="b">
        <v>0</v>
      </c>
      <c r="Z183" s="114" t="b">
        <v>0</v>
      </c>
      <c r="AA183" s="114" t="b">
        <v>0</v>
      </c>
      <c r="AB183" s="114" t="b">
        <v>0</v>
      </c>
      <c r="AC183" s="114" t="b">
        <v>0</v>
      </c>
      <c r="AD183" s="114" t="b">
        <v>0</v>
      </c>
      <c r="AE183" s="114" t="b">
        <v>0</v>
      </c>
      <c r="AF183" s="114" t="b">
        <v>0</v>
      </c>
      <c r="AG183" s="114" t="b">
        <v>0</v>
      </c>
      <c r="AH183" s="114" t="b">
        <v>0</v>
      </c>
      <c r="AI183" s="114" t="b">
        <v>0</v>
      </c>
      <c r="AJ183" s="114" t="b">
        <v>0</v>
      </c>
      <c r="AK183" s="114" t="b">
        <v>0</v>
      </c>
      <c r="AL183" s="115" t="str">
        <f t="shared" si="1"/>
        <v>0 dari 31 (0%)</v>
      </c>
    </row>
    <row r="184" ht="22.5" customHeight="1">
      <c r="A184" s="2">
        <v>183.0</v>
      </c>
      <c r="B184" s="11"/>
      <c r="C184" s="140"/>
      <c r="D184" s="138"/>
      <c r="E184" s="138"/>
      <c r="F184" s="13"/>
      <c r="G184" s="114" t="b">
        <v>0</v>
      </c>
      <c r="H184" s="114" t="b">
        <v>0</v>
      </c>
      <c r="I184" s="114" t="b">
        <v>0</v>
      </c>
      <c r="J184" s="114" t="b">
        <v>0</v>
      </c>
      <c r="K184" s="114" t="b">
        <v>0</v>
      </c>
      <c r="L184" s="114" t="b">
        <v>0</v>
      </c>
      <c r="M184" s="114" t="b">
        <v>0</v>
      </c>
      <c r="N184" s="114" t="b">
        <v>0</v>
      </c>
      <c r="O184" s="114" t="b">
        <v>0</v>
      </c>
      <c r="P184" s="114" t="b">
        <v>0</v>
      </c>
      <c r="Q184" s="114" t="b">
        <v>0</v>
      </c>
      <c r="R184" s="114" t="b">
        <v>0</v>
      </c>
      <c r="S184" s="114" t="b">
        <v>0</v>
      </c>
      <c r="T184" s="114" t="b">
        <v>0</v>
      </c>
      <c r="U184" s="114" t="b">
        <v>0</v>
      </c>
      <c r="V184" s="114" t="b">
        <v>0</v>
      </c>
      <c r="W184" s="114" t="b">
        <v>0</v>
      </c>
      <c r="X184" s="114" t="b">
        <v>0</v>
      </c>
      <c r="Y184" s="114" t="b">
        <v>0</v>
      </c>
      <c r="Z184" s="114" t="b">
        <v>0</v>
      </c>
      <c r="AA184" s="114" t="b">
        <v>0</v>
      </c>
      <c r="AB184" s="114" t="b">
        <v>0</v>
      </c>
      <c r="AC184" s="114" t="b">
        <v>0</v>
      </c>
      <c r="AD184" s="114" t="b">
        <v>0</v>
      </c>
      <c r="AE184" s="114" t="b">
        <v>0</v>
      </c>
      <c r="AF184" s="114" t="b">
        <v>0</v>
      </c>
      <c r="AG184" s="114" t="b">
        <v>0</v>
      </c>
      <c r="AH184" s="114" t="b">
        <v>0</v>
      </c>
      <c r="AI184" s="114" t="b">
        <v>0</v>
      </c>
      <c r="AJ184" s="114" t="b">
        <v>0</v>
      </c>
      <c r="AK184" s="114" t="b">
        <v>0</v>
      </c>
      <c r="AL184" s="115" t="str">
        <f t="shared" si="1"/>
        <v>0 dari 31 (0%)</v>
      </c>
    </row>
    <row r="185" ht="22.5" customHeight="1">
      <c r="A185" s="10">
        <v>184.0</v>
      </c>
      <c r="B185" s="11"/>
      <c r="C185" s="140"/>
      <c r="D185" s="138"/>
      <c r="E185" s="138"/>
      <c r="F185" s="13"/>
      <c r="G185" s="114" t="b">
        <v>0</v>
      </c>
      <c r="H185" s="114" t="b">
        <v>0</v>
      </c>
      <c r="I185" s="114" t="b">
        <v>0</v>
      </c>
      <c r="J185" s="114" t="b">
        <v>0</v>
      </c>
      <c r="K185" s="114" t="b">
        <v>0</v>
      </c>
      <c r="L185" s="114" t="b">
        <v>0</v>
      </c>
      <c r="M185" s="114" t="b">
        <v>0</v>
      </c>
      <c r="N185" s="114" t="b">
        <v>0</v>
      </c>
      <c r="O185" s="114" t="b">
        <v>0</v>
      </c>
      <c r="P185" s="114" t="b">
        <v>0</v>
      </c>
      <c r="Q185" s="114" t="b">
        <v>0</v>
      </c>
      <c r="R185" s="114" t="b">
        <v>0</v>
      </c>
      <c r="S185" s="114" t="b">
        <v>0</v>
      </c>
      <c r="T185" s="114" t="b">
        <v>0</v>
      </c>
      <c r="U185" s="114" t="b">
        <v>0</v>
      </c>
      <c r="V185" s="114" t="b">
        <v>0</v>
      </c>
      <c r="W185" s="114" t="b">
        <v>0</v>
      </c>
      <c r="X185" s="114" t="b">
        <v>0</v>
      </c>
      <c r="Y185" s="114" t="b">
        <v>0</v>
      </c>
      <c r="Z185" s="114" t="b">
        <v>0</v>
      </c>
      <c r="AA185" s="114" t="b">
        <v>0</v>
      </c>
      <c r="AB185" s="114" t="b">
        <v>0</v>
      </c>
      <c r="AC185" s="114" t="b">
        <v>0</v>
      </c>
      <c r="AD185" s="114" t="b">
        <v>0</v>
      </c>
      <c r="AE185" s="114" t="b">
        <v>0</v>
      </c>
      <c r="AF185" s="114" t="b">
        <v>0</v>
      </c>
      <c r="AG185" s="114" t="b">
        <v>0</v>
      </c>
      <c r="AH185" s="114" t="b">
        <v>0</v>
      </c>
      <c r="AI185" s="114" t="b">
        <v>0</v>
      </c>
      <c r="AJ185" s="114" t="b">
        <v>0</v>
      </c>
      <c r="AK185" s="114" t="b">
        <v>0</v>
      </c>
      <c r="AL185" s="115" t="str">
        <f t="shared" si="1"/>
        <v>0 dari 31 (0%)</v>
      </c>
    </row>
    <row r="186" ht="22.5" customHeight="1">
      <c r="A186" s="10">
        <v>185.0</v>
      </c>
      <c r="B186" s="11"/>
      <c r="C186" s="140"/>
      <c r="D186" s="138"/>
      <c r="E186" s="138"/>
      <c r="F186" s="13"/>
      <c r="G186" s="114" t="b">
        <v>0</v>
      </c>
      <c r="H186" s="114" t="b">
        <v>0</v>
      </c>
      <c r="I186" s="114" t="b">
        <v>0</v>
      </c>
      <c r="J186" s="114" t="b">
        <v>0</v>
      </c>
      <c r="K186" s="114" t="b">
        <v>0</v>
      </c>
      <c r="L186" s="114" t="b">
        <v>0</v>
      </c>
      <c r="M186" s="114" t="b">
        <v>0</v>
      </c>
      <c r="N186" s="114" t="b">
        <v>0</v>
      </c>
      <c r="O186" s="114" t="b">
        <v>0</v>
      </c>
      <c r="P186" s="114" t="b">
        <v>0</v>
      </c>
      <c r="Q186" s="114" t="b">
        <v>0</v>
      </c>
      <c r="R186" s="114" t="b">
        <v>0</v>
      </c>
      <c r="S186" s="114" t="b">
        <v>0</v>
      </c>
      <c r="T186" s="114" t="b">
        <v>0</v>
      </c>
      <c r="U186" s="114" t="b">
        <v>0</v>
      </c>
      <c r="V186" s="114" t="b">
        <v>0</v>
      </c>
      <c r="W186" s="114" t="b">
        <v>0</v>
      </c>
      <c r="X186" s="114" t="b">
        <v>0</v>
      </c>
      <c r="Y186" s="114" t="b">
        <v>0</v>
      </c>
      <c r="Z186" s="114" t="b">
        <v>0</v>
      </c>
      <c r="AA186" s="114" t="b">
        <v>0</v>
      </c>
      <c r="AB186" s="114" t="b">
        <v>0</v>
      </c>
      <c r="AC186" s="114" t="b">
        <v>0</v>
      </c>
      <c r="AD186" s="114" t="b">
        <v>0</v>
      </c>
      <c r="AE186" s="114" t="b">
        <v>0</v>
      </c>
      <c r="AF186" s="114" t="b">
        <v>0</v>
      </c>
      <c r="AG186" s="114" t="b">
        <v>0</v>
      </c>
      <c r="AH186" s="114" t="b">
        <v>0</v>
      </c>
      <c r="AI186" s="114" t="b">
        <v>0</v>
      </c>
      <c r="AJ186" s="114" t="b">
        <v>0</v>
      </c>
      <c r="AK186" s="114" t="b">
        <v>0</v>
      </c>
      <c r="AL186" s="115" t="str">
        <f t="shared" si="1"/>
        <v>0 dari 31 (0%)</v>
      </c>
    </row>
    <row r="187" ht="22.5" customHeight="1">
      <c r="A187" s="2">
        <v>186.0</v>
      </c>
      <c r="B187" s="11"/>
      <c r="C187" s="140"/>
      <c r="D187" s="138"/>
      <c r="E187" s="138"/>
      <c r="F187" s="13"/>
      <c r="G187" s="114" t="b">
        <v>0</v>
      </c>
      <c r="H187" s="114" t="b">
        <v>0</v>
      </c>
      <c r="I187" s="114" t="b">
        <v>0</v>
      </c>
      <c r="J187" s="114" t="b">
        <v>0</v>
      </c>
      <c r="K187" s="114" t="b">
        <v>0</v>
      </c>
      <c r="L187" s="114" t="b">
        <v>0</v>
      </c>
      <c r="M187" s="114" t="b">
        <v>0</v>
      </c>
      <c r="N187" s="114" t="b">
        <v>0</v>
      </c>
      <c r="O187" s="114" t="b">
        <v>0</v>
      </c>
      <c r="P187" s="114" t="b">
        <v>0</v>
      </c>
      <c r="Q187" s="114" t="b">
        <v>0</v>
      </c>
      <c r="R187" s="114" t="b">
        <v>0</v>
      </c>
      <c r="S187" s="114" t="b">
        <v>0</v>
      </c>
      <c r="T187" s="114" t="b">
        <v>0</v>
      </c>
      <c r="U187" s="114" t="b">
        <v>0</v>
      </c>
      <c r="V187" s="114" t="b">
        <v>0</v>
      </c>
      <c r="W187" s="114" t="b">
        <v>0</v>
      </c>
      <c r="X187" s="114" t="b">
        <v>0</v>
      </c>
      <c r="Y187" s="114" t="b">
        <v>0</v>
      </c>
      <c r="Z187" s="114" t="b">
        <v>0</v>
      </c>
      <c r="AA187" s="114" t="b">
        <v>0</v>
      </c>
      <c r="AB187" s="114" t="b">
        <v>0</v>
      </c>
      <c r="AC187" s="114" t="b">
        <v>0</v>
      </c>
      <c r="AD187" s="114" t="b">
        <v>0</v>
      </c>
      <c r="AE187" s="114" t="b">
        <v>0</v>
      </c>
      <c r="AF187" s="114" t="b">
        <v>0</v>
      </c>
      <c r="AG187" s="114" t="b">
        <v>0</v>
      </c>
      <c r="AH187" s="114" t="b">
        <v>0</v>
      </c>
      <c r="AI187" s="114" t="b">
        <v>0</v>
      </c>
      <c r="AJ187" s="114" t="b">
        <v>0</v>
      </c>
      <c r="AK187" s="114" t="b">
        <v>0</v>
      </c>
      <c r="AL187" s="115" t="str">
        <f t="shared" si="1"/>
        <v>0 dari 31 (0%)</v>
      </c>
    </row>
    <row r="188" ht="22.5" customHeight="1">
      <c r="A188" s="10">
        <v>187.0</v>
      </c>
      <c r="B188" s="11"/>
      <c r="C188" s="140"/>
      <c r="D188" s="138"/>
      <c r="E188" s="138"/>
      <c r="F188" s="13"/>
      <c r="G188" s="114" t="b">
        <v>0</v>
      </c>
      <c r="H188" s="114" t="b">
        <v>0</v>
      </c>
      <c r="I188" s="114" t="b">
        <v>0</v>
      </c>
      <c r="J188" s="114" t="b">
        <v>0</v>
      </c>
      <c r="K188" s="114" t="b">
        <v>0</v>
      </c>
      <c r="L188" s="114" t="b">
        <v>0</v>
      </c>
      <c r="M188" s="114" t="b">
        <v>0</v>
      </c>
      <c r="N188" s="114" t="b">
        <v>0</v>
      </c>
      <c r="O188" s="114" t="b">
        <v>0</v>
      </c>
      <c r="P188" s="114" t="b">
        <v>0</v>
      </c>
      <c r="Q188" s="114" t="b">
        <v>0</v>
      </c>
      <c r="R188" s="114" t="b">
        <v>0</v>
      </c>
      <c r="S188" s="114" t="b">
        <v>0</v>
      </c>
      <c r="T188" s="114" t="b">
        <v>0</v>
      </c>
      <c r="U188" s="114" t="b">
        <v>0</v>
      </c>
      <c r="V188" s="114" t="b">
        <v>0</v>
      </c>
      <c r="W188" s="114" t="b">
        <v>0</v>
      </c>
      <c r="X188" s="114" t="b">
        <v>0</v>
      </c>
      <c r="Y188" s="114" t="b">
        <v>0</v>
      </c>
      <c r="Z188" s="114" t="b">
        <v>0</v>
      </c>
      <c r="AA188" s="114" t="b">
        <v>0</v>
      </c>
      <c r="AB188" s="114" t="b">
        <v>0</v>
      </c>
      <c r="AC188" s="114" t="b">
        <v>0</v>
      </c>
      <c r="AD188" s="114" t="b">
        <v>0</v>
      </c>
      <c r="AE188" s="114" t="b">
        <v>0</v>
      </c>
      <c r="AF188" s="114" t="b">
        <v>0</v>
      </c>
      <c r="AG188" s="114" t="b">
        <v>0</v>
      </c>
      <c r="AH188" s="114" t="b">
        <v>0</v>
      </c>
      <c r="AI188" s="114" t="b">
        <v>0</v>
      </c>
      <c r="AJ188" s="114" t="b">
        <v>0</v>
      </c>
      <c r="AK188" s="114" t="b">
        <v>0</v>
      </c>
      <c r="AL188" s="115" t="str">
        <f t="shared" si="1"/>
        <v>0 dari 31 (0%)</v>
      </c>
    </row>
    <row r="189" ht="22.5" customHeight="1">
      <c r="A189" s="10">
        <v>188.0</v>
      </c>
      <c r="B189" s="11"/>
      <c r="C189" s="140"/>
      <c r="D189" s="138"/>
      <c r="E189" s="138"/>
      <c r="F189" s="13"/>
      <c r="G189" s="114" t="b">
        <v>0</v>
      </c>
      <c r="H189" s="114" t="b">
        <v>0</v>
      </c>
      <c r="I189" s="114" t="b">
        <v>0</v>
      </c>
      <c r="J189" s="114" t="b">
        <v>0</v>
      </c>
      <c r="K189" s="114" t="b">
        <v>0</v>
      </c>
      <c r="L189" s="114" t="b">
        <v>0</v>
      </c>
      <c r="M189" s="114" t="b">
        <v>0</v>
      </c>
      <c r="N189" s="114" t="b">
        <v>0</v>
      </c>
      <c r="O189" s="114" t="b">
        <v>0</v>
      </c>
      <c r="P189" s="114" t="b">
        <v>0</v>
      </c>
      <c r="Q189" s="114" t="b">
        <v>0</v>
      </c>
      <c r="R189" s="114" t="b">
        <v>0</v>
      </c>
      <c r="S189" s="114" t="b">
        <v>0</v>
      </c>
      <c r="T189" s="114" t="b">
        <v>0</v>
      </c>
      <c r="U189" s="114" t="b">
        <v>0</v>
      </c>
      <c r="V189" s="114" t="b">
        <v>0</v>
      </c>
      <c r="W189" s="114" t="b">
        <v>0</v>
      </c>
      <c r="X189" s="114" t="b">
        <v>0</v>
      </c>
      <c r="Y189" s="114" t="b">
        <v>0</v>
      </c>
      <c r="Z189" s="114" t="b">
        <v>0</v>
      </c>
      <c r="AA189" s="114" t="b">
        <v>0</v>
      </c>
      <c r="AB189" s="114" t="b">
        <v>0</v>
      </c>
      <c r="AC189" s="114" t="b">
        <v>0</v>
      </c>
      <c r="AD189" s="114" t="b">
        <v>0</v>
      </c>
      <c r="AE189" s="114" t="b">
        <v>0</v>
      </c>
      <c r="AF189" s="114" t="b">
        <v>0</v>
      </c>
      <c r="AG189" s="114" t="b">
        <v>0</v>
      </c>
      <c r="AH189" s="114" t="b">
        <v>0</v>
      </c>
      <c r="AI189" s="114" t="b">
        <v>0</v>
      </c>
      <c r="AJ189" s="114" t="b">
        <v>0</v>
      </c>
      <c r="AK189" s="114" t="b">
        <v>0</v>
      </c>
      <c r="AL189" s="115" t="str">
        <f t="shared" si="1"/>
        <v>0 dari 31 (0%)</v>
      </c>
    </row>
    <row r="190" ht="22.5" customHeight="1">
      <c r="A190" s="2">
        <v>189.0</v>
      </c>
      <c r="B190" s="11"/>
      <c r="C190" s="140"/>
      <c r="D190" s="138"/>
      <c r="E190" s="138"/>
      <c r="F190" s="13"/>
      <c r="G190" s="114" t="b">
        <v>0</v>
      </c>
      <c r="H190" s="114" t="b">
        <v>0</v>
      </c>
      <c r="I190" s="114" t="b">
        <v>0</v>
      </c>
      <c r="J190" s="114" t="b">
        <v>0</v>
      </c>
      <c r="K190" s="114" t="b">
        <v>0</v>
      </c>
      <c r="L190" s="114" t="b">
        <v>0</v>
      </c>
      <c r="M190" s="114" t="b">
        <v>0</v>
      </c>
      <c r="N190" s="114" t="b">
        <v>0</v>
      </c>
      <c r="O190" s="114" t="b">
        <v>0</v>
      </c>
      <c r="P190" s="114" t="b">
        <v>0</v>
      </c>
      <c r="Q190" s="114" t="b">
        <v>0</v>
      </c>
      <c r="R190" s="114" t="b">
        <v>0</v>
      </c>
      <c r="S190" s="114" t="b">
        <v>0</v>
      </c>
      <c r="T190" s="114" t="b">
        <v>0</v>
      </c>
      <c r="U190" s="114" t="b">
        <v>0</v>
      </c>
      <c r="V190" s="114" t="b">
        <v>0</v>
      </c>
      <c r="W190" s="114" t="b">
        <v>0</v>
      </c>
      <c r="X190" s="114" t="b">
        <v>0</v>
      </c>
      <c r="Y190" s="114" t="b">
        <v>0</v>
      </c>
      <c r="Z190" s="114" t="b">
        <v>0</v>
      </c>
      <c r="AA190" s="114" t="b">
        <v>0</v>
      </c>
      <c r="AB190" s="114" t="b">
        <v>0</v>
      </c>
      <c r="AC190" s="114" t="b">
        <v>0</v>
      </c>
      <c r="AD190" s="114" t="b">
        <v>0</v>
      </c>
      <c r="AE190" s="114" t="b">
        <v>0</v>
      </c>
      <c r="AF190" s="114" t="b">
        <v>0</v>
      </c>
      <c r="AG190" s="114" t="b">
        <v>0</v>
      </c>
      <c r="AH190" s="114" t="b">
        <v>0</v>
      </c>
      <c r="AI190" s="114" t="b">
        <v>0</v>
      </c>
      <c r="AJ190" s="114" t="b">
        <v>0</v>
      </c>
      <c r="AK190" s="114" t="b">
        <v>0</v>
      </c>
      <c r="AL190" s="115" t="str">
        <f t="shared" si="1"/>
        <v>0 dari 31 (0%)</v>
      </c>
    </row>
    <row r="191" ht="22.5" customHeight="1">
      <c r="A191" s="10">
        <v>190.0</v>
      </c>
      <c r="B191" s="11"/>
      <c r="C191" s="140"/>
      <c r="D191" s="138"/>
      <c r="E191" s="138"/>
      <c r="F191" s="13"/>
      <c r="G191" s="114" t="b">
        <v>0</v>
      </c>
      <c r="H191" s="114" t="b">
        <v>0</v>
      </c>
      <c r="I191" s="114" t="b">
        <v>0</v>
      </c>
      <c r="J191" s="114" t="b">
        <v>0</v>
      </c>
      <c r="K191" s="114" t="b">
        <v>0</v>
      </c>
      <c r="L191" s="114" t="b">
        <v>0</v>
      </c>
      <c r="M191" s="114" t="b">
        <v>0</v>
      </c>
      <c r="N191" s="114" t="b">
        <v>0</v>
      </c>
      <c r="O191" s="114" t="b">
        <v>0</v>
      </c>
      <c r="P191" s="114" t="b">
        <v>0</v>
      </c>
      <c r="Q191" s="114" t="b">
        <v>0</v>
      </c>
      <c r="R191" s="114" t="b">
        <v>0</v>
      </c>
      <c r="S191" s="114" t="b">
        <v>0</v>
      </c>
      <c r="T191" s="114" t="b">
        <v>0</v>
      </c>
      <c r="U191" s="114" t="b">
        <v>0</v>
      </c>
      <c r="V191" s="114" t="b">
        <v>0</v>
      </c>
      <c r="W191" s="114" t="b">
        <v>0</v>
      </c>
      <c r="X191" s="114" t="b">
        <v>0</v>
      </c>
      <c r="Y191" s="114" t="b">
        <v>0</v>
      </c>
      <c r="Z191" s="114" t="b">
        <v>0</v>
      </c>
      <c r="AA191" s="114" t="b">
        <v>0</v>
      </c>
      <c r="AB191" s="114" t="b">
        <v>0</v>
      </c>
      <c r="AC191" s="114" t="b">
        <v>0</v>
      </c>
      <c r="AD191" s="114" t="b">
        <v>0</v>
      </c>
      <c r="AE191" s="114" t="b">
        <v>0</v>
      </c>
      <c r="AF191" s="114" t="b">
        <v>0</v>
      </c>
      <c r="AG191" s="114" t="b">
        <v>0</v>
      </c>
      <c r="AH191" s="114" t="b">
        <v>0</v>
      </c>
      <c r="AI191" s="114" t="b">
        <v>0</v>
      </c>
      <c r="AJ191" s="114" t="b">
        <v>0</v>
      </c>
      <c r="AK191" s="114" t="b">
        <v>0</v>
      </c>
      <c r="AL191" s="115" t="str">
        <f t="shared" si="1"/>
        <v>0 dari 31 (0%)</v>
      </c>
    </row>
    <row r="192" ht="22.5" customHeight="1">
      <c r="A192" s="10">
        <v>191.0</v>
      </c>
      <c r="B192" s="11"/>
      <c r="C192" s="140"/>
      <c r="D192" s="138"/>
      <c r="E192" s="138"/>
      <c r="F192" s="13"/>
      <c r="G192" s="114" t="b">
        <v>0</v>
      </c>
      <c r="H192" s="114" t="b">
        <v>0</v>
      </c>
      <c r="I192" s="114" t="b">
        <v>0</v>
      </c>
      <c r="J192" s="114" t="b">
        <v>0</v>
      </c>
      <c r="K192" s="114" t="b">
        <v>0</v>
      </c>
      <c r="L192" s="114" t="b">
        <v>0</v>
      </c>
      <c r="M192" s="114" t="b">
        <v>0</v>
      </c>
      <c r="N192" s="114" t="b">
        <v>0</v>
      </c>
      <c r="O192" s="114" t="b">
        <v>0</v>
      </c>
      <c r="P192" s="114" t="b">
        <v>0</v>
      </c>
      <c r="Q192" s="114" t="b">
        <v>0</v>
      </c>
      <c r="R192" s="114" t="b">
        <v>0</v>
      </c>
      <c r="S192" s="114" t="b">
        <v>0</v>
      </c>
      <c r="T192" s="114" t="b">
        <v>0</v>
      </c>
      <c r="U192" s="114" t="b">
        <v>0</v>
      </c>
      <c r="V192" s="114" t="b">
        <v>0</v>
      </c>
      <c r="W192" s="114" t="b">
        <v>0</v>
      </c>
      <c r="X192" s="114" t="b">
        <v>0</v>
      </c>
      <c r="Y192" s="114" t="b">
        <v>0</v>
      </c>
      <c r="Z192" s="114" t="b">
        <v>0</v>
      </c>
      <c r="AA192" s="114" t="b">
        <v>0</v>
      </c>
      <c r="AB192" s="114" t="b">
        <v>0</v>
      </c>
      <c r="AC192" s="114" t="b">
        <v>0</v>
      </c>
      <c r="AD192" s="114" t="b">
        <v>0</v>
      </c>
      <c r="AE192" s="114" t="b">
        <v>0</v>
      </c>
      <c r="AF192" s="114" t="b">
        <v>0</v>
      </c>
      <c r="AG192" s="114" t="b">
        <v>0</v>
      </c>
      <c r="AH192" s="114" t="b">
        <v>0</v>
      </c>
      <c r="AI192" s="114" t="b">
        <v>0</v>
      </c>
      <c r="AJ192" s="114" t="b">
        <v>0</v>
      </c>
      <c r="AK192" s="114" t="b">
        <v>0</v>
      </c>
      <c r="AL192" s="115" t="str">
        <f t="shared" si="1"/>
        <v>0 dari 31 (0%)</v>
      </c>
    </row>
    <row r="193" ht="22.5" customHeight="1">
      <c r="A193" s="2">
        <v>192.0</v>
      </c>
      <c r="B193" s="11"/>
      <c r="C193" s="140"/>
      <c r="D193" s="138"/>
      <c r="E193" s="138"/>
      <c r="F193" s="13"/>
      <c r="G193" s="114" t="b">
        <v>0</v>
      </c>
      <c r="H193" s="114" t="b">
        <v>0</v>
      </c>
      <c r="I193" s="114" t="b">
        <v>0</v>
      </c>
      <c r="J193" s="114" t="b">
        <v>0</v>
      </c>
      <c r="K193" s="114" t="b">
        <v>0</v>
      </c>
      <c r="L193" s="114" t="b">
        <v>0</v>
      </c>
      <c r="M193" s="114" t="b">
        <v>0</v>
      </c>
      <c r="N193" s="114" t="b">
        <v>0</v>
      </c>
      <c r="O193" s="114" t="b">
        <v>0</v>
      </c>
      <c r="P193" s="114" t="b">
        <v>0</v>
      </c>
      <c r="Q193" s="114" t="b">
        <v>0</v>
      </c>
      <c r="R193" s="114" t="b">
        <v>0</v>
      </c>
      <c r="S193" s="114" t="b">
        <v>0</v>
      </c>
      <c r="T193" s="114" t="b">
        <v>0</v>
      </c>
      <c r="U193" s="114" t="b">
        <v>0</v>
      </c>
      <c r="V193" s="114" t="b">
        <v>0</v>
      </c>
      <c r="W193" s="114" t="b">
        <v>0</v>
      </c>
      <c r="X193" s="114" t="b">
        <v>0</v>
      </c>
      <c r="Y193" s="114" t="b">
        <v>0</v>
      </c>
      <c r="Z193" s="114" t="b">
        <v>0</v>
      </c>
      <c r="AA193" s="114" t="b">
        <v>0</v>
      </c>
      <c r="AB193" s="114" t="b">
        <v>0</v>
      </c>
      <c r="AC193" s="114" t="b">
        <v>0</v>
      </c>
      <c r="AD193" s="114" t="b">
        <v>0</v>
      </c>
      <c r="AE193" s="114" t="b">
        <v>0</v>
      </c>
      <c r="AF193" s="114" t="b">
        <v>0</v>
      </c>
      <c r="AG193" s="114" t="b">
        <v>0</v>
      </c>
      <c r="AH193" s="114" t="b">
        <v>0</v>
      </c>
      <c r="AI193" s="114" t="b">
        <v>0</v>
      </c>
      <c r="AJ193" s="114" t="b">
        <v>0</v>
      </c>
      <c r="AK193" s="114" t="b">
        <v>0</v>
      </c>
      <c r="AL193" s="115" t="str">
        <f t="shared" si="1"/>
        <v>0 dari 31 (0%)</v>
      </c>
    </row>
    <row r="194" ht="22.5" customHeight="1">
      <c r="A194" s="10">
        <v>193.0</v>
      </c>
      <c r="B194" s="11"/>
      <c r="C194" s="140"/>
      <c r="D194" s="138"/>
      <c r="E194" s="138"/>
      <c r="F194" s="13"/>
      <c r="G194" s="114" t="b">
        <v>0</v>
      </c>
      <c r="H194" s="114" t="b">
        <v>0</v>
      </c>
      <c r="I194" s="114" t="b">
        <v>0</v>
      </c>
      <c r="J194" s="114" t="b">
        <v>0</v>
      </c>
      <c r="K194" s="114" t="b">
        <v>0</v>
      </c>
      <c r="L194" s="114" t="b">
        <v>0</v>
      </c>
      <c r="M194" s="114" t="b">
        <v>0</v>
      </c>
      <c r="N194" s="114" t="b">
        <v>0</v>
      </c>
      <c r="O194" s="114" t="b">
        <v>0</v>
      </c>
      <c r="P194" s="114" t="b">
        <v>0</v>
      </c>
      <c r="Q194" s="114" t="b">
        <v>0</v>
      </c>
      <c r="R194" s="114" t="b">
        <v>0</v>
      </c>
      <c r="S194" s="114" t="b">
        <v>0</v>
      </c>
      <c r="T194" s="114" t="b">
        <v>0</v>
      </c>
      <c r="U194" s="114" t="b">
        <v>0</v>
      </c>
      <c r="V194" s="114" t="b">
        <v>0</v>
      </c>
      <c r="W194" s="114" t="b">
        <v>0</v>
      </c>
      <c r="X194" s="114" t="b">
        <v>0</v>
      </c>
      <c r="Y194" s="114" t="b">
        <v>0</v>
      </c>
      <c r="Z194" s="114" t="b">
        <v>0</v>
      </c>
      <c r="AA194" s="114" t="b">
        <v>0</v>
      </c>
      <c r="AB194" s="114" t="b">
        <v>0</v>
      </c>
      <c r="AC194" s="114" t="b">
        <v>0</v>
      </c>
      <c r="AD194" s="114" t="b">
        <v>0</v>
      </c>
      <c r="AE194" s="114" t="b">
        <v>0</v>
      </c>
      <c r="AF194" s="114" t="b">
        <v>0</v>
      </c>
      <c r="AG194" s="114" t="b">
        <v>0</v>
      </c>
      <c r="AH194" s="114" t="b">
        <v>0</v>
      </c>
      <c r="AI194" s="114" t="b">
        <v>0</v>
      </c>
      <c r="AJ194" s="114" t="b">
        <v>0</v>
      </c>
      <c r="AK194" s="114" t="b">
        <v>0</v>
      </c>
      <c r="AL194" s="115" t="str">
        <f t="shared" si="1"/>
        <v>0 dari 31 (0%)</v>
      </c>
    </row>
    <row r="195" ht="22.5" customHeight="1">
      <c r="A195" s="10">
        <v>194.0</v>
      </c>
      <c r="B195" s="11"/>
      <c r="C195" s="140"/>
      <c r="D195" s="138"/>
      <c r="E195" s="138"/>
      <c r="F195" s="13"/>
      <c r="G195" s="114" t="b">
        <v>0</v>
      </c>
      <c r="H195" s="114" t="b">
        <v>0</v>
      </c>
      <c r="I195" s="114" t="b">
        <v>0</v>
      </c>
      <c r="J195" s="114" t="b">
        <v>0</v>
      </c>
      <c r="K195" s="114" t="b">
        <v>0</v>
      </c>
      <c r="L195" s="114" t="b">
        <v>0</v>
      </c>
      <c r="M195" s="114" t="b">
        <v>0</v>
      </c>
      <c r="N195" s="114" t="b">
        <v>0</v>
      </c>
      <c r="O195" s="114" t="b">
        <v>0</v>
      </c>
      <c r="P195" s="114" t="b">
        <v>0</v>
      </c>
      <c r="Q195" s="114" t="b">
        <v>0</v>
      </c>
      <c r="R195" s="114" t="b">
        <v>0</v>
      </c>
      <c r="S195" s="114" t="b">
        <v>0</v>
      </c>
      <c r="T195" s="114" t="b">
        <v>0</v>
      </c>
      <c r="U195" s="114" t="b">
        <v>0</v>
      </c>
      <c r="V195" s="114" t="b">
        <v>0</v>
      </c>
      <c r="W195" s="114" t="b">
        <v>0</v>
      </c>
      <c r="X195" s="114" t="b">
        <v>0</v>
      </c>
      <c r="Y195" s="114" t="b">
        <v>0</v>
      </c>
      <c r="Z195" s="114" t="b">
        <v>0</v>
      </c>
      <c r="AA195" s="114" t="b">
        <v>0</v>
      </c>
      <c r="AB195" s="114" t="b">
        <v>0</v>
      </c>
      <c r="AC195" s="114" t="b">
        <v>0</v>
      </c>
      <c r="AD195" s="114" t="b">
        <v>0</v>
      </c>
      <c r="AE195" s="114" t="b">
        <v>0</v>
      </c>
      <c r="AF195" s="114" t="b">
        <v>0</v>
      </c>
      <c r="AG195" s="114" t="b">
        <v>0</v>
      </c>
      <c r="AH195" s="114" t="b">
        <v>0</v>
      </c>
      <c r="AI195" s="114" t="b">
        <v>0</v>
      </c>
      <c r="AJ195" s="114" t="b">
        <v>0</v>
      </c>
      <c r="AK195" s="114" t="b">
        <v>0</v>
      </c>
      <c r="AL195" s="115" t="str">
        <f t="shared" si="1"/>
        <v>0 dari 31 (0%)</v>
      </c>
    </row>
    <row r="196" ht="22.5" customHeight="1">
      <c r="A196" s="2">
        <v>195.0</v>
      </c>
      <c r="B196" s="11"/>
      <c r="C196" s="140"/>
      <c r="D196" s="138"/>
      <c r="E196" s="138"/>
      <c r="F196" s="13"/>
      <c r="G196" s="114" t="b">
        <v>0</v>
      </c>
      <c r="H196" s="114" t="b">
        <v>0</v>
      </c>
      <c r="I196" s="114" t="b">
        <v>0</v>
      </c>
      <c r="J196" s="114" t="b">
        <v>0</v>
      </c>
      <c r="K196" s="114" t="b">
        <v>0</v>
      </c>
      <c r="L196" s="114" t="b">
        <v>0</v>
      </c>
      <c r="M196" s="114" t="b">
        <v>0</v>
      </c>
      <c r="N196" s="114" t="b">
        <v>0</v>
      </c>
      <c r="O196" s="114" t="b">
        <v>0</v>
      </c>
      <c r="P196" s="114" t="b">
        <v>0</v>
      </c>
      <c r="Q196" s="114" t="b">
        <v>0</v>
      </c>
      <c r="R196" s="114" t="b">
        <v>0</v>
      </c>
      <c r="S196" s="114" t="b">
        <v>0</v>
      </c>
      <c r="T196" s="114" t="b">
        <v>0</v>
      </c>
      <c r="U196" s="114" t="b">
        <v>0</v>
      </c>
      <c r="V196" s="114" t="b">
        <v>0</v>
      </c>
      <c r="W196" s="114" t="b">
        <v>0</v>
      </c>
      <c r="X196" s="114" t="b">
        <v>0</v>
      </c>
      <c r="Y196" s="114" t="b">
        <v>0</v>
      </c>
      <c r="Z196" s="114" t="b">
        <v>0</v>
      </c>
      <c r="AA196" s="114" t="b">
        <v>0</v>
      </c>
      <c r="AB196" s="114" t="b">
        <v>0</v>
      </c>
      <c r="AC196" s="114" t="b">
        <v>0</v>
      </c>
      <c r="AD196" s="114" t="b">
        <v>0</v>
      </c>
      <c r="AE196" s="114" t="b">
        <v>0</v>
      </c>
      <c r="AF196" s="114" t="b">
        <v>0</v>
      </c>
      <c r="AG196" s="114" t="b">
        <v>0</v>
      </c>
      <c r="AH196" s="114" t="b">
        <v>0</v>
      </c>
      <c r="AI196" s="114" t="b">
        <v>0</v>
      </c>
      <c r="AJ196" s="114" t="b">
        <v>0</v>
      </c>
      <c r="AK196" s="114" t="b">
        <v>0</v>
      </c>
      <c r="AL196" s="115" t="str">
        <f t="shared" si="1"/>
        <v>0 dari 31 (0%)</v>
      </c>
    </row>
    <row r="197" ht="22.5" customHeight="1">
      <c r="A197" s="10">
        <v>196.0</v>
      </c>
      <c r="B197" s="11"/>
      <c r="C197" s="140"/>
      <c r="D197" s="138"/>
      <c r="E197" s="138"/>
      <c r="F197" s="13"/>
      <c r="G197" s="114" t="b">
        <v>0</v>
      </c>
      <c r="H197" s="114" t="b">
        <v>0</v>
      </c>
      <c r="I197" s="114" t="b">
        <v>0</v>
      </c>
      <c r="J197" s="114" t="b">
        <v>0</v>
      </c>
      <c r="K197" s="114" t="b">
        <v>0</v>
      </c>
      <c r="L197" s="114" t="b">
        <v>0</v>
      </c>
      <c r="M197" s="114" t="b">
        <v>0</v>
      </c>
      <c r="N197" s="114" t="b">
        <v>0</v>
      </c>
      <c r="O197" s="114" t="b">
        <v>0</v>
      </c>
      <c r="P197" s="114" t="b">
        <v>0</v>
      </c>
      <c r="Q197" s="114" t="b">
        <v>0</v>
      </c>
      <c r="R197" s="114" t="b">
        <v>0</v>
      </c>
      <c r="S197" s="114" t="b">
        <v>0</v>
      </c>
      <c r="T197" s="114" t="b">
        <v>0</v>
      </c>
      <c r="U197" s="114" t="b">
        <v>0</v>
      </c>
      <c r="V197" s="114" t="b">
        <v>0</v>
      </c>
      <c r="W197" s="114" t="b">
        <v>0</v>
      </c>
      <c r="X197" s="114" t="b">
        <v>0</v>
      </c>
      <c r="Y197" s="114" t="b">
        <v>0</v>
      </c>
      <c r="Z197" s="114" t="b">
        <v>0</v>
      </c>
      <c r="AA197" s="114" t="b">
        <v>0</v>
      </c>
      <c r="AB197" s="114" t="b">
        <v>0</v>
      </c>
      <c r="AC197" s="114" t="b">
        <v>0</v>
      </c>
      <c r="AD197" s="114" t="b">
        <v>0</v>
      </c>
      <c r="AE197" s="114" t="b">
        <v>0</v>
      </c>
      <c r="AF197" s="114" t="b">
        <v>0</v>
      </c>
      <c r="AG197" s="114" t="b">
        <v>0</v>
      </c>
      <c r="AH197" s="114" t="b">
        <v>0</v>
      </c>
      <c r="AI197" s="114" t="b">
        <v>0</v>
      </c>
      <c r="AJ197" s="114" t="b">
        <v>0</v>
      </c>
      <c r="AK197" s="114" t="b">
        <v>0</v>
      </c>
      <c r="AL197" s="115" t="str">
        <f t="shared" si="1"/>
        <v>0 dari 31 (0%)</v>
      </c>
    </row>
    <row r="198" ht="22.5" customHeight="1">
      <c r="A198" s="2">
        <v>197.0</v>
      </c>
      <c r="B198" s="11"/>
      <c r="C198" s="140"/>
      <c r="D198" s="138"/>
      <c r="E198" s="138"/>
      <c r="F198" s="13"/>
      <c r="G198" s="114" t="b">
        <v>0</v>
      </c>
      <c r="H198" s="114" t="b">
        <v>0</v>
      </c>
      <c r="I198" s="114" t="b">
        <v>0</v>
      </c>
      <c r="J198" s="114" t="b">
        <v>0</v>
      </c>
      <c r="K198" s="114" t="b">
        <v>0</v>
      </c>
      <c r="L198" s="114" t="b">
        <v>0</v>
      </c>
      <c r="M198" s="114" t="b">
        <v>0</v>
      </c>
      <c r="N198" s="114" t="b">
        <v>0</v>
      </c>
      <c r="O198" s="114" t="b">
        <v>0</v>
      </c>
      <c r="P198" s="114" t="b">
        <v>0</v>
      </c>
      <c r="Q198" s="114" t="b">
        <v>0</v>
      </c>
      <c r="R198" s="114" t="b">
        <v>0</v>
      </c>
      <c r="S198" s="114" t="b">
        <v>0</v>
      </c>
      <c r="T198" s="114" t="b">
        <v>0</v>
      </c>
      <c r="U198" s="114" t="b">
        <v>0</v>
      </c>
      <c r="V198" s="114" t="b">
        <v>0</v>
      </c>
      <c r="W198" s="114" t="b">
        <v>0</v>
      </c>
      <c r="X198" s="114" t="b">
        <v>0</v>
      </c>
      <c r="Y198" s="114" t="b">
        <v>0</v>
      </c>
      <c r="Z198" s="114" t="b">
        <v>0</v>
      </c>
      <c r="AA198" s="114" t="b">
        <v>0</v>
      </c>
      <c r="AB198" s="114" t="b">
        <v>0</v>
      </c>
      <c r="AC198" s="114" t="b">
        <v>0</v>
      </c>
      <c r="AD198" s="114" t="b">
        <v>0</v>
      </c>
      <c r="AE198" s="114" t="b">
        <v>0</v>
      </c>
      <c r="AF198" s="114" t="b">
        <v>0</v>
      </c>
      <c r="AG198" s="114" t="b">
        <v>0</v>
      </c>
      <c r="AH198" s="114" t="b">
        <v>0</v>
      </c>
      <c r="AI198" s="114" t="b">
        <v>0</v>
      </c>
      <c r="AJ198" s="114" t="b">
        <v>0</v>
      </c>
      <c r="AK198" s="114" t="b">
        <v>0</v>
      </c>
      <c r="AL198" s="115" t="str">
        <f t="shared" si="1"/>
        <v>0 dari 31 (0%)</v>
      </c>
    </row>
    <row r="199" ht="22.5" customHeight="1">
      <c r="A199" s="10">
        <v>198.0</v>
      </c>
      <c r="B199" s="11"/>
      <c r="C199" s="140"/>
      <c r="D199" s="138"/>
      <c r="E199" s="138"/>
      <c r="F199" s="13"/>
      <c r="G199" s="114" t="b">
        <v>0</v>
      </c>
      <c r="H199" s="114" t="b">
        <v>0</v>
      </c>
      <c r="I199" s="114" t="b">
        <v>0</v>
      </c>
      <c r="J199" s="114" t="b">
        <v>0</v>
      </c>
      <c r="K199" s="114" t="b">
        <v>0</v>
      </c>
      <c r="L199" s="114" t="b">
        <v>0</v>
      </c>
      <c r="M199" s="114" t="b">
        <v>0</v>
      </c>
      <c r="N199" s="114" t="b">
        <v>0</v>
      </c>
      <c r="O199" s="114" t="b">
        <v>0</v>
      </c>
      <c r="P199" s="114" t="b">
        <v>0</v>
      </c>
      <c r="Q199" s="114" t="b">
        <v>0</v>
      </c>
      <c r="R199" s="114" t="b">
        <v>0</v>
      </c>
      <c r="S199" s="114" t="b">
        <v>0</v>
      </c>
      <c r="T199" s="114" t="b">
        <v>0</v>
      </c>
      <c r="U199" s="114" t="b">
        <v>0</v>
      </c>
      <c r="V199" s="114" t="b">
        <v>0</v>
      </c>
      <c r="W199" s="114" t="b">
        <v>0</v>
      </c>
      <c r="X199" s="114" t="b">
        <v>0</v>
      </c>
      <c r="Y199" s="114" t="b">
        <v>0</v>
      </c>
      <c r="Z199" s="114" t="b">
        <v>0</v>
      </c>
      <c r="AA199" s="114" t="b">
        <v>0</v>
      </c>
      <c r="AB199" s="114" t="b">
        <v>0</v>
      </c>
      <c r="AC199" s="114" t="b">
        <v>0</v>
      </c>
      <c r="AD199" s="114" t="b">
        <v>0</v>
      </c>
      <c r="AE199" s="114" t="b">
        <v>0</v>
      </c>
      <c r="AF199" s="114" t="b">
        <v>0</v>
      </c>
      <c r="AG199" s="114" t="b">
        <v>0</v>
      </c>
      <c r="AH199" s="114" t="b">
        <v>0</v>
      </c>
      <c r="AI199" s="114" t="b">
        <v>0</v>
      </c>
      <c r="AJ199" s="114" t="b">
        <v>0</v>
      </c>
      <c r="AK199" s="114" t="b">
        <v>0</v>
      </c>
      <c r="AL199" s="115" t="str">
        <f t="shared" si="1"/>
        <v>0 dari 31 (0%)</v>
      </c>
    </row>
    <row r="200" ht="22.5" customHeight="1">
      <c r="A200" s="10">
        <v>199.0</v>
      </c>
      <c r="B200" s="11"/>
      <c r="C200" s="140"/>
      <c r="D200" s="138"/>
      <c r="E200" s="138"/>
      <c r="F200" s="13"/>
      <c r="G200" s="114" t="b">
        <v>0</v>
      </c>
      <c r="H200" s="114" t="b">
        <v>0</v>
      </c>
      <c r="I200" s="114" t="b">
        <v>0</v>
      </c>
      <c r="J200" s="114" t="b">
        <v>0</v>
      </c>
      <c r="K200" s="114" t="b">
        <v>0</v>
      </c>
      <c r="L200" s="114" t="b">
        <v>0</v>
      </c>
      <c r="M200" s="114" t="b">
        <v>0</v>
      </c>
      <c r="N200" s="114" t="b">
        <v>0</v>
      </c>
      <c r="O200" s="114" t="b">
        <v>0</v>
      </c>
      <c r="P200" s="114" t="b">
        <v>0</v>
      </c>
      <c r="Q200" s="114" t="b">
        <v>0</v>
      </c>
      <c r="R200" s="114" t="b">
        <v>0</v>
      </c>
      <c r="S200" s="114" t="b">
        <v>0</v>
      </c>
      <c r="T200" s="114" t="b">
        <v>0</v>
      </c>
      <c r="U200" s="114" t="b">
        <v>0</v>
      </c>
      <c r="V200" s="114" t="b">
        <v>0</v>
      </c>
      <c r="W200" s="114" t="b">
        <v>0</v>
      </c>
      <c r="X200" s="114" t="b">
        <v>0</v>
      </c>
      <c r="Y200" s="114" t="b">
        <v>0</v>
      </c>
      <c r="Z200" s="114" t="b">
        <v>0</v>
      </c>
      <c r="AA200" s="114" t="b">
        <v>0</v>
      </c>
      <c r="AB200" s="114" t="b">
        <v>0</v>
      </c>
      <c r="AC200" s="114" t="b">
        <v>0</v>
      </c>
      <c r="AD200" s="114" t="b">
        <v>0</v>
      </c>
      <c r="AE200" s="114" t="b">
        <v>0</v>
      </c>
      <c r="AF200" s="114" t="b">
        <v>0</v>
      </c>
      <c r="AG200" s="114" t="b">
        <v>0</v>
      </c>
      <c r="AH200" s="114" t="b">
        <v>0</v>
      </c>
      <c r="AI200" s="114" t="b">
        <v>0</v>
      </c>
      <c r="AJ200" s="114" t="b">
        <v>0</v>
      </c>
      <c r="AK200" s="114" t="b">
        <v>0</v>
      </c>
      <c r="AL200" s="115" t="str">
        <f t="shared" si="1"/>
        <v>0 dari 31 (0%)</v>
      </c>
    </row>
    <row r="201" ht="22.5" customHeight="1">
      <c r="A201" s="2">
        <v>200.0</v>
      </c>
      <c r="B201" s="11"/>
      <c r="C201" s="140"/>
      <c r="D201" s="138"/>
      <c r="E201" s="138"/>
      <c r="F201" s="13"/>
      <c r="G201" s="114" t="b">
        <v>0</v>
      </c>
      <c r="H201" s="114" t="b">
        <v>0</v>
      </c>
      <c r="I201" s="114" t="b">
        <v>0</v>
      </c>
      <c r="J201" s="114" t="b">
        <v>0</v>
      </c>
      <c r="K201" s="114" t="b">
        <v>0</v>
      </c>
      <c r="L201" s="114" t="b">
        <v>0</v>
      </c>
      <c r="M201" s="114" t="b">
        <v>0</v>
      </c>
      <c r="N201" s="114" t="b">
        <v>0</v>
      </c>
      <c r="O201" s="114" t="b">
        <v>0</v>
      </c>
      <c r="P201" s="114" t="b">
        <v>0</v>
      </c>
      <c r="Q201" s="114" t="b">
        <v>0</v>
      </c>
      <c r="R201" s="114" t="b">
        <v>0</v>
      </c>
      <c r="S201" s="114" t="b">
        <v>0</v>
      </c>
      <c r="T201" s="114" t="b">
        <v>0</v>
      </c>
      <c r="U201" s="114" t="b">
        <v>0</v>
      </c>
      <c r="V201" s="114" t="b">
        <v>0</v>
      </c>
      <c r="W201" s="114" t="b">
        <v>0</v>
      </c>
      <c r="X201" s="114" t="b">
        <v>0</v>
      </c>
      <c r="Y201" s="114" t="b">
        <v>0</v>
      </c>
      <c r="Z201" s="114" t="b">
        <v>0</v>
      </c>
      <c r="AA201" s="114" t="b">
        <v>0</v>
      </c>
      <c r="AB201" s="114" t="b">
        <v>0</v>
      </c>
      <c r="AC201" s="114" t="b">
        <v>0</v>
      </c>
      <c r="AD201" s="114" t="b">
        <v>0</v>
      </c>
      <c r="AE201" s="114" t="b">
        <v>0</v>
      </c>
      <c r="AF201" s="114" t="b">
        <v>0</v>
      </c>
      <c r="AG201" s="114" t="b">
        <v>0</v>
      </c>
      <c r="AH201" s="114" t="b">
        <v>0</v>
      </c>
      <c r="AI201" s="114" t="b">
        <v>0</v>
      </c>
      <c r="AJ201" s="114" t="b">
        <v>0</v>
      </c>
      <c r="AK201" s="114" t="b">
        <v>0</v>
      </c>
      <c r="AL201" s="115" t="str">
        <f t="shared" si="1"/>
        <v>0 dari 31 (0%)</v>
      </c>
    </row>
    <row r="202" ht="22.5" customHeight="1">
      <c r="A202" s="10">
        <v>201.0</v>
      </c>
      <c r="B202" s="11"/>
      <c r="C202" s="140"/>
      <c r="D202" s="138"/>
      <c r="E202" s="138"/>
      <c r="F202" s="13"/>
      <c r="G202" s="114" t="b">
        <v>0</v>
      </c>
      <c r="H202" s="114" t="b">
        <v>0</v>
      </c>
      <c r="I202" s="114" t="b">
        <v>0</v>
      </c>
      <c r="J202" s="114" t="b">
        <v>0</v>
      </c>
      <c r="K202" s="114" t="b">
        <v>0</v>
      </c>
      <c r="L202" s="114" t="b">
        <v>0</v>
      </c>
      <c r="M202" s="114" t="b">
        <v>0</v>
      </c>
      <c r="N202" s="114" t="b">
        <v>0</v>
      </c>
      <c r="O202" s="114" t="b">
        <v>0</v>
      </c>
      <c r="P202" s="114" t="b">
        <v>0</v>
      </c>
      <c r="Q202" s="114" t="b">
        <v>0</v>
      </c>
      <c r="R202" s="114" t="b">
        <v>0</v>
      </c>
      <c r="S202" s="114" t="b">
        <v>0</v>
      </c>
      <c r="T202" s="114" t="b">
        <v>0</v>
      </c>
      <c r="U202" s="114" t="b">
        <v>0</v>
      </c>
      <c r="V202" s="114" t="b">
        <v>0</v>
      </c>
      <c r="W202" s="114" t="b">
        <v>0</v>
      </c>
      <c r="X202" s="114" t="b">
        <v>0</v>
      </c>
      <c r="Y202" s="114" t="b">
        <v>0</v>
      </c>
      <c r="Z202" s="114" t="b">
        <v>0</v>
      </c>
      <c r="AA202" s="114" t="b">
        <v>0</v>
      </c>
      <c r="AB202" s="114" t="b">
        <v>0</v>
      </c>
      <c r="AC202" s="114" t="b">
        <v>0</v>
      </c>
      <c r="AD202" s="114" t="b">
        <v>0</v>
      </c>
      <c r="AE202" s="114" t="b">
        <v>0</v>
      </c>
      <c r="AF202" s="114" t="b">
        <v>0</v>
      </c>
      <c r="AG202" s="114" t="b">
        <v>0</v>
      </c>
      <c r="AH202" s="114" t="b">
        <v>0</v>
      </c>
      <c r="AI202" s="114" t="b">
        <v>0</v>
      </c>
      <c r="AJ202" s="114" t="b">
        <v>0</v>
      </c>
      <c r="AK202" s="114" t="b">
        <v>0</v>
      </c>
      <c r="AL202" s="115" t="str">
        <f t="shared" si="1"/>
        <v>0 dari 31 (0%)</v>
      </c>
    </row>
    <row r="203" ht="22.5" customHeight="1">
      <c r="A203" s="2">
        <v>202.0</v>
      </c>
      <c r="B203" s="11"/>
      <c r="C203" s="140"/>
      <c r="D203" s="138"/>
      <c r="E203" s="138"/>
      <c r="F203" s="13"/>
      <c r="G203" s="114" t="b">
        <v>0</v>
      </c>
      <c r="H203" s="114" t="b">
        <v>0</v>
      </c>
      <c r="I203" s="114" t="b">
        <v>0</v>
      </c>
      <c r="J203" s="114" t="b">
        <v>0</v>
      </c>
      <c r="K203" s="114" t="b">
        <v>0</v>
      </c>
      <c r="L203" s="114" t="b">
        <v>0</v>
      </c>
      <c r="M203" s="114" t="b">
        <v>0</v>
      </c>
      <c r="N203" s="114" t="b">
        <v>0</v>
      </c>
      <c r="O203" s="114" t="b">
        <v>0</v>
      </c>
      <c r="P203" s="114" t="b">
        <v>0</v>
      </c>
      <c r="Q203" s="114" t="b">
        <v>0</v>
      </c>
      <c r="R203" s="114" t="b">
        <v>0</v>
      </c>
      <c r="S203" s="114" t="b">
        <v>0</v>
      </c>
      <c r="T203" s="114" t="b">
        <v>0</v>
      </c>
      <c r="U203" s="114" t="b">
        <v>0</v>
      </c>
      <c r="V203" s="114" t="b">
        <v>0</v>
      </c>
      <c r="W203" s="114" t="b">
        <v>0</v>
      </c>
      <c r="X203" s="114" t="b">
        <v>0</v>
      </c>
      <c r="Y203" s="114" t="b">
        <v>0</v>
      </c>
      <c r="Z203" s="114" t="b">
        <v>0</v>
      </c>
      <c r="AA203" s="114" t="b">
        <v>0</v>
      </c>
      <c r="AB203" s="114" t="b">
        <v>0</v>
      </c>
      <c r="AC203" s="114" t="b">
        <v>0</v>
      </c>
      <c r="AD203" s="114" t="b">
        <v>0</v>
      </c>
      <c r="AE203" s="114" t="b">
        <v>0</v>
      </c>
      <c r="AF203" s="114" t="b">
        <v>0</v>
      </c>
      <c r="AG203" s="114" t="b">
        <v>0</v>
      </c>
      <c r="AH203" s="114" t="b">
        <v>0</v>
      </c>
      <c r="AI203" s="114" t="b">
        <v>0</v>
      </c>
      <c r="AJ203" s="114" t="b">
        <v>0</v>
      </c>
      <c r="AK203" s="114" t="b">
        <v>0</v>
      </c>
      <c r="AL203" s="115" t="str">
        <f t="shared" si="1"/>
        <v>0 dari 31 (0%)</v>
      </c>
    </row>
    <row r="204" ht="22.5" customHeight="1">
      <c r="A204" s="10">
        <v>203.0</v>
      </c>
      <c r="B204" s="11"/>
      <c r="C204" s="140"/>
      <c r="D204" s="138"/>
      <c r="E204" s="138"/>
      <c r="F204" s="13"/>
      <c r="G204" s="114" t="b">
        <v>0</v>
      </c>
      <c r="H204" s="114" t="b">
        <v>0</v>
      </c>
      <c r="I204" s="114" t="b">
        <v>0</v>
      </c>
      <c r="J204" s="114" t="b">
        <v>0</v>
      </c>
      <c r="K204" s="114" t="b">
        <v>0</v>
      </c>
      <c r="L204" s="114" t="b">
        <v>0</v>
      </c>
      <c r="M204" s="114" t="b">
        <v>0</v>
      </c>
      <c r="N204" s="114" t="b">
        <v>0</v>
      </c>
      <c r="O204" s="114" t="b">
        <v>0</v>
      </c>
      <c r="P204" s="114" t="b">
        <v>0</v>
      </c>
      <c r="Q204" s="114" t="b">
        <v>0</v>
      </c>
      <c r="R204" s="114" t="b">
        <v>0</v>
      </c>
      <c r="S204" s="114" t="b">
        <v>0</v>
      </c>
      <c r="T204" s="114" t="b">
        <v>0</v>
      </c>
      <c r="U204" s="114" t="b">
        <v>0</v>
      </c>
      <c r="V204" s="114" t="b">
        <v>0</v>
      </c>
      <c r="W204" s="114" t="b">
        <v>0</v>
      </c>
      <c r="X204" s="114" t="b">
        <v>0</v>
      </c>
      <c r="Y204" s="114" t="b">
        <v>0</v>
      </c>
      <c r="Z204" s="114" t="b">
        <v>0</v>
      </c>
      <c r="AA204" s="114" t="b">
        <v>0</v>
      </c>
      <c r="AB204" s="114" t="b">
        <v>0</v>
      </c>
      <c r="AC204" s="114" t="b">
        <v>0</v>
      </c>
      <c r="AD204" s="114" t="b">
        <v>0</v>
      </c>
      <c r="AE204" s="114" t="b">
        <v>0</v>
      </c>
      <c r="AF204" s="114" t="b">
        <v>0</v>
      </c>
      <c r="AG204" s="114" t="b">
        <v>0</v>
      </c>
      <c r="AH204" s="114" t="b">
        <v>0</v>
      </c>
      <c r="AI204" s="114" t="b">
        <v>0</v>
      </c>
      <c r="AJ204" s="114" t="b">
        <v>0</v>
      </c>
      <c r="AK204" s="114" t="b">
        <v>0</v>
      </c>
      <c r="AL204" s="115" t="str">
        <f t="shared" si="1"/>
        <v>0 dari 31 (0%)</v>
      </c>
    </row>
    <row r="205" ht="22.5" customHeight="1">
      <c r="A205" s="10">
        <v>204.0</v>
      </c>
      <c r="B205" s="11"/>
      <c r="C205" s="140"/>
      <c r="D205" s="138"/>
      <c r="E205" s="138"/>
      <c r="F205" s="13"/>
      <c r="G205" s="114" t="b">
        <v>0</v>
      </c>
      <c r="H205" s="114" t="b">
        <v>0</v>
      </c>
      <c r="I205" s="114" t="b">
        <v>0</v>
      </c>
      <c r="J205" s="114" t="b">
        <v>0</v>
      </c>
      <c r="K205" s="114" t="b">
        <v>0</v>
      </c>
      <c r="L205" s="114" t="b">
        <v>0</v>
      </c>
      <c r="M205" s="114" t="b">
        <v>0</v>
      </c>
      <c r="N205" s="114" t="b">
        <v>0</v>
      </c>
      <c r="O205" s="114" t="b">
        <v>0</v>
      </c>
      <c r="P205" s="114" t="b">
        <v>0</v>
      </c>
      <c r="Q205" s="114" t="b">
        <v>0</v>
      </c>
      <c r="R205" s="114" t="b">
        <v>0</v>
      </c>
      <c r="S205" s="114" t="b">
        <v>0</v>
      </c>
      <c r="T205" s="114" t="b">
        <v>0</v>
      </c>
      <c r="U205" s="114" t="b">
        <v>0</v>
      </c>
      <c r="V205" s="114" t="b">
        <v>0</v>
      </c>
      <c r="W205" s="114" t="b">
        <v>0</v>
      </c>
      <c r="X205" s="114" t="b">
        <v>0</v>
      </c>
      <c r="Y205" s="114" t="b">
        <v>0</v>
      </c>
      <c r="Z205" s="114" t="b">
        <v>0</v>
      </c>
      <c r="AA205" s="114" t="b">
        <v>0</v>
      </c>
      <c r="AB205" s="114" t="b">
        <v>0</v>
      </c>
      <c r="AC205" s="114" t="b">
        <v>0</v>
      </c>
      <c r="AD205" s="114" t="b">
        <v>0</v>
      </c>
      <c r="AE205" s="114" t="b">
        <v>0</v>
      </c>
      <c r="AF205" s="114" t="b">
        <v>0</v>
      </c>
      <c r="AG205" s="114" t="b">
        <v>0</v>
      </c>
      <c r="AH205" s="114" t="b">
        <v>0</v>
      </c>
      <c r="AI205" s="114" t="b">
        <v>0</v>
      </c>
      <c r="AJ205" s="114" t="b">
        <v>0</v>
      </c>
      <c r="AK205" s="114" t="b">
        <v>0</v>
      </c>
      <c r="AL205" s="115" t="str">
        <f t="shared" si="1"/>
        <v>0 dari 31 (0%)</v>
      </c>
    </row>
    <row r="206" ht="22.5" customHeight="1">
      <c r="A206" s="2">
        <v>205.0</v>
      </c>
      <c r="B206" s="11"/>
      <c r="C206" s="140"/>
      <c r="D206" s="138"/>
      <c r="E206" s="138"/>
      <c r="F206" s="13"/>
      <c r="G206" s="114" t="b">
        <v>0</v>
      </c>
      <c r="H206" s="114" t="b">
        <v>0</v>
      </c>
      <c r="I206" s="114" t="b">
        <v>0</v>
      </c>
      <c r="J206" s="114" t="b">
        <v>0</v>
      </c>
      <c r="K206" s="114" t="b">
        <v>0</v>
      </c>
      <c r="L206" s="114" t="b">
        <v>0</v>
      </c>
      <c r="M206" s="114" t="b">
        <v>0</v>
      </c>
      <c r="N206" s="114" t="b">
        <v>0</v>
      </c>
      <c r="O206" s="114" t="b">
        <v>0</v>
      </c>
      <c r="P206" s="114" t="b">
        <v>0</v>
      </c>
      <c r="Q206" s="114" t="b">
        <v>0</v>
      </c>
      <c r="R206" s="114" t="b">
        <v>0</v>
      </c>
      <c r="S206" s="114" t="b">
        <v>0</v>
      </c>
      <c r="T206" s="114" t="b">
        <v>0</v>
      </c>
      <c r="U206" s="114" t="b">
        <v>0</v>
      </c>
      <c r="V206" s="114" t="b">
        <v>0</v>
      </c>
      <c r="W206" s="114" t="b">
        <v>0</v>
      </c>
      <c r="X206" s="114" t="b">
        <v>0</v>
      </c>
      <c r="Y206" s="114" t="b">
        <v>0</v>
      </c>
      <c r="Z206" s="114" t="b">
        <v>0</v>
      </c>
      <c r="AA206" s="114" t="b">
        <v>0</v>
      </c>
      <c r="AB206" s="114" t="b">
        <v>0</v>
      </c>
      <c r="AC206" s="114" t="b">
        <v>0</v>
      </c>
      <c r="AD206" s="114" t="b">
        <v>0</v>
      </c>
      <c r="AE206" s="114" t="b">
        <v>0</v>
      </c>
      <c r="AF206" s="114" t="b">
        <v>0</v>
      </c>
      <c r="AG206" s="114" t="b">
        <v>0</v>
      </c>
      <c r="AH206" s="114" t="b">
        <v>0</v>
      </c>
      <c r="AI206" s="114" t="b">
        <v>0</v>
      </c>
      <c r="AJ206" s="114" t="b">
        <v>0</v>
      </c>
      <c r="AK206" s="114" t="b">
        <v>0</v>
      </c>
      <c r="AL206" s="115" t="str">
        <f t="shared" si="1"/>
        <v>0 dari 31 (0%)</v>
      </c>
    </row>
    <row r="207" ht="22.5" customHeight="1">
      <c r="A207" s="10">
        <v>206.0</v>
      </c>
      <c r="B207" s="11"/>
      <c r="C207" s="140"/>
      <c r="D207" s="138"/>
      <c r="E207" s="138"/>
      <c r="F207" s="13"/>
      <c r="G207" s="114" t="b">
        <v>0</v>
      </c>
      <c r="H207" s="114" t="b">
        <v>0</v>
      </c>
      <c r="I207" s="114" t="b">
        <v>0</v>
      </c>
      <c r="J207" s="114" t="b">
        <v>0</v>
      </c>
      <c r="K207" s="114" t="b">
        <v>0</v>
      </c>
      <c r="L207" s="114" t="b">
        <v>0</v>
      </c>
      <c r="M207" s="114" t="b">
        <v>0</v>
      </c>
      <c r="N207" s="114" t="b">
        <v>0</v>
      </c>
      <c r="O207" s="114" t="b">
        <v>0</v>
      </c>
      <c r="P207" s="114" t="b">
        <v>0</v>
      </c>
      <c r="Q207" s="114" t="b">
        <v>0</v>
      </c>
      <c r="R207" s="114" t="b">
        <v>0</v>
      </c>
      <c r="S207" s="114" t="b">
        <v>0</v>
      </c>
      <c r="T207" s="114" t="b">
        <v>0</v>
      </c>
      <c r="U207" s="114" t="b">
        <v>0</v>
      </c>
      <c r="V207" s="114" t="b">
        <v>0</v>
      </c>
      <c r="W207" s="114" t="b">
        <v>0</v>
      </c>
      <c r="X207" s="114" t="b">
        <v>0</v>
      </c>
      <c r="Y207" s="114" t="b">
        <v>0</v>
      </c>
      <c r="Z207" s="114" t="b">
        <v>0</v>
      </c>
      <c r="AA207" s="114" t="b">
        <v>0</v>
      </c>
      <c r="AB207" s="114" t="b">
        <v>0</v>
      </c>
      <c r="AC207" s="114" t="b">
        <v>0</v>
      </c>
      <c r="AD207" s="114" t="b">
        <v>0</v>
      </c>
      <c r="AE207" s="114" t="b">
        <v>0</v>
      </c>
      <c r="AF207" s="114" t="b">
        <v>0</v>
      </c>
      <c r="AG207" s="114" t="b">
        <v>0</v>
      </c>
      <c r="AH207" s="114" t="b">
        <v>0</v>
      </c>
      <c r="AI207" s="114" t="b">
        <v>0</v>
      </c>
      <c r="AJ207" s="114" t="b">
        <v>0</v>
      </c>
      <c r="AK207" s="114" t="b">
        <v>0</v>
      </c>
      <c r="AL207" s="115" t="str">
        <f t="shared" si="1"/>
        <v>0 dari 31 (0%)</v>
      </c>
    </row>
    <row r="208" ht="22.5" customHeight="1">
      <c r="A208" s="2">
        <v>207.0</v>
      </c>
      <c r="B208" s="11"/>
      <c r="C208" s="140"/>
      <c r="D208" s="138"/>
      <c r="E208" s="138"/>
      <c r="F208" s="13"/>
      <c r="G208" s="114" t="b">
        <v>0</v>
      </c>
      <c r="H208" s="114" t="b">
        <v>0</v>
      </c>
      <c r="I208" s="114" t="b">
        <v>0</v>
      </c>
      <c r="J208" s="114" t="b">
        <v>0</v>
      </c>
      <c r="K208" s="114" t="b">
        <v>0</v>
      </c>
      <c r="L208" s="114" t="b">
        <v>0</v>
      </c>
      <c r="M208" s="114" t="b">
        <v>0</v>
      </c>
      <c r="N208" s="114" t="b">
        <v>0</v>
      </c>
      <c r="O208" s="114" t="b">
        <v>0</v>
      </c>
      <c r="P208" s="114" t="b">
        <v>0</v>
      </c>
      <c r="Q208" s="114" t="b">
        <v>0</v>
      </c>
      <c r="R208" s="114" t="b">
        <v>0</v>
      </c>
      <c r="S208" s="114" t="b">
        <v>0</v>
      </c>
      <c r="T208" s="114" t="b">
        <v>0</v>
      </c>
      <c r="U208" s="114" t="b">
        <v>0</v>
      </c>
      <c r="V208" s="114" t="b">
        <v>0</v>
      </c>
      <c r="W208" s="114" t="b">
        <v>0</v>
      </c>
      <c r="X208" s="114" t="b">
        <v>0</v>
      </c>
      <c r="Y208" s="114" t="b">
        <v>0</v>
      </c>
      <c r="Z208" s="114" t="b">
        <v>0</v>
      </c>
      <c r="AA208" s="114" t="b">
        <v>0</v>
      </c>
      <c r="AB208" s="114" t="b">
        <v>0</v>
      </c>
      <c r="AC208" s="114" t="b">
        <v>0</v>
      </c>
      <c r="AD208" s="114" t="b">
        <v>0</v>
      </c>
      <c r="AE208" s="114" t="b">
        <v>0</v>
      </c>
      <c r="AF208" s="114" t="b">
        <v>0</v>
      </c>
      <c r="AG208" s="114" t="b">
        <v>0</v>
      </c>
      <c r="AH208" s="114" t="b">
        <v>0</v>
      </c>
      <c r="AI208" s="114" t="b">
        <v>0</v>
      </c>
      <c r="AJ208" s="114" t="b">
        <v>0</v>
      </c>
      <c r="AK208" s="114" t="b">
        <v>0</v>
      </c>
      <c r="AL208" s="115" t="str">
        <f t="shared" si="1"/>
        <v>0 dari 31 (0%)</v>
      </c>
    </row>
    <row r="209" ht="22.5" customHeight="1">
      <c r="A209" s="10">
        <v>208.0</v>
      </c>
      <c r="B209" s="11"/>
      <c r="C209" s="140"/>
      <c r="D209" s="138"/>
      <c r="E209" s="138"/>
      <c r="F209" s="13"/>
      <c r="G209" s="114" t="b">
        <v>0</v>
      </c>
      <c r="H209" s="114" t="b">
        <v>0</v>
      </c>
      <c r="I209" s="114" t="b">
        <v>0</v>
      </c>
      <c r="J209" s="114" t="b">
        <v>0</v>
      </c>
      <c r="K209" s="114" t="b">
        <v>0</v>
      </c>
      <c r="L209" s="114" t="b">
        <v>0</v>
      </c>
      <c r="M209" s="114" t="b">
        <v>0</v>
      </c>
      <c r="N209" s="114" t="b">
        <v>0</v>
      </c>
      <c r="O209" s="114" t="b">
        <v>0</v>
      </c>
      <c r="P209" s="114" t="b">
        <v>0</v>
      </c>
      <c r="Q209" s="114" t="b">
        <v>0</v>
      </c>
      <c r="R209" s="114" t="b">
        <v>0</v>
      </c>
      <c r="S209" s="114" t="b">
        <v>0</v>
      </c>
      <c r="T209" s="114" t="b">
        <v>0</v>
      </c>
      <c r="U209" s="114" t="b">
        <v>0</v>
      </c>
      <c r="V209" s="114" t="b">
        <v>0</v>
      </c>
      <c r="W209" s="114" t="b">
        <v>0</v>
      </c>
      <c r="X209" s="114" t="b">
        <v>0</v>
      </c>
      <c r="Y209" s="114" t="b">
        <v>0</v>
      </c>
      <c r="Z209" s="114" t="b">
        <v>0</v>
      </c>
      <c r="AA209" s="114" t="b">
        <v>0</v>
      </c>
      <c r="AB209" s="114" t="b">
        <v>0</v>
      </c>
      <c r="AC209" s="114" t="b">
        <v>0</v>
      </c>
      <c r="AD209" s="114" t="b">
        <v>0</v>
      </c>
      <c r="AE209" s="114" t="b">
        <v>0</v>
      </c>
      <c r="AF209" s="114" t="b">
        <v>0</v>
      </c>
      <c r="AG209" s="114" t="b">
        <v>0</v>
      </c>
      <c r="AH209" s="114" t="b">
        <v>0</v>
      </c>
      <c r="AI209" s="114" t="b">
        <v>0</v>
      </c>
      <c r="AJ209" s="114" t="b">
        <v>0</v>
      </c>
      <c r="AK209" s="114" t="b">
        <v>0</v>
      </c>
      <c r="AL209" s="115" t="str">
        <f t="shared" si="1"/>
        <v>0 dari 31 (0%)</v>
      </c>
    </row>
    <row r="210" ht="22.5" customHeight="1">
      <c r="A210" s="10">
        <v>209.0</v>
      </c>
      <c r="B210" s="11"/>
      <c r="C210" s="140"/>
      <c r="D210" s="138"/>
      <c r="E210" s="138"/>
      <c r="F210" s="13"/>
      <c r="G210" s="114" t="b">
        <v>0</v>
      </c>
      <c r="H210" s="114" t="b">
        <v>0</v>
      </c>
      <c r="I210" s="114" t="b">
        <v>0</v>
      </c>
      <c r="J210" s="114" t="b">
        <v>0</v>
      </c>
      <c r="K210" s="114" t="b">
        <v>0</v>
      </c>
      <c r="L210" s="114" t="b">
        <v>0</v>
      </c>
      <c r="M210" s="114" t="b">
        <v>0</v>
      </c>
      <c r="N210" s="114" t="b">
        <v>0</v>
      </c>
      <c r="O210" s="114" t="b">
        <v>0</v>
      </c>
      <c r="P210" s="114" t="b">
        <v>0</v>
      </c>
      <c r="Q210" s="114" t="b">
        <v>0</v>
      </c>
      <c r="R210" s="114" t="b">
        <v>0</v>
      </c>
      <c r="S210" s="114" t="b">
        <v>0</v>
      </c>
      <c r="T210" s="114" t="b">
        <v>0</v>
      </c>
      <c r="U210" s="114" t="b">
        <v>0</v>
      </c>
      <c r="V210" s="114" t="b">
        <v>0</v>
      </c>
      <c r="W210" s="114" t="b">
        <v>0</v>
      </c>
      <c r="X210" s="114" t="b">
        <v>0</v>
      </c>
      <c r="Y210" s="114" t="b">
        <v>0</v>
      </c>
      <c r="Z210" s="114" t="b">
        <v>0</v>
      </c>
      <c r="AA210" s="114" t="b">
        <v>0</v>
      </c>
      <c r="AB210" s="114" t="b">
        <v>0</v>
      </c>
      <c r="AC210" s="114" t="b">
        <v>0</v>
      </c>
      <c r="AD210" s="114" t="b">
        <v>0</v>
      </c>
      <c r="AE210" s="114" t="b">
        <v>0</v>
      </c>
      <c r="AF210" s="114" t="b">
        <v>0</v>
      </c>
      <c r="AG210" s="114" t="b">
        <v>0</v>
      </c>
      <c r="AH210" s="114" t="b">
        <v>0</v>
      </c>
      <c r="AI210" s="114" t="b">
        <v>0</v>
      </c>
      <c r="AJ210" s="114" t="b">
        <v>0</v>
      </c>
      <c r="AK210" s="114" t="b">
        <v>0</v>
      </c>
      <c r="AL210" s="115" t="str">
        <f t="shared" si="1"/>
        <v>0 dari 31 (0%)</v>
      </c>
    </row>
    <row r="211" ht="22.5" customHeight="1">
      <c r="A211" s="2">
        <v>210.0</v>
      </c>
      <c r="B211" s="11"/>
      <c r="C211" s="140"/>
      <c r="D211" s="138"/>
      <c r="E211" s="138"/>
      <c r="F211" s="13"/>
      <c r="G211" s="114" t="b">
        <v>0</v>
      </c>
      <c r="H211" s="114" t="b">
        <v>0</v>
      </c>
      <c r="I211" s="114" t="b">
        <v>0</v>
      </c>
      <c r="J211" s="114" t="b">
        <v>0</v>
      </c>
      <c r="K211" s="114" t="b">
        <v>0</v>
      </c>
      <c r="L211" s="114" t="b">
        <v>0</v>
      </c>
      <c r="M211" s="114" t="b">
        <v>0</v>
      </c>
      <c r="N211" s="114" t="b">
        <v>0</v>
      </c>
      <c r="O211" s="114" t="b">
        <v>0</v>
      </c>
      <c r="P211" s="114" t="b">
        <v>0</v>
      </c>
      <c r="Q211" s="114" t="b">
        <v>0</v>
      </c>
      <c r="R211" s="114" t="b">
        <v>0</v>
      </c>
      <c r="S211" s="114" t="b">
        <v>0</v>
      </c>
      <c r="T211" s="114" t="b">
        <v>0</v>
      </c>
      <c r="U211" s="114" t="b">
        <v>0</v>
      </c>
      <c r="V211" s="114" t="b">
        <v>0</v>
      </c>
      <c r="W211" s="114" t="b">
        <v>0</v>
      </c>
      <c r="X211" s="114" t="b">
        <v>0</v>
      </c>
      <c r="Y211" s="114" t="b">
        <v>0</v>
      </c>
      <c r="Z211" s="114" t="b">
        <v>0</v>
      </c>
      <c r="AA211" s="114" t="b">
        <v>0</v>
      </c>
      <c r="AB211" s="114" t="b">
        <v>0</v>
      </c>
      <c r="AC211" s="114" t="b">
        <v>0</v>
      </c>
      <c r="AD211" s="114" t="b">
        <v>0</v>
      </c>
      <c r="AE211" s="114" t="b">
        <v>0</v>
      </c>
      <c r="AF211" s="114" t="b">
        <v>0</v>
      </c>
      <c r="AG211" s="114" t="b">
        <v>0</v>
      </c>
      <c r="AH211" s="114" t="b">
        <v>0</v>
      </c>
      <c r="AI211" s="114" t="b">
        <v>0</v>
      </c>
      <c r="AJ211" s="114" t="b">
        <v>0</v>
      </c>
      <c r="AK211" s="114" t="b">
        <v>0</v>
      </c>
      <c r="AL211" s="115" t="str">
        <f t="shared" si="1"/>
        <v>0 dari 31 (0%)</v>
      </c>
    </row>
    <row r="212" ht="22.5" customHeight="1">
      <c r="A212" s="10">
        <v>211.0</v>
      </c>
      <c r="B212" s="11"/>
      <c r="C212" s="140"/>
      <c r="D212" s="138"/>
      <c r="E212" s="138"/>
      <c r="F212" s="13"/>
      <c r="G212" s="114" t="b">
        <v>0</v>
      </c>
      <c r="H212" s="114" t="b">
        <v>0</v>
      </c>
      <c r="I212" s="114" t="b">
        <v>0</v>
      </c>
      <c r="J212" s="114" t="b">
        <v>0</v>
      </c>
      <c r="K212" s="114" t="b">
        <v>0</v>
      </c>
      <c r="L212" s="114" t="b">
        <v>0</v>
      </c>
      <c r="M212" s="114" t="b">
        <v>0</v>
      </c>
      <c r="N212" s="114" t="b">
        <v>0</v>
      </c>
      <c r="O212" s="114" t="b">
        <v>0</v>
      </c>
      <c r="P212" s="114" t="b">
        <v>0</v>
      </c>
      <c r="Q212" s="114" t="b">
        <v>0</v>
      </c>
      <c r="R212" s="114" t="b">
        <v>0</v>
      </c>
      <c r="S212" s="114" t="b">
        <v>0</v>
      </c>
      <c r="T212" s="114" t="b">
        <v>0</v>
      </c>
      <c r="U212" s="114" t="b">
        <v>0</v>
      </c>
      <c r="V212" s="114" t="b">
        <v>0</v>
      </c>
      <c r="W212" s="114" t="b">
        <v>0</v>
      </c>
      <c r="X212" s="114" t="b">
        <v>0</v>
      </c>
      <c r="Y212" s="114" t="b">
        <v>0</v>
      </c>
      <c r="Z212" s="114" t="b">
        <v>0</v>
      </c>
      <c r="AA212" s="114" t="b">
        <v>0</v>
      </c>
      <c r="AB212" s="114" t="b">
        <v>0</v>
      </c>
      <c r="AC212" s="114" t="b">
        <v>0</v>
      </c>
      <c r="AD212" s="114" t="b">
        <v>0</v>
      </c>
      <c r="AE212" s="114" t="b">
        <v>0</v>
      </c>
      <c r="AF212" s="114" t="b">
        <v>0</v>
      </c>
      <c r="AG212" s="114" t="b">
        <v>0</v>
      </c>
      <c r="AH212" s="114" t="b">
        <v>0</v>
      </c>
      <c r="AI212" s="114" t="b">
        <v>0</v>
      </c>
      <c r="AJ212" s="114" t="b">
        <v>0</v>
      </c>
      <c r="AK212" s="114" t="b">
        <v>0</v>
      </c>
      <c r="AL212" s="115" t="str">
        <f t="shared" si="1"/>
        <v>0 dari 31 (0%)</v>
      </c>
    </row>
    <row r="213" ht="22.5" customHeight="1">
      <c r="A213" s="2">
        <v>212.0</v>
      </c>
      <c r="B213" s="11"/>
      <c r="C213" s="140"/>
      <c r="D213" s="138"/>
      <c r="E213" s="138"/>
      <c r="F213" s="13"/>
      <c r="G213" s="114" t="b">
        <v>0</v>
      </c>
      <c r="H213" s="114" t="b">
        <v>0</v>
      </c>
      <c r="I213" s="114" t="b">
        <v>0</v>
      </c>
      <c r="J213" s="114" t="b">
        <v>0</v>
      </c>
      <c r="K213" s="114" t="b">
        <v>0</v>
      </c>
      <c r="L213" s="114" t="b">
        <v>0</v>
      </c>
      <c r="M213" s="114" t="b">
        <v>0</v>
      </c>
      <c r="N213" s="114" t="b">
        <v>0</v>
      </c>
      <c r="O213" s="114" t="b">
        <v>0</v>
      </c>
      <c r="P213" s="114" t="b">
        <v>0</v>
      </c>
      <c r="Q213" s="114" t="b">
        <v>0</v>
      </c>
      <c r="R213" s="114" t="b">
        <v>0</v>
      </c>
      <c r="S213" s="114" t="b">
        <v>0</v>
      </c>
      <c r="T213" s="114" t="b">
        <v>0</v>
      </c>
      <c r="U213" s="114" t="b">
        <v>0</v>
      </c>
      <c r="V213" s="114" t="b">
        <v>0</v>
      </c>
      <c r="W213" s="114" t="b">
        <v>0</v>
      </c>
      <c r="X213" s="114" t="b">
        <v>0</v>
      </c>
      <c r="Y213" s="114" t="b">
        <v>0</v>
      </c>
      <c r="Z213" s="114" t="b">
        <v>0</v>
      </c>
      <c r="AA213" s="114" t="b">
        <v>0</v>
      </c>
      <c r="AB213" s="114" t="b">
        <v>0</v>
      </c>
      <c r="AC213" s="114" t="b">
        <v>0</v>
      </c>
      <c r="AD213" s="114" t="b">
        <v>0</v>
      </c>
      <c r="AE213" s="114" t="b">
        <v>0</v>
      </c>
      <c r="AF213" s="114" t="b">
        <v>0</v>
      </c>
      <c r="AG213" s="114" t="b">
        <v>0</v>
      </c>
      <c r="AH213" s="114" t="b">
        <v>0</v>
      </c>
      <c r="AI213" s="114" t="b">
        <v>0</v>
      </c>
      <c r="AJ213" s="114" t="b">
        <v>0</v>
      </c>
      <c r="AK213" s="114" t="b">
        <v>0</v>
      </c>
      <c r="AL213" s="115" t="str">
        <f t="shared" si="1"/>
        <v>0 dari 31 (0%)</v>
      </c>
    </row>
    <row r="214" ht="22.5" customHeight="1">
      <c r="A214" s="10">
        <v>213.0</v>
      </c>
      <c r="B214" s="11"/>
      <c r="C214" s="140"/>
      <c r="D214" s="138"/>
      <c r="E214" s="138"/>
      <c r="F214" s="13"/>
      <c r="G214" s="114" t="b">
        <v>0</v>
      </c>
      <c r="H214" s="114" t="b">
        <v>0</v>
      </c>
      <c r="I214" s="114" t="b">
        <v>0</v>
      </c>
      <c r="J214" s="114" t="b">
        <v>0</v>
      </c>
      <c r="K214" s="114" t="b">
        <v>0</v>
      </c>
      <c r="L214" s="114" t="b">
        <v>0</v>
      </c>
      <c r="M214" s="114" t="b">
        <v>0</v>
      </c>
      <c r="N214" s="114" t="b">
        <v>0</v>
      </c>
      <c r="O214" s="114" t="b">
        <v>0</v>
      </c>
      <c r="P214" s="114" t="b">
        <v>0</v>
      </c>
      <c r="Q214" s="114" t="b">
        <v>0</v>
      </c>
      <c r="R214" s="114" t="b">
        <v>0</v>
      </c>
      <c r="S214" s="114" t="b">
        <v>0</v>
      </c>
      <c r="T214" s="114" t="b">
        <v>0</v>
      </c>
      <c r="U214" s="114" t="b">
        <v>0</v>
      </c>
      <c r="V214" s="114" t="b">
        <v>0</v>
      </c>
      <c r="W214" s="114" t="b">
        <v>0</v>
      </c>
      <c r="X214" s="114" t="b">
        <v>0</v>
      </c>
      <c r="Y214" s="114" t="b">
        <v>0</v>
      </c>
      <c r="Z214" s="114" t="b">
        <v>0</v>
      </c>
      <c r="AA214" s="114" t="b">
        <v>0</v>
      </c>
      <c r="AB214" s="114" t="b">
        <v>0</v>
      </c>
      <c r="AC214" s="114" t="b">
        <v>0</v>
      </c>
      <c r="AD214" s="114" t="b">
        <v>0</v>
      </c>
      <c r="AE214" s="114" t="b">
        <v>0</v>
      </c>
      <c r="AF214" s="114" t="b">
        <v>0</v>
      </c>
      <c r="AG214" s="114" t="b">
        <v>0</v>
      </c>
      <c r="AH214" s="114" t="b">
        <v>0</v>
      </c>
      <c r="AI214" s="114" t="b">
        <v>0</v>
      </c>
      <c r="AJ214" s="114" t="b">
        <v>0</v>
      </c>
      <c r="AK214" s="114" t="b">
        <v>0</v>
      </c>
      <c r="AL214" s="115" t="str">
        <f t="shared" si="1"/>
        <v>0 dari 31 (0%)</v>
      </c>
    </row>
    <row r="215" ht="22.5" customHeight="1">
      <c r="A215" s="10">
        <v>214.0</v>
      </c>
      <c r="B215" s="11"/>
      <c r="C215" s="140"/>
      <c r="D215" s="138"/>
      <c r="E215" s="138"/>
      <c r="F215" s="13"/>
      <c r="G215" s="114" t="b">
        <v>0</v>
      </c>
      <c r="H215" s="114" t="b">
        <v>0</v>
      </c>
      <c r="I215" s="114" t="b">
        <v>0</v>
      </c>
      <c r="J215" s="114" t="b">
        <v>0</v>
      </c>
      <c r="K215" s="114" t="b">
        <v>0</v>
      </c>
      <c r="L215" s="114" t="b">
        <v>0</v>
      </c>
      <c r="M215" s="114" t="b">
        <v>0</v>
      </c>
      <c r="N215" s="114" t="b">
        <v>0</v>
      </c>
      <c r="O215" s="114" t="b">
        <v>0</v>
      </c>
      <c r="P215" s="114" t="b">
        <v>0</v>
      </c>
      <c r="Q215" s="114" t="b">
        <v>0</v>
      </c>
      <c r="R215" s="114" t="b">
        <v>0</v>
      </c>
      <c r="S215" s="114" t="b">
        <v>0</v>
      </c>
      <c r="T215" s="114" t="b">
        <v>0</v>
      </c>
      <c r="U215" s="114" t="b">
        <v>0</v>
      </c>
      <c r="V215" s="114" t="b">
        <v>0</v>
      </c>
      <c r="W215" s="114" t="b">
        <v>0</v>
      </c>
      <c r="X215" s="114" t="b">
        <v>0</v>
      </c>
      <c r="Y215" s="114" t="b">
        <v>0</v>
      </c>
      <c r="Z215" s="114" t="b">
        <v>0</v>
      </c>
      <c r="AA215" s="114" t="b">
        <v>0</v>
      </c>
      <c r="AB215" s="114" t="b">
        <v>0</v>
      </c>
      <c r="AC215" s="114" t="b">
        <v>0</v>
      </c>
      <c r="AD215" s="114" t="b">
        <v>0</v>
      </c>
      <c r="AE215" s="114" t="b">
        <v>0</v>
      </c>
      <c r="AF215" s="114" t="b">
        <v>0</v>
      </c>
      <c r="AG215" s="114" t="b">
        <v>0</v>
      </c>
      <c r="AH215" s="114" t="b">
        <v>0</v>
      </c>
      <c r="AI215" s="114" t="b">
        <v>0</v>
      </c>
      <c r="AJ215" s="114" t="b">
        <v>0</v>
      </c>
      <c r="AK215" s="114" t="b">
        <v>0</v>
      </c>
      <c r="AL215" s="115" t="str">
        <f t="shared" si="1"/>
        <v>0 dari 31 (0%)</v>
      </c>
    </row>
    <row r="216" ht="22.5" customHeight="1">
      <c r="A216" s="2">
        <v>215.0</v>
      </c>
      <c r="B216" s="11"/>
      <c r="C216" s="140"/>
      <c r="D216" s="138"/>
      <c r="E216" s="138"/>
      <c r="F216" s="13"/>
      <c r="G216" s="114" t="b">
        <v>0</v>
      </c>
      <c r="H216" s="114" t="b">
        <v>0</v>
      </c>
      <c r="I216" s="114" t="b">
        <v>0</v>
      </c>
      <c r="J216" s="114" t="b">
        <v>0</v>
      </c>
      <c r="K216" s="114" t="b">
        <v>0</v>
      </c>
      <c r="L216" s="114" t="b">
        <v>0</v>
      </c>
      <c r="M216" s="114" t="b">
        <v>0</v>
      </c>
      <c r="N216" s="114" t="b">
        <v>0</v>
      </c>
      <c r="O216" s="114" t="b">
        <v>0</v>
      </c>
      <c r="P216" s="114" t="b">
        <v>0</v>
      </c>
      <c r="Q216" s="114" t="b">
        <v>0</v>
      </c>
      <c r="R216" s="114" t="b">
        <v>0</v>
      </c>
      <c r="S216" s="114" t="b">
        <v>0</v>
      </c>
      <c r="T216" s="114" t="b">
        <v>0</v>
      </c>
      <c r="U216" s="114" t="b">
        <v>0</v>
      </c>
      <c r="V216" s="114" t="b">
        <v>0</v>
      </c>
      <c r="W216" s="114" t="b">
        <v>0</v>
      </c>
      <c r="X216" s="114" t="b">
        <v>0</v>
      </c>
      <c r="Y216" s="114" t="b">
        <v>0</v>
      </c>
      <c r="Z216" s="114" t="b">
        <v>0</v>
      </c>
      <c r="AA216" s="114" t="b">
        <v>0</v>
      </c>
      <c r="AB216" s="114" t="b">
        <v>0</v>
      </c>
      <c r="AC216" s="114" t="b">
        <v>0</v>
      </c>
      <c r="AD216" s="114" t="b">
        <v>0</v>
      </c>
      <c r="AE216" s="114" t="b">
        <v>0</v>
      </c>
      <c r="AF216" s="114" t="b">
        <v>0</v>
      </c>
      <c r="AG216" s="114" t="b">
        <v>0</v>
      </c>
      <c r="AH216" s="114" t="b">
        <v>0</v>
      </c>
      <c r="AI216" s="114" t="b">
        <v>0</v>
      </c>
      <c r="AJ216" s="114" t="b">
        <v>0</v>
      </c>
      <c r="AK216" s="114" t="b">
        <v>0</v>
      </c>
      <c r="AL216" s="115" t="str">
        <f t="shared" si="1"/>
        <v>0 dari 31 (0%)</v>
      </c>
    </row>
    <row r="217" ht="22.5" customHeight="1">
      <c r="A217" s="10">
        <v>216.0</v>
      </c>
      <c r="B217" s="11"/>
      <c r="C217" s="140"/>
      <c r="D217" s="138"/>
      <c r="E217" s="138"/>
      <c r="F217" s="13"/>
      <c r="G217" s="114" t="b">
        <v>0</v>
      </c>
      <c r="H217" s="114" t="b">
        <v>0</v>
      </c>
      <c r="I217" s="114" t="b">
        <v>0</v>
      </c>
      <c r="J217" s="114" t="b">
        <v>0</v>
      </c>
      <c r="K217" s="114" t="b">
        <v>0</v>
      </c>
      <c r="L217" s="114" t="b">
        <v>0</v>
      </c>
      <c r="M217" s="114" t="b">
        <v>0</v>
      </c>
      <c r="N217" s="114" t="b">
        <v>0</v>
      </c>
      <c r="O217" s="114" t="b">
        <v>0</v>
      </c>
      <c r="P217" s="114" t="b">
        <v>0</v>
      </c>
      <c r="Q217" s="114" t="b">
        <v>0</v>
      </c>
      <c r="R217" s="114" t="b">
        <v>0</v>
      </c>
      <c r="S217" s="114" t="b">
        <v>0</v>
      </c>
      <c r="T217" s="114" t="b">
        <v>0</v>
      </c>
      <c r="U217" s="114" t="b">
        <v>0</v>
      </c>
      <c r="V217" s="114" t="b">
        <v>0</v>
      </c>
      <c r="W217" s="114" t="b">
        <v>0</v>
      </c>
      <c r="X217" s="114" t="b">
        <v>0</v>
      </c>
      <c r="Y217" s="114" t="b">
        <v>0</v>
      </c>
      <c r="Z217" s="114" t="b">
        <v>0</v>
      </c>
      <c r="AA217" s="114" t="b">
        <v>0</v>
      </c>
      <c r="AB217" s="114" t="b">
        <v>0</v>
      </c>
      <c r="AC217" s="114" t="b">
        <v>0</v>
      </c>
      <c r="AD217" s="114" t="b">
        <v>0</v>
      </c>
      <c r="AE217" s="114" t="b">
        <v>0</v>
      </c>
      <c r="AF217" s="114" t="b">
        <v>0</v>
      </c>
      <c r="AG217" s="114" t="b">
        <v>0</v>
      </c>
      <c r="AH217" s="114" t="b">
        <v>0</v>
      </c>
      <c r="AI217" s="114" t="b">
        <v>0</v>
      </c>
      <c r="AJ217" s="114" t="b">
        <v>0</v>
      </c>
      <c r="AK217" s="114" t="b">
        <v>0</v>
      </c>
      <c r="AL217" s="115" t="str">
        <f t="shared" si="1"/>
        <v>0 dari 31 (0%)</v>
      </c>
    </row>
    <row r="218" ht="22.5" customHeight="1">
      <c r="A218" s="2">
        <v>217.0</v>
      </c>
      <c r="B218" s="11"/>
      <c r="C218" s="140"/>
      <c r="D218" s="138"/>
      <c r="E218" s="138"/>
      <c r="F218" s="13"/>
      <c r="G218" s="114" t="b">
        <v>0</v>
      </c>
      <c r="H218" s="114" t="b">
        <v>0</v>
      </c>
      <c r="I218" s="114" t="b">
        <v>0</v>
      </c>
      <c r="J218" s="114" t="b">
        <v>0</v>
      </c>
      <c r="K218" s="114" t="b">
        <v>0</v>
      </c>
      <c r="L218" s="114" t="b">
        <v>0</v>
      </c>
      <c r="M218" s="114" t="b">
        <v>0</v>
      </c>
      <c r="N218" s="114" t="b">
        <v>0</v>
      </c>
      <c r="O218" s="114" t="b">
        <v>0</v>
      </c>
      <c r="P218" s="114" t="b">
        <v>0</v>
      </c>
      <c r="Q218" s="114" t="b">
        <v>0</v>
      </c>
      <c r="R218" s="114" t="b">
        <v>0</v>
      </c>
      <c r="S218" s="114" t="b">
        <v>0</v>
      </c>
      <c r="T218" s="114" t="b">
        <v>0</v>
      </c>
      <c r="U218" s="114" t="b">
        <v>0</v>
      </c>
      <c r="V218" s="114" t="b">
        <v>0</v>
      </c>
      <c r="W218" s="114" t="b">
        <v>0</v>
      </c>
      <c r="X218" s="114" t="b">
        <v>0</v>
      </c>
      <c r="Y218" s="114" t="b">
        <v>0</v>
      </c>
      <c r="Z218" s="114" t="b">
        <v>0</v>
      </c>
      <c r="AA218" s="114" t="b">
        <v>0</v>
      </c>
      <c r="AB218" s="114" t="b">
        <v>0</v>
      </c>
      <c r="AC218" s="114" t="b">
        <v>0</v>
      </c>
      <c r="AD218" s="114" t="b">
        <v>0</v>
      </c>
      <c r="AE218" s="114" t="b">
        <v>0</v>
      </c>
      <c r="AF218" s="114" t="b">
        <v>0</v>
      </c>
      <c r="AG218" s="114" t="b">
        <v>0</v>
      </c>
      <c r="AH218" s="114" t="b">
        <v>0</v>
      </c>
      <c r="AI218" s="114" t="b">
        <v>0</v>
      </c>
      <c r="AJ218" s="114" t="b">
        <v>0</v>
      </c>
      <c r="AK218" s="114" t="b">
        <v>0</v>
      </c>
      <c r="AL218" s="115" t="str">
        <f t="shared" si="1"/>
        <v>0 dari 31 (0%)</v>
      </c>
    </row>
    <row r="219" ht="22.5" customHeight="1">
      <c r="A219" s="10">
        <v>218.0</v>
      </c>
      <c r="B219" s="11"/>
      <c r="C219" s="140"/>
      <c r="D219" s="138"/>
      <c r="E219" s="138"/>
      <c r="F219" s="13"/>
      <c r="G219" s="114" t="b">
        <v>0</v>
      </c>
      <c r="H219" s="114" t="b">
        <v>0</v>
      </c>
      <c r="I219" s="114" t="b">
        <v>0</v>
      </c>
      <c r="J219" s="114" t="b">
        <v>0</v>
      </c>
      <c r="K219" s="114" t="b">
        <v>0</v>
      </c>
      <c r="L219" s="114" t="b">
        <v>0</v>
      </c>
      <c r="M219" s="114" t="b">
        <v>0</v>
      </c>
      <c r="N219" s="114" t="b">
        <v>0</v>
      </c>
      <c r="O219" s="114" t="b">
        <v>0</v>
      </c>
      <c r="P219" s="114" t="b">
        <v>0</v>
      </c>
      <c r="Q219" s="114" t="b">
        <v>0</v>
      </c>
      <c r="R219" s="114" t="b">
        <v>0</v>
      </c>
      <c r="S219" s="114" t="b">
        <v>0</v>
      </c>
      <c r="T219" s="114" t="b">
        <v>0</v>
      </c>
      <c r="U219" s="114" t="b">
        <v>0</v>
      </c>
      <c r="V219" s="114" t="b">
        <v>0</v>
      </c>
      <c r="W219" s="114" t="b">
        <v>0</v>
      </c>
      <c r="X219" s="114" t="b">
        <v>0</v>
      </c>
      <c r="Y219" s="114" t="b">
        <v>0</v>
      </c>
      <c r="Z219" s="114" t="b">
        <v>0</v>
      </c>
      <c r="AA219" s="114" t="b">
        <v>0</v>
      </c>
      <c r="AB219" s="114" t="b">
        <v>0</v>
      </c>
      <c r="AC219" s="114" t="b">
        <v>0</v>
      </c>
      <c r="AD219" s="114" t="b">
        <v>0</v>
      </c>
      <c r="AE219" s="114" t="b">
        <v>0</v>
      </c>
      <c r="AF219" s="114" t="b">
        <v>0</v>
      </c>
      <c r="AG219" s="114" t="b">
        <v>0</v>
      </c>
      <c r="AH219" s="114" t="b">
        <v>0</v>
      </c>
      <c r="AI219" s="114" t="b">
        <v>0</v>
      </c>
      <c r="AJ219" s="114" t="b">
        <v>0</v>
      </c>
      <c r="AK219" s="114" t="b">
        <v>0</v>
      </c>
      <c r="AL219" s="115" t="str">
        <f t="shared" si="1"/>
        <v>0 dari 31 (0%)</v>
      </c>
    </row>
    <row r="220" ht="22.5" customHeight="1">
      <c r="A220" s="10">
        <v>219.0</v>
      </c>
      <c r="B220" s="11"/>
      <c r="C220" s="140"/>
      <c r="D220" s="138"/>
      <c r="E220" s="138"/>
      <c r="F220" s="13"/>
      <c r="G220" s="114" t="b">
        <v>0</v>
      </c>
      <c r="H220" s="114" t="b">
        <v>0</v>
      </c>
      <c r="I220" s="114" t="b">
        <v>0</v>
      </c>
      <c r="J220" s="114" t="b">
        <v>0</v>
      </c>
      <c r="K220" s="114" t="b">
        <v>0</v>
      </c>
      <c r="L220" s="114" t="b">
        <v>0</v>
      </c>
      <c r="M220" s="114" t="b">
        <v>0</v>
      </c>
      <c r="N220" s="114" t="b">
        <v>0</v>
      </c>
      <c r="O220" s="114" t="b">
        <v>0</v>
      </c>
      <c r="P220" s="114" t="b">
        <v>0</v>
      </c>
      <c r="Q220" s="114" t="b">
        <v>0</v>
      </c>
      <c r="R220" s="114" t="b">
        <v>0</v>
      </c>
      <c r="S220" s="114" t="b">
        <v>0</v>
      </c>
      <c r="T220" s="114" t="b">
        <v>0</v>
      </c>
      <c r="U220" s="114" t="b">
        <v>0</v>
      </c>
      <c r="V220" s="114" t="b">
        <v>0</v>
      </c>
      <c r="W220" s="114" t="b">
        <v>0</v>
      </c>
      <c r="X220" s="114" t="b">
        <v>0</v>
      </c>
      <c r="Y220" s="114" t="b">
        <v>0</v>
      </c>
      <c r="Z220" s="114" t="b">
        <v>0</v>
      </c>
      <c r="AA220" s="114" t="b">
        <v>0</v>
      </c>
      <c r="AB220" s="114" t="b">
        <v>0</v>
      </c>
      <c r="AC220" s="114" t="b">
        <v>0</v>
      </c>
      <c r="AD220" s="114" t="b">
        <v>0</v>
      </c>
      <c r="AE220" s="114" t="b">
        <v>0</v>
      </c>
      <c r="AF220" s="114" t="b">
        <v>0</v>
      </c>
      <c r="AG220" s="114" t="b">
        <v>0</v>
      </c>
      <c r="AH220" s="114" t="b">
        <v>0</v>
      </c>
      <c r="AI220" s="114" t="b">
        <v>0</v>
      </c>
      <c r="AJ220" s="114" t="b">
        <v>0</v>
      </c>
      <c r="AK220" s="114" t="b">
        <v>0</v>
      </c>
      <c r="AL220" s="115" t="str">
        <f t="shared" si="1"/>
        <v>0 dari 31 (0%)</v>
      </c>
    </row>
    <row r="221" ht="22.5" customHeight="1">
      <c r="A221" s="2">
        <v>220.0</v>
      </c>
      <c r="B221" s="11"/>
      <c r="C221" s="140"/>
      <c r="D221" s="138"/>
      <c r="E221" s="138"/>
      <c r="F221" s="13"/>
      <c r="G221" s="114" t="b">
        <v>0</v>
      </c>
      <c r="H221" s="114" t="b">
        <v>0</v>
      </c>
      <c r="I221" s="114" t="b">
        <v>0</v>
      </c>
      <c r="J221" s="114" t="b">
        <v>0</v>
      </c>
      <c r="K221" s="114" t="b">
        <v>0</v>
      </c>
      <c r="L221" s="114" t="b">
        <v>0</v>
      </c>
      <c r="M221" s="114" t="b">
        <v>0</v>
      </c>
      <c r="N221" s="114" t="b">
        <v>0</v>
      </c>
      <c r="O221" s="114" t="b">
        <v>0</v>
      </c>
      <c r="P221" s="114" t="b">
        <v>0</v>
      </c>
      <c r="Q221" s="114" t="b">
        <v>0</v>
      </c>
      <c r="R221" s="114" t="b">
        <v>0</v>
      </c>
      <c r="S221" s="114" t="b">
        <v>0</v>
      </c>
      <c r="T221" s="114" t="b">
        <v>0</v>
      </c>
      <c r="U221" s="114" t="b">
        <v>0</v>
      </c>
      <c r="V221" s="114" t="b">
        <v>0</v>
      </c>
      <c r="W221" s="114" t="b">
        <v>0</v>
      </c>
      <c r="X221" s="114" t="b">
        <v>0</v>
      </c>
      <c r="Y221" s="114" t="b">
        <v>0</v>
      </c>
      <c r="Z221" s="114" t="b">
        <v>0</v>
      </c>
      <c r="AA221" s="114" t="b">
        <v>0</v>
      </c>
      <c r="AB221" s="114" t="b">
        <v>0</v>
      </c>
      <c r="AC221" s="114" t="b">
        <v>0</v>
      </c>
      <c r="AD221" s="114" t="b">
        <v>0</v>
      </c>
      <c r="AE221" s="114" t="b">
        <v>0</v>
      </c>
      <c r="AF221" s="114" t="b">
        <v>0</v>
      </c>
      <c r="AG221" s="114" t="b">
        <v>0</v>
      </c>
      <c r="AH221" s="114" t="b">
        <v>0</v>
      </c>
      <c r="AI221" s="114" t="b">
        <v>0</v>
      </c>
      <c r="AJ221" s="114" t="b">
        <v>0</v>
      </c>
      <c r="AK221" s="114" t="b">
        <v>0</v>
      </c>
      <c r="AL221" s="115" t="str">
        <f t="shared" si="1"/>
        <v>0 dari 31 (0%)</v>
      </c>
    </row>
    <row r="222" ht="22.5" customHeight="1">
      <c r="A222" s="10">
        <v>221.0</v>
      </c>
      <c r="B222" s="11"/>
      <c r="C222" s="140"/>
      <c r="D222" s="138"/>
      <c r="E222" s="138"/>
      <c r="F222" s="13"/>
      <c r="G222" s="114" t="b">
        <v>0</v>
      </c>
      <c r="H222" s="114" t="b">
        <v>0</v>
      </c>
      <c r="I222" s="114" t="b">
        <v>0</v>
      </c>
      <c r="J222" s="114" t="b">
        <v>0</v>
      </c>
      <c r="K222" s="114" t="b">
        <v>0</v>
      </c>
      <c r="L222" s="114" t="b">
        <v>0</v>
      </c>
      <c r="M222" s="114" t="b">
        <v>0</v>
      </c>
      <c r="N222" s="114" t="b">
        <v>0</v>
      </c>
      <c r="O222" s="114" t="b">
        <v>0</v>
      </c>
      <c r="P222" s="114" t="b">
        <v>0</v>
      </c>
      <c r="Q222" s="114" t="b">
        <v>0</v>
      </c>
      <c r="R222" s="114" t="b">
        <v>0</v>
      </c>
      <c r="S222" s="114" t="b">
        <v>0</v>
      </c>
      <c r="T222" s="114" t="b">
        <v>0</v>
      </c>
      <c r="U222" s="114" t="b">
        <v>0</v>
      </c>
      <c r="V222" s="114" t="b">
        <v>0</v>
      </c>
      <c r="W222" s="114" t="b">
        <v>0</v>
      </c>
      <c r="X222" s="114" t="b">
        <v>0</v>
      </c>
      <c r="Y222" s="114" t="b">
        <v>0</v>
      </c>
      <c r="Z222" s="114" t="b">
        <v>0</v>
      </c>
      <c r="AA222" s="114" t="b">
        <v>0</v>
      </c>
      <c r="AB222" s="114" t="b">
        <v>0</v>
      </c>
      <c r="AC222" s="114" t="b">
        <v>0</v>
      </c>
      <c r="AD222" s="114" t="b">
        <v>0</v>
      </c>
      <c r="AE222" s="114" t="b">
        <v>0</v>
      </c>
      <c r="AF222" s="114" t="b">
        <v>0</v>
      </c>
      <c r="AG222" s="114" t="b">
        <v>0</v>
      </c>
      <c r="AH222" s="114" t="b">
        <v>0</v>
      </c>
      <c r="AI222" s="114" t="b">
        <v>0</v>
      </c>
      <c r="AJ222" s="114" t="b">
        <v>0</v>
      </c>
      <c r="AK222" s="114" t="b">
        <v>0</v>
      </c>
      <c r="AL222" s="115" t="str">
        <f t="shared" si="1"/>
        <v>0 dari 31 (0%)</v>
      </c>
    </row>
    <row r="223" ht="22.5" customHeight="1">
      <c r="A223" s="2">
        <v>222.0</v>
      </c>
      <c r="B223" s="11"/>
      <c r="C223" s="140"/>
      <c r="D223" s="138"/>
      <c r="E223" s="138"/>
      <c r="F223" s="13"/>
      <c r="G223" s="114" t="b">
        <v>0</v>
      </c>
      <c r="H223" s="114" t="b">
        <v>0</v>
      </c>
      <c r="I223" s="114" t="b">
        <v>0</v>
      </c>
      <c r="J223" s="114" t="b">
        <v>0</v>
      </c>
      <c r="K223" s="114" t="b">
        <v>0</v>
      </c>
      <c r="L223" s="114" t="b">
        <v>0</v>
      </c>
      <c r="M223" s="114" t="b">
        <v>0</v>
      </c>
      <c r="N223" s="114" t="b">
        <v>0</v>
      </c>
      <c r="O223" s="114" t="b">
        <v>0</v>
      </c>
      <c r="P223" s="114" t="b">
        <v>0</v>
      </c>
      <c r="Q223" s="114" t="b">
        <v>0</v>
      </c>
      <c r="R223" s="114" t="b">
        <v>0</v>
      </c>
      <c r="S223" s="114" t="b">
        <v>0</v>
      </c>
      <c r="T223" s="114" t="b">
        <v>0</v>
      </c>
      <c r="U223" s="114" t="b">
        <v>0</v>
      </c>
      <c r="V223" s="114" t="b">
        <v>0</v>
      </c>
      <c r="W223" s="114" t="b">
        <v>0</v>
      </c>
      <c r="X223" s="114" t="b">
        <v>0</v>
      </c>
      <c r="Y223" s="114" t="b">
        <v>0</v>
      </c>
      <c r="Z223" s="114" t="b">
        <v>0</v>
      </c>
      <c r="AA223" s="114" t="b">
        <v>0</v>
      </c>
      <c r="AB223" s="114" t="b">
        <v>0</v>
      </c>
      <c r="AC223" s="114" t="b">
        <v>0</v>
      </c>
      <c r="AD223" s="114" t="b">
        <v>0</v>
      </c>
      <c r="AE223" s="114" t="b">
        <v>0</v>
      </c>
      <c r="AF223" s="114" t="b">
        <v>0</v>
      </c>
      <c r="AG223" s="114" t="b">
        <v>0</v>
      </c>
      <c r="AH223" s="114" t="b">
        <v>0</v>
      </c>
      <c r="AI223" s="114" t="b">
        <v>0</v>
      </c>
      <c r="AJ223" s="114" t="b">
        <v>0</v>
      </c>
      <c r="AK223" s="114" t="b">
        <v>0</v>
      </c>
      <c r="AL223" s="115" t="str">
        <f t="shared" si="1"/>
        <v>0 dari 31 (0%)</v>
      </c>
    </row>
    <row r="224" ht="22.5" customHeight="1">
      <c r="A224" s="10">
        <v>223.0</v>
      </c>
      <c r="B224" s="11"/>
      <c r="C224" s="140"/>
      <c r="D224" s="138"/>
      <c r="E224" s="138"/>
      <c r="F224" s="13"/>
      <c r="G224" s="114" t="b">
        <v>0</v>
      </c>
      <c r="H224" s="114" t="b">
        <v>0</v>
      </c>
      <c r="I224" s="114" t="b">
        <v>0</v>
      </c>
      <c r="J224" s="114" t="b">
        <v>0</v>
      </c>
      <c r="K224" s="114" t="b">
        <v>0</v>
      </c>
      <c r="L224" s="114" t="b">
        <v>0</v>
      </c>
      <c r="M224" s="114" t="b">
        <v>0</v>
      </c>
      <c r="N224" s="114" t="b">
        <v>0</v>
      </c>
      <c r="O224" s="114" t="b">
        <v>0</v>
      </c>
      <c r="P224" s="114" t="b">
        <v>0</v>
      </c>
      <c r="Q224" s="114" t="b">
        <v>0</v>
      </c>
      <c r="R224" s="114" t="b">
        <v>0</v>
      </c>
      <c r="S224" s="114" t="b">
        <v>0</v>
      </c>
      <c r="T224" s="114" t="b">
        <v>0</v>
      </c>
      <c r="U224" s="114" t="b">
        <v>0</v>
      </c>
      <c r="V224" s="114" t="b">
        <v>0</v>
      </c>
      <c r="W224" s="114" t="b">
        <v>0</v>
      </c>
      <c r="X224" s="114" t="b">
        <v>0</v>
      </c>
      <c r="Y224" s="114" t="b">
        <v>0</v>
      </c>
      <c r="Z224" s="114" t="b">
        <v>0</v>
      </c>
      <c r="AA224" s="114" t="b">
        <v>0</v>
      </c>
      <c r="AB224" s="114" t="b">
        <v>0</v>
      </c>
      <c r="AC224" s="114" t="b">
        <v>0</v>
      </c>
      <c r="AD224" s="114" t="b">
        <v>0</v>
      </c>
      <c r="AE224" s="114" t="b">
        <v>0</v>
      </c>
      <c r="AF224" s="114" t="b">
        <v>0</v>
      </c>
      <c r="AG224" s="114" t="b">
        <v>0</v>
      </c>
      <c r="AH224" s="114" t="b">
        <v>0</v>
      </c>
      <c r="AI224" s="114" t="b">
        <v>0</v>
      </c>
      <c r="AJ224" s="114" t="b">
        <v>0</v>
      </c>
      <c r="AK224" s="114" t="b">
        <v>0</v>
      </c>
      <c r="AL224" s="115" t="str">
        <f t="shared" si="1"/>
        <v>0 dari 31 (0%)</v>
      </c>
    </row>
    <row r="225" ht="22.5" customHeight="1">
      <c r="A225" s="10">
        <v>224.0</v>
      </c>
      <c r="B225" s="11"/>
      <c r="C225" s="140"/>
      <c r="D225" s="138"/>
      <c r="E225" s="138"/>
      <c r="F225" s="13"/>
      <c r="G225" s="114" t="b">
        <v>0</v>
      </c>
      <c r="H225" s="114" t="b">
        <v>0</v>
      </c>
      <c r="I225" s="114" t="b">
        <v>0</v>
      </c>
      <c r="J225" s="114" t="b">
        <v>0</v>
      </c>
      <c r="K225" s="114" t="b">
        <v>0</v>
      </c>
      <c r="L225" s="114" t="b">
        <v>0</v>
      </c>
      <c r="M225" s="114" t="b">
        <v>0</v>
      </c>
      <c r="N225" s="114" t="b">
        <v>0</v>
      </c>
      <c r="O225" s="114" t="b">
        <v>0</v>
      </c>
      <c r="P225" s="114" t="b">
        <v>0</v>
      </c>
      <c r="Q225" s="114" t="b">
        <v>0</v>
      </c>
      <c r="R225" s="114" t="b">
        <v>0</v>
      </c>
      <c r="S225" s="114" t="b">
        <v>0</v>
      </c>
      <c r="T225" s="114" t="b">
        <v>0</v>
      </c>
      <c r="U225" s="114" t="b">
        <v>0</v>
      </c>
      <c r="V225" s="114" t="b">
        <v>0</v>
      </c>
      <c r="W225" s="114" t="b">
        <v>0</v>
      </c>
      <c r="X225" s="114" t="b">
        <v>0</v>
      </c>
      <c r="Y225" s="114" t="b">
        <v>0</v>
      </c>
      <c r="Z225" s="114" t="b">
        <v>0</v>
      </c>
      <c r="AA225" s="114" t="b">
        <v>0</v>
      </c>
      <c r="AB225" s="114" t="b">
        <v>0</v>
      </c>
      <c r="AC225" s="114" t="b">
        <v>0</v>
      </c>
      <c r="AD225" s="114" t="b">
        <v>0</v>
      </c>
      <c r="AE225" s="114" t="b">
        <v>0</v>
      </c>
      <c r="AF225" s="114" t="b">
        <v>0</v>
      </c>
      <c r="AG225" s="114" t="b">
        <v>0</v>
      </c>
      <c r="AH225" s="114" t="b">
        <v>0</v>
      </c>
      <c r="AI225" s="114" t="b">
        <v>0</v>
      </c>
      <c r="AJ225" s="114" t="b">
        <v>0</v>
      </c>
      <c r="AK225" s="114" t="b">
        <v>0</v>
      </c>
      <c r="AL225" s="115" t="str">
        <f t="shared" si="1"/>
        <v>0 dari 31 (0%)</v>
      </c>
    </row>
    <row r="226" ht="22.5" customHeight="1">
      <c r="A226" s="2">
        <v>225.0</v>
      </c>
      <c r="B226" s="11"/>
      <c r="C226" s="140"/>
      <c r="D226" s="138"/>
      <c r="E226" s="138"/>
      <c r="F226" s="13"/>
      <c r="G226" s="114" t="b">
        <v>0</v>
      </c>
      <c r="H226" s="114" t="b">
        <v>0</v>
      </c>
      <c r="I226" s="114" t="b">
        <v>0</v>
      </c>
      <c r="J226" s="114" t="b">
        <v>0</v>
      </c>
      <c r="K226" s="114" t="b">
        <v>0</v>
      </c>
      <c r="L226" s="114" t="b">
        <v>0</v>
      </c>
      <c r="M226" s="114" t="b">
        <v>0</v>
      </c>
      <c r="N226" s="114" t="b">
        <v>0</v>
      </c>
      <c r="O226" s="114" t="b">
        <v>0</v>
      </c>
      <c r="P226" s="114" t="b">
        <v>0</v>
      </c>
      <c r="Q226" s="114" t="b">
        <v>0</v>
      </c>
      <c r="R226" s="114" t="b">
        <v>0</v>
      </c>
      <c r="S226" s="114" t="b">
        <v>0</v>
      </c>
      <c r="T226" s="114" t="b">
        <v>0</v>
      </c>
      <c r="U226" s="114" t="b">
        <v>0</v>
      </c>
      <c r="V226" s="114" t="b">
        <v>0</v>
      </c>
      <c r="W226" s="114" t="b">
        <v>0</v>
      </c>
      <c r="X226" s="114" t="b">
        <v>0</v>
      </c>
      <c r="Y226" s="114" t="b">
        <v>0</v>
      </c>
      <c r="Z226" s="114" t="b">
        <v>0</v>
      </c>
      <c r="AA226" s="114" t="b">
        <v>0</v>
      </c>
      <c r="AB226" s="114" t="b">
        <v>0</v>
      </c>
      <c r="AC226" s="114" t="b">
        <v>0</v>
      </c>
      <c r="AD226" s="114" t="b">
        <v>0</v>
      </c>
      <c r="AE226" s="114" t="b">
        <v>0</v>
      </c>
      <c r="AF226" s="114" t="b">
        <v>0</v>
      </c>
      <c r="AG226" s="114" t="b">
        <v>0</v>
      </c>
      <c r="AH226" s="114" t="b">
        <v>0</v>
      </c>
      <c r="AI226" s="114" t="b">
        <v>0</v>
      </c>
      <c r="AJ226" s="114" t="b">
        <v>0</v>
      </c>
      <c r="AK226" s="114" t="b">
        <v>0</v>
      </c>
      <c r="AL226" s="115" t="str">
        <f t="shared" si="1"/>
        <v>0 dari 31 (0%)</v>
      </c>
    </row>
    <row r="227" ht="22.5" customHeight="1">
      <c r="A227" s="10">
        <v>226.0</v>
      </c>
      <c r="B227" s="11"/>
      <c r="C227" s="140"/>
      <c r="D227" s="138"/>
      <c r="E227" s="138"/>
      <c r="F227" s="13"/>
      <c r="G227" s="114" t="b">
        <v>0</v>
      </c>
      <c r="H227" s="114" t="b">
        <v>0</v>
      </c>
      <c r="I227" s="114" t="b">
        <v>0</v>
      </c>
      <c r="J227" s="114" t="b">
        <v>0</v>
      </c>
      <c r="K227" s="114" t="b">
        <v>0</v>
      </c>
      <c r="L227" s="114" t="b">
        <v>0</v>
      </c>
      <c r="M227" s="114" t="b">
        <v>0</v>
      </c>
      <c r="N227" s="114" t="b">
        <v>0</v>
      </c>
      <c r="O227" s="114" t="b">
        <v>0</v>
      </c>
      <c r="P227" s="114" t="b">
        <v>0</v>
      </c>
      <c r="Q227" s="114" t="b">
        <v>0</v>
      </c>
      <c r="R227" s="114" t="b">
        <v>0</v>
      </c>
      <c r="S227" s="114" t="b">
        <v>0</v>
      </c>
      <c r="T227" s="114" t="b">
        <v>0</v>
      </c>
      <c r="U227" s="114" t="b">
        <v>0</v>
      </c>
      <c r="V227" s="114" t="b">
        <v>0</v>
      </c>
      <c r="W227" s="114" t="b">
        <v>0</v>
      </c>
      <c r="X227" s="114" t="b">
        <v>0</v>
      </c>
      <c r="Y227" s="114" t="b">
        <v>0</v>
      </c>
      <c r="Z227" s="114" t="b">
        <v>0</v>
      </c>
      <c r="AA227" s="114" t="b">
        <v>0</v>
      </c>
      <c r="AB227" s="114" t="b">
        <v>0</v>
      </c>
      <c r="AC227" s="114" t="b">
        <v>0</v>
      </c>
      <c r="AD227" s="114" t="b">
        <v>0</v>
      </c>
      <c r="AE227" s="114" t="b">
        <v>0</v>
      </c>
      <c r="AF227" s="114" t="b">
        <v>0</v>
      </c>
      <c r="AG227" s="114" t="b">
        <v>0</v>
      </c>
      <c r="AH227" s="114" t="b">
        <v>0</v>
      </c>
      <c r="AI227" s="114" t="b">
        <v>0</v>
      </c>
      <c r="AJ227" s="114" t="b">
        <v>0</v>
      </c>
      <c r="AK227" s="114" t="b">
        <v>0</v>
      </c>
      <c r="AL227" s="115" t="str">
        <f t="shared" si="1"/>
        <v>0 dari 31 (0%)</v>
      </c>
    </row>
    <row r="228" ht="22.5" customHeight="1">
      <c r="A228" s="2">
        <v>227.0</v>
      </c>
      <c r="B228" s="11"/>
      <c r="C228" s="140"/>
      <c r="D228" s="138"/>
      <c r="E228" s="138"/>
      <c r="F228" s="13"/>
      <c r="G228" s="114" t="b">
        <v>0</v>
      </c>
      <c r="H228" s="114" t="b">
        <v>0</v>
      </c>
      <c r="I228" s="114" t="b">
        <v>0</v>
      </c>
      <c r="J228" s="114" t="b">
        <v>0</v>
      </c>
      <c r="K228" s="114" t="b">
        <v>0</v>
      </c>
      <c r="L228" s="114" t="b">
        <v>0</v>
      </c>
      <c r="M228" s="114" t="b">
        <v>0</v>
      </c>
      <c r="N228" s="114" t="b">
        <v>0</v>
      </c>
      <c r="O228" s="114" t="b">
        <v>0</v>
      </c>
      <c r="P228" s="114" t="b">
        <v>0</v>
      </c>
      <c r="Q228" s="114" t="b">
        <v>0</v>
      </c>
      <c r="R228" s="114" t="b">
        <v>0</v>
      </c>
      <c r="S228" s="114" t="b">
        <v>0</v>
      </c>
      <c r="T228" s="114" t="b">
        <v>0</v>
      </c>
      <c r="U228" s="114" t="b">
        <v>0</v>
      </c>
      <c r="V228" s="114" t="b">
        <v>0</v>
      </c>
      <c r="W228" s="114" t="b">
        <v>0</v>
      </c>
      <c r="X228" s="114" t="b">
        <v>0</v>
      </c>
      <c r="Y228" s="114" t="b">
        <v>0</v>
      </c>
      <c r="Z228" s="114" t="b">
        <v>0</v>
      </c>
      <c r="AA228" s="114" t="b">
        <v>0</v>
      </c>
      <c r="AB228" s="114" t="b">
        <v>0</v>
      </c>
      <c r="AC228" s="114" t="b">
        <v>0</v>
      </c>
      <c r="AD228" s="114" t="b">
        <v>0</v>
      </c>
      <c r="AE228" s="114" t="b">
        <v>0</v>
      </c>
      <c r="AF228" s="114" t="b">
        <v>0</v>
      </c>
      <c r="AG228" s="114" t="b">
        <v>0</v>
      </c>
      <c r="AH228" s="114" t="b">
        <v>0</v>
      </c>
      <c r="AI228" s="114" t="b">
        <v>0</v>
      </c>
      <c r="AJ228" s="114" t="b">
        <v>0</v>
      </c>
      <c r="AK228" s="114" t="b">
        <v>0</v>
      </c>
      <c r="AL228" s="115" t="str">
        <f t="shared" si="1"/>
        <v>0 dari 31 (0%)</v>
      </c>
    </row>
    <row r="229" ht="22.5" customHeight="1">
      <c r="A229" s="10">
        <v>228.0</v>
      </c>
      <c r="B229" s="11"/>
      <c r="C229" s="140"/>
      <c r="D229" s="138"/>
      <c r="E229" s="138"/>
      <c r="F229" s="13"/>
      <c r="G229" s="114" t="b">
        <v>0</v>
      </c>
      <c r="H229" s="114" t="b">
        <v>0</v>
      </c>
      <c r="I229" s="114" t="b">
        <v>0</v>
      </c>
      <c r="J229" s="114" t="b">
        <v>0</v>
      </c>
      <c r="K229" s="114" t="b">
        <v>0</v>
      </c>
      <c r="L229" s="114" t="b">
        <v>0</v>
      </c>
      <c r="M229" s="114" t="b">
        <v>0</v>
      </c>
      <c r="N229" s="114" t="b">
        <v>0</v>
      </c>
      <c r="O229" s="114" t="b">
        <v>0</v>
      </c>
      <c r="P229" s="114" t="b">
        <v>0</v>
      </c>
      <c r="Q229" s="114" t="b">
        <v>0</v>
      </c>
      <c r="R229" s="114" t="b">
        <v>0</v>
      </c>
      <c r="S229" s="114" t="b">
        <v>0</v>
      </c>
      <c r="T229" s="114" t="b">
        <v>0</v>
      </c>
      <c r="U229" s="114" t="b">
        <v>0</v>
      </c>
      <c r="V229" s="114" t="b">
        <v>0</v>
      </c>
      <c r="W229" s="114" t="b">
        <v>0</v>
      </c>
      <c r="X229" s="114" t="b">
        <v>0</v>
      </c>
      <c r="Y229" s="114" t="b">
        <v>0</v>
      </c>
      <c r="Z229" s="114" t="b">
        <v>0</v>
      </c>
      <c r="AA229" s="114" t="b">
        <v>0</v>
      </c>
      <c r="AB229" s="114" t="b">
        <v>0</v>
      </c>
      <c r="AC229" s="114" t="b">
        <v>0</v>
      </c>
      <c r="AD229" s="114" t="b">
        <v>0</v>
      </c>
      <c r="AE229" s="114" t="b">
        <v>0</v>
      </c>
      <c r="AF229" s="114" t="b">
        <v>0</v>
      </c>
      <c r="AG229" s="114" t="b">
        <v>0</v>
      </c>
      <c r="AH229" s="114" t="b">
        <v>0</v>
      </c>
      <c r="AI229" s="114" t="b">
        <v>0</v>
      </c>
      <c r="AJ229" s="114" t="b">
        <v>0</v>
      </c>
      <c r="AK229" s="114" t="b">
        <v>0</v>
      </c>
      <c r="AL229" s="115" t="str">
        <f t="shared" si="1"/>
        <v>0 dari 31 (0%)</v>
      </c>
    </row>
    <row r="230" ht="22.5" customHeight="1">
      <c r="A230" s="10">
        <v>229.0</v>
      </c>
      <c r="B230" s="11"/>
      <c r="C230" s="140"/>
      <c r="D230" s="138"/>
      <c r="E230" s="138"/>
      <c r="F230" s="13"/>
      <c r="G230" s="114" t="b">
        <v>0</v>
      </c>
      <c r="H230" s="114" t="b">
        <v>0</v>
      </c>
      <c r="I230" s="114" t="b">
        <v>0</v>
      </c>
      <c r="J230" s="114" t="b">
        <v>0</v>
      </c>
      <c r="K230" s="114" t="b">
        <v>0</v>
      </c>
      <c r="L230" s="114" t="b">
        <v>0</v>
      </c>
      <c r="M230" s="114" t="b">
        <v>0</v>
      </c>
      <c r="N230" s="114" t="b">
        <v>0</v>
      </c>
      <c r="O230" s="114" t="b">
        <v>0</v>
      </c>
      <c r="P230" s="114" t="b">
        <v>0</v>
      </c>
      <c r="Q230" s="114" t="b">
        <v>0</v>
      </c>
      <c r="R230" s="114" t="b">
        <v>0</v>
      </c>
      <c r="S230" s="114" t="b">
        <v>0</v>
      </c>
      <c r="T230" s="114" t="b">
        <v>0</v>
      </c>
      <c r="U230" s="114" t="b">
        <v>0</v>
      </c>
      <c r="V230" s="114" t="b">
        <v>0</v>
      </c>
      <c r="W230" s="114" t="b">
        <v>0</v>
      </c>
      <c r="X230" s="114" t="b">
        <v>0</v>
      </c>
      <c r="Y230" s="114" t="b">
        <v>0</v>
      </c>
      <c r="Z230" s="114" t="b">
        <v>0</v>
      </c>
      <c r="AA230" s="114" t="b">
        <v>0</v>
      </c>
      <c r="AB230" s="114" t="b">
        <v>0</v>
      </c>
      <c r="AC230" s="114" t="b">
        <v>0</v>
      </c>
      <c r="AD230" s="114" t="b">
        <v>0</v>
      </c>
      <c r="AE230" s="114" t="b">
        <v>0</v>
      </c>
      <c r="AF230" s="114" t="b">
        <v>0</v>
      </c>
      <c r="AG230" s="114" t="b">
        <v>0</v>
      </c>
      <c r="AH230" s="114" t="b">
        <v>0</v>
      </c>
      <c r="AI230" s="114" t="b">
        <v>0</v>
      </c>
      <c r="AJ230" s="114" t="b">
        <v>0</v>
      </c>
      <c r="AK230" s="114" t="b">
        <v>0</v>
      </c>
      <c r="AL230" s="115" t="str">
        <f t="shared" si="1"/>
        <v>0 dari 31 (0%)</v>
      </c>
    </row>
    <row r="231" ht="22.5" customHeight="1">
      <c r="A231" s="2">
        <v>230.0</v>
      </c>
      <c r="B231" s="11"/>
      <c r="C231" s="140"/>
      <c r="D231" s="138"/>
      <c r="E231" s="138"/>
      <c r="F231" s="13"/>
      <c r="G231" s="114" t="b">
        <v>0</v>
      </c>
      <c r="H231" s="114" t="b">
        <v>0</v>
      </c>
      <c r="I231" s="114" t="b">
        <v>0</v>
      </c>
      <c r="J231" s="114" t="b">
        <v>0</v>
      </c>
      <c r="K231" s="114" t="b">
        <v>0</v>
      </c>
      <c r="L231" s="114" t="b">
        <v>0</v>
      </c>
      <c r="M231" s="114" t="b">
        <v>0</v>
      </c>
      <c r="N231" s="114" t="b">
        <v>0</v>
      </c>
      <c r="O231" s="114" t="b">
        <v>0</v>
      </c>
      <c r="P231" s="114" t="b">
        <v>0</v>
      </c>
      <c r="Q231" s="114" t="b">
        <v>0</v>
      </c>
      <c r="R231" s="114" t="b">
        <v>0</v>
      </c>
      <c r="S231" s="114" t="b">
        <v>0</v>
      </c>
      <c r="T231" s="114" t="b">
        <v>0</v>
      </c>
      <c r="U231" s="114" t="b">
        <v>0</v>
      </c>
      <c r="V231" s="114" t="b">
        <v>0</v>
      </c>
      <c r="W231" s="114" t="b">
        <v>0</v>
      </c>
      <c r="X231" s="114" t="b">
        <v>0</v>
      </c>
      <c r="Y231" s="114" t="b">
        <v>0</v>
      </c>
      <c r="Z231" s="114" t="b">
        <v>0</v>
      </c>
      <c r="AA231" s="114" t="b">
        <v>0</v>
      </c>
      <c r="AB231" s="114" t="b">
        <v>0</v>
      </c>
      <c r="AC231" s="114" t="b">
        <v>0</v>
      </c>
      <c r="AD231" s="114" t="b">
        <v>0</v>
      </c>
      <c r="AE231" s="114" t="b">
        <v>0</v>
      </c>
      <c r="AF231" s="114" t="b">
        <v>0</v>
      </c>
      <c r="AG231" s="114" t="b">
        <v>0</v>
      </c>
      <c r="AH231" s="114" t="b">
        <v>0</v>
      </c>
      <c r="AI231" s="114" t="b">
        <v>0</v>
      </c>
      <c r="AJ231" s="114" t="b">
        <v>0</v>
      </c>
      <c r="AK231" s="114" t="b">
        <v>0</v>
      </c>
      <c r="AL231" s="115" t="str">
        <f t="shared" si="1"/>
        <v>0 dari 31 (0%)</v>
      </c>
    </row>
    <row r="232" ht="22.5" customHeight="1">
      <c r="A232" s="10">
        <v>231.0</v>
      </c>
      <c r="B232" s="11"/>
      <c r="C232" s="140"/>
      <c r="D232" s="138"/>
      <c r="E232" s="138"/>
      <c r="F232" s="13"/>
      <c r="G232" s="114" t="b">
        <v>0</v>
      </c>
      <c r="H232" s="114" t="b">
        <v>0</v>
      </c>
      <c r="I232" s="114" t="b">
        <v>0</v>
      </c>
      <c r="J232" s="114" t="b">
        <v>0</v>
      </c>
      <c r="K232" s="114" t="b">
        <v>0</v>
      </c>
      <c r="L232" s="114" t="b">
        <v>0</v>
      </c>
      <c r="M232" s="114" t="b">
        <v>0</v>
      </c>
      <c r="N232" s="114" t="b">
        <v>0</v>
      </c>
      <c r="O232" s="114" t="b">
        <v>0</v>
      </c>
      <c r="P232" s="114" t="b">
        <v>0</v>
      </c>
      <c r="Q232" s="114" t="b">
        <v>0</v>
      </c>
      <c r="R232" s="114" t="b">
        <v>0</v>
      </c>
      <c r="S232" s="114" t="b">
        <v>0</v>
      </c>
      <c r="T232" s="114" t="b">
        <v>0</v>
      </c>
      <c r="U232" s="114" t="b">
        <v>0</v>
      </c>
      <c r="V232" s="114" t="b">
        <v>0</v>
      </c>
      <c r="W232" s="114" t="b">
        <v>0</v>
      </c>
      <c r="X232" s="114" t="b">
        <v>0</v>
      </c>
      <c r="Y232" s="114" t="b">
        <v>0</v>
      </c>
      <c r="Z232" s="114" t="b">
        <v>0</v>
      </c>
      <c r="AA232" s="114" t="b">
        <v>0</v>
      </c>
      <c r="AB232" s="114" t="b">
        <v>0</v>
      </c>
      <c r="AC232" s="114" t="b">
        <v>0</v>
      </c>
      <c r="AD232" s="114" t="b">
        <v>0</v>
      </c>
      <c r="AE232" s="114" t="b">
        <v>0</v>
      </c>
      <c r="AF232" s="114" t="b">
        <v>0</v>
      </c>
      <c r="AG232" s="114" t="b">
        <v>0</v>
      </c>
      <c r="AH232" s="114" t="b">
        <v>0</v>
      </c>
      <c r="AI232" s="114" t="b">
        <v>0</v>
      </c>
      <c r="AJ232" s="114" t="b">
        <v>0</v>
      </c>
      <c r="AK232" s="114" t="b">
        <v>0</v>
      </c>
      <c r="AL232" s="115" t="str">
        <f t="shared" si="1"/>
        <v>0 dari 31 (0%)</v>
      </c>
    </row>
    <row r="233" ht="22.5" customHeight="1">
      <c r="A233" s="2">
        <v>232.0</v>
      </c>
      <c r="B233" s="11"/>
      <c r="C233" s="140"/>
      <c r="D233" s="138"/>
      <c r="E233" s="138"/>
      <c r="F233" s="13"/>
      <c r="G233" s="114" t="b">
        <v>0</v>
      </c>
      <c r="H233" s="114" t="b">
        <v>0</v>
      </c>
      <c r="I233" s="114" t="b">
        <v>0</v>
      </c>
      <c r="J233" s="114" t="b">
        <v>0</v>
      </c>
      <c r="K233" s="114" t="b">
        <v>0</v>
      </c>
      <c r="L233" s="114" t="b">
        <v>0</v>
      </c>
      <c r="M233" s="114" t="b">
        <v>0</v>
      </c>
      <c r="N233" s="114" t="b">
        <v>0</v>
      </c>
      <c r="O233" s="114" t="b">
        <v>0</v>
      </c>
      <c r="P233" s="114" t="b">
        <v>0</v>
      </c>
      <c r="Q233" s="114" t="b">
        <v>0</v>
      </c>
      <c r="R233" s="114" t="b">
        <v>0</v>
      </c>
      <c r="S233" s="114" t="b">
        <v>0</v>
      </c>
      <c r="T233" s="114" t="b">
        <v>0</v>
      </c>
      <c r="U233" s="114" t="b">
        <v>0</v>
      </c>
      <c r="V233" s="114" t="b">
        <v>0</v>
      </c>
      <c r="W233" s="114" t="b">
        <v>0</v>
      </c>
      <c r="X233" s="114" t="b">
        <v>0</v>
      </c>
      <c r="Y233" s="114" t="b">
        <v>0</v>
      </c>
      <c r="Z233" s="114" t="b">
        <v>0</v>
      </c>
      <c r="AA233" s="114" t="b">
        <v>0</v>
      </c>
      <c r="AB233" s="114" t="b">
        <v>0</v>
      </c>
      <c r="AC233" s="114" t="b">
        <v>0</v>
      </c>
      <c r="AD233" s="114" t="b">
        <v>0</v>
      </c>
      <c r="AE233" s="114" t="b">
        <v>0</v>
      </c>
      <c r="AF233" s="114" t="b">
        <v>0</v>
      </c>
      <c r="AG233" s="114" t="b">
        <v>0</v>
      </c>
      <c r="AH233" s="114" t="b">
        <v>0</v>
      </c>
      <c r="AI233" s="114" t="b">
        <v>0</v>
      </c>
      <c r="AJ233" s="114" t="b">
        <v>0</v>
      </c>
      <c r="AK233" s="114" t="b">
        <v>0</v>
      </c>
      <c r="AL233" s="115" t="str">
        <f t="shared" si="1"/>
        <v>0 dari 31 (0%)</v>
      </c>
    </row>
    <row r="234" ht="22.5" customHeight="1">
      <c r="A234" s="10">
        <v>233.0</v>
      </c>
      <c r="B234" s="11"/>
      <c r="C234" s="140"/>
      <c r="D234" s="138"/>
      <c r="E234" s="138"/>
      <c r="F234" s="13"/>
      <c r="G234" s="114" t="b">
        <v>0</v>
      </c>
      <c r="H234" s="114" t="b">
        <v>0</v>
      </c>
      <c r="I234" s="114" t="b">
        <v>0</v>
      </c>
      <c r="J234" s="114" t="b">
        <v>0</v>
      </c>
      <c r="K234" s="114" t="b">
        <v>0</v>
      </c>
      <c r="L234" s="114" t="b">
        <v>0</v>
      </c>
      <c r="M234" s="114" t="b">
        <v>0</v>
      </c>
      <c r="N234" s="114" t="b">
        <v>0</v>
      </c>
      <c r="O234" s="114" t="b">
        <v>0</v>
      </c>
      <c r="P234" s="114" t="b">
        <v>0</v>
      </c>
      <c r="Q234" s="114" t="b">
        <v>0</v>
      </c>
      <c r="R234" s="114" t="b">
        <v>0</v>
      </c>
      <c r="S234" s="114" t="b">
        <v>0</v>
      </c>
      <c r="T234" s="114" t="b">
        <v>0</v>
      </c>
      <c r="U234" s="114" t="b">
        <v>0</v>
      </c>
      <c r="V234" s="114" t="b">
        <v>0</v>
      </c>
      <c r="W234" s="114" t="b">
        <v>0</v>
      </c>
      <c r="X234" s="114" t="b">
        <v>0</v>
      </c>
      <c r="Y234" s="114" t="b">
        <v>0</v>
      </c>
      <c r="Z234" s="114" t="b">
        <v>0</v>
      </c>
      <c r="AA234" s="114" t="b">
        <v>0</v>
      </c>
      <c r="AB234" s="114" t="b">
        <v>0</v>
      </c>
      <c r="AC234" s="114" t="b">
        <v>0</v>
      </c>
      <c r="AD234" s="114" t="b">
        <v>0</v>
      </c>
      <c r="AE234" s="114" t="b">
        <v>0</v>
      </c>
      <c r="AF234" s="114" t="b">
        <v>0</v>
      </c>
      <c r="AG234" s="114" t="b">
        <v>0</v>
      </c>
      <c r="AH234" s="114" t="b">
        <v>0</v>
      </c>
      <c r="AI234" s="114" t="b">
        <v>0</v>
      </c>
      <c r="AJ234" s="114" t="b">
        <v>0</v>
      </c>
      <c r="AK234" s="114" t="b">
        <v>0</v>
      </c>
      <c r="AL234" s="115" t="str">
        <f t="shared" si="1"/>
        <v>0 dari 31 (0%)</v>
      </c>
    </row>
    <row r="235" ht="22.5" customHeight="1">
      <c r="A235" s="10">
        <v>234.0</v>
      </c>
      <c r="B235" s="11"/>
      <c r="C235" s="140"/>
      <c r="D235" s="138"/>
      <c r="E235" s="138"/>
      <c r="F235" s="13"/>
      <c r="G235" s="114" t="b">
        <v>0</v>
      </c>
      <c r="H235" s="114" t="b">
        <v>0</v>
      </c>
      <c r="I235" s="114" t="b">
        <v>0</v>
      </c>
      <c r="J235" s="114" t="b">
        <v>0</v>
      </c>
      <c r="K235" s="114" t="b">
        <v>0</v>
      </c>
      <c r="L235" s="114" t="b">
        <v>0</v>
      </c>
      <c r="M235" s="114" t="b">
        <v>0</v>
      </c>
      <c r="N235" s="114" t="b">
        <v>0</v>
      </c>
      <c r="O235" s="114" t="b">
        <v>0</v>
      </c>
      <c r="P235" s="114" t="b">
        <v>0</v>
      </c>
      <c r="Q235" s="114" t="b">
        <v>0</v>
      </c>
      <c r="R235" s="114" t="b">
        <v>0</v>
      </c>
      <c r="S235" s="114" t="b">
        <v>0</v>
      </c>
      <c r="T235" s="114" t="b">
        <v>0</v>
      </c>
      <c r="U235" s="114" t="b">
        <v>0</v>
      </c>
      <c r="V235" s="114" t="b">
        <v>0</v>
      </c>
      <c r="W235" s="114" t="b">
        <v>0</v>
      </c>
      <c r="X235" s="114" t="b">
        <v>0</v>
      </c>
      <c r="Y235" s="114" t="b">
        <v>0</v>
      </c>
      <c r="Z235" s="114" t="b">
        <v>0</v>
      </c>
      <c r="AA235" s="114" t="b">
        <v>0</v>
      </c>
      <c r="AB235" s="114" t="b">
        <v>0</v>
      </c>
      <c r="AC235" s="114" t="b">
        <v>0</v>
      </c>
      <c r="AD235" s="114" t="b">
        <v>0</v>
      </c>
      <c r="AE235" s="114" t="b">
        <v>0</v>
      </c>
      <c r="AF235" s="114" t="b">
        <v>0</v>
      </c>
      <c r="AG235" s="114" t="b">
        <v>0</v>
      </c>
      <c r="AH235" s="114" t="b">
        <v>0</v>
      </c>
      <c r="AI235" s="114" t="b">
        <v>0</v>
      </c>
      <c r="AJ235" s="114" t="b">
        <v>0</v>
      </c>
      <c r="AK235" s="114" t="b">
        <v>0</v>
      </c>
      <c r="AL235" s="115" t="str">
        <f t="shared" si="1"/>
        <v>0 dari 31 (0%)</v>
      </c>
    </row>
    <row r="236" ht="22.5" customHeight="1">
      <c r="A236" s="2">
        <v>235.0</v>
      </c>
      <c r="B236" s="11"/>
      <c r="C236" s="140"/>
      <c r="D236" s="138"/>
      <c r="E236" s="138"/>
      <c r="F236" s="13"/>
      <c r="G236" s="114" t="b">
        <v>0</v>
      </c>
      <c r="H236" s="114" t="b">
        <v>0</v>
      </c>
      <c r="I236" s="114" t="b">
        <v>0</v>
      </c>
      <c r="J236" s="114" t="b">
        <v>0</v>
      </c>
      <c r="K236" s="114" t="b">
        <v>0</v>
      </c>
      <c r="L236" s="114" t="b">
        <v>0</v>
      </c>
      <c r="M236" s="114" t="b">
        <v>0</v>
      </c>
      <c r="N236" s="114" t="b">
        <v>0</v>
      </c>
      <c r="O236" s="114" t="b">
        <v>0</v>
      </c>
      <c r="P236" s="114" t="b">
        <v>0</v>
      </c>
      <c r="Q236" s="114" t="b">
        <v>0</v>
      </c>
      <c r="R236" s="114" t="b">
        <v>0</v>
      </c>
      <c r="S236" s="114" t="b">
        <v>0</v>
      </c>
      <c r="T236" s="114" t="b">
        <v>0</v>
      </c>
      <c r="U236" s="114" t="b">
        <v>0</v>
      </c>
      <c r="V236" s="114" t="b">
        <v>0</v>
      </c>
      <c r="W236" s="114" t="b">
        <v>0</v>
      </c>
      <c r="X236" s="114" t="b">
        <v>0</v>
      </c>
      <c r="Y236" s="114" t="b">
        <v>0</v>
      </c>
      <c r="Z236" s="114" t="b">
        <v>0</v>
      </c>
      <c r="AA236" s="114" t="b">
        <v>0</v>
      </c>
      <c r="AB236" s="114" t="b">
        <v>0</v>
      </c>
      <c r="AC236" s="114" t="b">
        <v>0</v>
      </c>
      <c r="AD236" s="114" t="b">
        <v>0</v>
      </c>
      <c r="AE236" s="114" t="b">
        <v>0</v>
      </c>
      <c r="AF236" s="114" t="b">
        <v>0</v>
      </c>
      <c r="AG236" s="114" t="b">
        <v>0</v>
      </c>
      <c r="AH236" s="114" t="b">
        <v>0</v>
      </c>
      <c r="AI236" s="114" t="b">
        <v>0</v>
      </c>
      <c r="AJ236" s="114" t="b">
        <v>0</v>
      </c>
      <c r="AK236" s="114" t="b">
        <v>0</v>
      </c>
      <c r="AL236" s="115" t="str">
        <f t="shared" si="1"/>
        <v>0 dari 31 (0%)</v>
      </c>
    </row>
    <row r="237" ht="22.5" customHeight="1">
      <c r="A237" s="10">
        <v>236.0</v>
      </c>
      <c r="B237" s="11"/>
      <c r="C237" s="140"/>
      <c r="D237" s="138"/>
      <c r="E237" s="138"/>
      <c r="F237" s="13"/>
      <c r="G237" s="114" t="b">
        <v>0</v>
      </c>
      <c r="H237" s="114" t="b">
        <v>0</v>
      </c>
      <c r="I237" s="114" t="b">
        <v>0</v>
      </c>
      <c r="J237" s="114" t="b">
        <v>0</v>
      </c>
      <c r="K237" s="114" t="b">
        <v>0</v>
      </c>
      <c r="L237" s="114" t="b">
        <v>0</v>
      </c>
      <c r="M237" s="114" t="b">
        <v>0</v>
      </c>
      <c r="N237" s="114" t="b">
        <v>0</v>
      </c>
      <c r="O237" s="114" t="b">
        <v>0</v>
      </c>
      <c r="P237" s="114" t="b">
        <v>0</v>
      </c>
      <c r="Q237" s="114" t="b">
        <v>0</v>
      </c>
      <c r="R237" s="114" t="b">
        <v>0</v>
      </c>
      <c r="S237" s="114" t="b">
        <v>0</v>
      </c>
      <c r="T237" s="114" t="b">
        <v>0</v>
      </c>
      <c r="U237" s="114" t="b">
        <v>0</v>
      </c>
      <c r="V237" s="114" t="b">
        <v>0</v>
      </c>
      <c r="W237" s="114" t="b">
        <v>0</v>
      </c>
      <c r="X237" s="114" t="b">
        <v>0</v>
      </c>
      <c r="Y237" s="114" t="b">
        <v>0</v>
      </c>
      <c r="Z237" s="114" t="b">
        <v>0</v>
      </c>
      <c r="AA237" s="114" t="b">
        <v>0</v>
      </c>
      <c r="AB237" s="114" t="b">
        <v>0</v>
      </c>
      <c r="AC237" s="114" t="b">
        <v>0</v>
      </c>
      <c r="AD237" s="114" t="b">
        <v>0</v>
      </c>
      <c r="AE237" s="114" t="b">
        <v>0</v>
      </c>
      <c r="AF237" s="114" t="b">
        <v>0</v>
      </c>
      <c r="AG237" s="114" t="b">
        <v>0</v>
      </c>
      <c r="AH237" s="114" t="b">
        <v>0</v>
      </c>
      <c r="AI237" s="114" t="b">
        <v>0</v>
      </c>
      <c r="AJ237" s="114" t="b">
        <v>0</v>
      </c>
      <c r="AK237" s="114" t="b">
        <v>0</v>
      </c>
      <c r="AL237" s="115" t="str">
        <f t="shared" si="1"/>
        <v>0 dari 31 (0%)</v>
      </c>
    </row>
    <row r="238" ht="22.5" customHeight="1">
      <c r="A238" s="2">
        <v>237.0</v>
      </c>
      <c r="B238" s="11"/>
      <c r="C238" s="140"/>
      <c r="D238" s="138"/>
      <c r="E238" s="138"/>
      <c r="F238" s="13"/>
      <c r="G238" s="114" t="b">
        <v>0</v>
      </c>
      <c r="H238" s="114" t="b">
        <v>0</v>
      </c>
      <c r="I238" s="114" t="b">
        <v>0</v>
      </c>
      <c r="J238" s="114" t="b">
        <v>0</v>
      </c>
      <c r="K238" s="114" t="b">
        <v>0</v>
      </c>
      <c r="L238" s="114" t="b">
        <v>0</v>
      </c>
      <c r="M238" s="114" t="b">
        <v>0</v>
      </c>
      <c r="N238" s="114" t="b">
        <v>0</v>
      </c>
      <c r="O238" s="114" t="b">
        <v>0</v>
      </c>
      <c r="P238" s="114" t="b">
        <v>0</v>
      </c>
      <c r="Q238" s="114" t="b">
        <v>0</v>
      </c>
      <c r="R238" s="114" t="b">
        <v>0</v>
      </c>
      <c r="S238" s="114" t="b">
        <v>0</v>
      </c>
      <c r="T238" s="114" t="b">
        <v>0</v>
      </c>
      <c r="U238" s="114" t="b">
        <v>0</v>
      </c>
      <c r="V238" s="114" t="b">
        <v>0</v>
      </c>
      <c r="W238" s="114" t="b">
        <v>0</v>
      </c>
      <c r="X238" s="114" t="b">
        <v>0</v>
      </c>
      <c r="Y238" s="114" t="b">
        <v>0</v>
      </c>
      <c r="Z238" s="114" t="b">
        <v>0</v>
      </c>
      <c r="AA238" s="114" t="b">
        <v>0</v>
      </c>
      <c r="AB238" s="114" t="b">
        <v>0</v>
      </c>
      <c r="AC238" s="114" t="b">
        <v>0</v>
      </c>
      <c r="AD238" s="114" t="b">
        <v>0</v>
      </c>
      <c r="AE238" s="114" t="b">
        <v>0</v>
      </c>
      <c r="AF238" s="114" t="b">
        <v>0</v>
      </c>
      <c r="AG238" s="114" t="b">
        <v>0</v>
      </c>
      <c r="AH238" s="114" t="b">
        <v>0</v>
      </c>
      <c r="AI238" s="114" t="b">
        <v>0</v>
      </c>
      <c r="AJ238" s="114" t="b">
        <v>0</v>
      </c>
      <c r="AK238" s="114" t="b">
        <v>0</v>
      </c>
      <c r="AL238" s="115" t="str">
        <f t="shared" si="1"/>
        <v>0 dari 31 (0%)</v>
      </c>
    </row>
    <row r="239" ht="22.5" customHeight="1">
      <c r="A239" s="10">
        <v>238.0</v>
      </c>
      <c r="B239" s="11"/>
      <c r="C239" s="140"/>
      <c r="D239" s="138"/>
      <c r="E239" s="138"/>
      <c r="F239" s="13"/>
      <c r="G239" s="114" t="b">
        <v>0</v>
      </c>
      <c r="H239" s="114" t="b">
        <v>0</v>
      </c>
      <c r="I239" s="114" t="b">
        <v>0</v>
      </c>
      <c r="J239" s="114" t="b">
        <v>0</v>
      </c>
      <c r="K239" s="114" t="b">
        <v>0</v>
      </c>
      <c r="L239" s="114" t="b">
        <v>0</v>
      </c>
      <c r="M239" s="114" t="b">
        <v>0</v>
      </c>
      <c r="N239" s="114" t="b">
        <v>0</v>
      </c>
      <c r="O239" s="114" t="b">
        <v>0</v>
      </c>
      <c r="P239" s="114" t="b">
        <v>0</v>
      </c>
      <c r="Q239" s="114" t="b">
        <v>0</v>
      </c>
      <c r="R239" s="114" t="b">
        <v>0</v>
      </c>
      <c r="S239" s="114" t="b">
        <v>0</v>
      </c>
      <c r="T239" s="114" t="b">
        <v>0</v>
      </c>
      <c r="U239" s="114" t="b">
        <v>0</v>
      </c>
      <c r="V239" s="114" t="b">
        <v>0</v>
      </c>
      <c r="W239" s="114" t="b">
        <v>0</v>
      </c>
      <c r="X239" s="114" t="b">
        <v>0</v>
      </c>
      <c r="Y239" s="114" t="b">
        <v>0</v>
      </c>
      <c r="Z239" s="114" t="b">
        <v>0</v>
      </c>
      <c r="AA239" s="114" t="b">
        <v>0</v>
      </c>
      <c r="AB239" s="114" t="b">
        <v>0</v>
      </c>
      <c r="AC239" s="114" t="b">
        <v>0</v>
      </c>
      <c r="AD239" s="114" t="b">
        <v>0</v>
      </c>
      <c r="AE239" s="114" t="b">
        <v>0</v>
      </c>
      <c r="AF239" s="114" t="b">
        <v>0</v>
      </c>
      <c r="AG239" s="114" t="b">
        <v>0</v>
      </c>
      <c r="AH239" s="114" t="b">
        <v>0</v>
      </c>
      <c r="AI239" s="114" t="b">
        <v>0</v>
      </c>
      <c r="AJ239" s="114" t="b">
        <v>0</v>
      </c>
      <c r="AK239" s="114" t="b">
        <v>0</v>
      </c>
      <c r="AL239" s="115" t="str">
        <f t="shared" si="1"/>
        <v>0 dari 31 (0%)</v>
      </c>
    </row>
    <row r="240" ht="22.5" customHeight="1">
      <c r="A240" s="10">
        <v>239.0</v>
      </c>
      <c r="B240" s="11"/>
      <c r="C240" s="140"/>
      <c r="D240" s="138"/>
      <c r="E240" s="138"/>
      <c r="F240" s="13"/>
      <c r="G240" s="114" t="b">
        <v>0</v>
      </c>
      <c r="H240" s="114" t="b">
        <v>0</v>
      </c>
      <c r="I240" s="114" t="b">
        <v>0</v>
      </c>
      <c r="J240" s="114" t="b">
        <v>0</v>
      </c>
      <c r="K240" s="114" t="b">
        <v>0</v>
      </c>
      <c r="L240" s="114" t="b">
        <v>0</v>
      </c>
      <c r="M240" s="114" t="b">
        <v>0</v>
      </c>
      <c r="N240" s="114" t="b">
        <v>0</v>
      </c>
      <c r="O240" s="114" t="b">
        <v>0</v>
      </c>
      <c r="P240" s="114" t="b">
        <v>0</v>
      </c>
      <c r="Q240" s="114" t="b">
        <v>0</v>
      </c>
      <c r="R240" s="114" t="b">
        <v>0</v>
      </c>
      <c r="S240" s="114" t="b">
        <v>0</v>
      </c>
      <c r="T240" s="114" t="b">
        <v>0</v>
      </c>
      <c r="U240" s="114" t="b">
        <v>0</v>
      </c>
      <c r="V240" s="114" t="b">
        <v>0</v>
      </c>
      <c r="W240" s="114" t="b">
        <v>0</v>
      </c>
      <c r="X240" s="114" t="b">
        <v>0</v>
      </c>
      <c r="Y240" s="114" t="b">
        <v>0</v>
      </c>
      <c r="Z240" s="114" t="b">
        <v>0</v>
      </c>
      <c r="AA240" s="114" t="b">
        <v>0</v>
      </c>
      <c r="AB240" s="114" t="b">
        <v>0</v>
      </c>
      <c r="AC240" s="114" t="b">
        <v>0</v>
      </c>
      <c r="AD240" s="114" t="b">
        <v>0</v>
      </c>
      <c r="AE240" s="114" t="b">
        <v>0</v>
      </c>
      <c r="AF240" s="114" t="b">
        <v>0</v>
      </c>
      <c r="AG240" s="114" t="b">
        <v>0</v>
      </c>
      <c r="AH240" s="114" t="b">
        <v>0</v>
      </c>
      <c r="AI240" s="114" t="b">
        <v>0</v>
      </c>
      <c r="AJ240" s="114" t="b">
        <v>0</v>
      </c>
      <c r="AK240" s="114" t="b">
        <v>0</v>
      </c>
      <c r="AL240" s="115" t="str">
        <f t="shared" si="1"/>
        <v>0 dari 31 (0%)</v>
      </c>
    </row>
    <row r="241" ht="22.5" customHeight="1">
      <c r="A241" s="2">
        <v>240.0</v>
      </c>
      <c r="B241" s="11"/>
      <c r="C241" s="140"/>
      <c r="D241" s="138"/>
      <c r="E241" s="138"/>
      <c r="F241" s="13"/>
      <c r="G241" s="114" t="b">
        <v>0</v>
      </c>
      <c r="H241" s="114" t="b">
        <v>0</v>
      </c>
      <c r="I241" s="114" t="b">
        <v>0</v>
      </c>
      <c r="J241" s="114" t="b">
        <v>0</v>
      </c>
      <c r="K241" s="114" t="b">
        <v>0</v>
      </c>
      <c r="L241" s="114" t="b">
        <v>0</v>
      </c>
      <c r="M241" s="114" t="b">
        <v>0</v>
      </c>
      <c r="N241" s="114" t="b">
        <v>0</v>
      </c>
      <c r="O241" s="114" t="b">
        <v>0</v>
      </c>
      <c r="P241" s="114" t="b">
        <v>0</v>
      </c>
      <c r="Q241" s="114" t="b">
        <v>0</v>
      </c>
      <c r="R241" s="114" t="b">
        <v>0</v>
      </c>
      <c r="S241" s="114" t="b">
        <v>0</v>
      </c>
      <c r="T241" s="114" t="b">
        <v>0</v>
      </c>
      <c r="U241" s="114" t="b">
        <v>0</v>
      </c>
      <c r="V241" s="114" t="b">
        <v>0</v>
      </c>
      <c r="W241" s="114" t="b">
        <v>0</v>
      </c>
      <c r="X241" s="114" t="b">
        <v>0</v>
      </c>
      <c r="Y241" s="114" t="b">
        <v>0</v>
      </c>
      <c r="Z241" s="114" t="b">
        <v>0</v>
      </c>
      <c r="AA241" s="114" t="b">
        <v>0</v>
      </c>
      <c r="AB241" s="114" t="b">
        <v>0</v>
      </c>
      <c r="AC241" s="114" t="b">
        <v>0</v>
      </c>
      <c r="AD241" s="114" t="b">
        <v>0</v>
      </c>
      <c r="AE241" s="114" t="b">
        <v>0</v>
      </c>
      <c r="AF241" s="114" t="b">
        <v>0</v>
      </c>
      <c r="AG241" s="114" t="b">
        <v>0</v>
      </c>
      <c r="AH241" s="114" t="b">
        <v>0</v>
      </c>
      <c r="AI241" s="114" t="b">
        <v>0</v>
      </c>
      <c r="AJ241" s="114" t="b">
        <v>0</v>
      </c>
      <c r="AK241" s="114" t="b">
        <v>0</v>
      </c>
      <c r="AL241" s="115" t="str">
        <f t="shared" si="1"/>
        <v>0 dari 31 (0%)</v>
      </c>
    </row>
    <row r="242" ht="22.5" customHeight="1">
      <c r="A242" s="10">
        <v>241.0</v>
      </c>
      <c r="B242" s="11"/>
      <c r="C242" s="140"/>
      <c r="D242" s="138"/>
      <c r="E242" s="138"/>
      <c r="F242" s="13"/>
      <c r="G242" s="114" t="b">
        <v>0</v>
      </c>
      <c r="H242" s="114" t="b">
        <v>0</v>
      </c>
      <c r="I242" s="114" t="b">
        <v>0</v>
      </c>
      <c r="J242" s="114" t="b">
        <v>0</v>
      </c>
      <c r="K242" s="114" t="b">
        <v>0</v>
      </c>
      <c r="L242" s="114" t="b">
        <v>0</v>
      </c>
      <c r="M242" s="114" t="b">
        <v>0</v>
      </c>
      <c r="N242" s="114" t="b">
        <v>0</v>
      </c>
      <c r="O242" s="114" t="b">
        <v>0</v>
      </c>
      <c r="P242" s="114" t="b">
        <v>0</v>
      </c>
      <c r="Q242" s="114" t="b">
        <v>0</v>
      </c>
      <c r="R242" s="114" t="b">
        <v>0</v>
      </c>
      <c r="S242" s="114" t="b">
        <v>0</v>
      </c>
      <c r="T242" s="114" t="b">
        <v>0</v>
      </c>
      <c r="U242" s="114" t="b">
        <v>0</v>
      </c>
      <c r="V242" s="114" t="b">
        <v>0</v>
      </c>
      <c r="W242" s="114" t="b">
        <v>0</v>
      </c>
      <c r="X242" s="114" t="b">
        <v>0</v>
      </c>
      <c r="Y242" s="114" t="b">
        <v>0</v>
      </c>
      <c r="Z242" s="114" t="b">
        <v>0</v>
      </c>
      <c r="AA242" s="114" t="b">
        <v>0</v>
      </c>
      <c r="AB242" s="114" t="b">
        <v>0</v>
      </c>
      <c r="AC242" s="114" t="b">
        <v>0</v>
      </c>
      <c r="AD242" s="114" t="b">
        <v>0</v>
      </c>
      <c r="AE242" s="114" t="b">
        <v>0</v>
      </c>
      <c r="AF242" s="114" t="b">
        <v>0</v>
      </c>
      <c r="AG242" s="114" t="b">
        <v>0</v>
      </c>
      <c r="AH242" s="114" t="b">
        <v>0</v>
      </c>
      <c r="AI242" s="114" t="b">
        <v>0</v>
      </c>
      <c r="AJ242" s="114" t="b">
        <v>0</v>
      </c>
      <c r="AK242" s="114" t="b">
        <v>0</v>
      </c>
      <c r="AL242" s="115" t="str">
        <f t="shared" si="1"/>
        <v>0 dari 31 (0%)</v>
      </c>
    </row>
    <row r="243" ht="22.5" customHeight="1">
      <c r="A243" s="2">
        <v>242.0</v>
      </c>
      <c r="B243" s="11"/>
      <c r="C243" s="140"/>
      <c r="D243" s="138"/>
      <c r="E243" s="138"/>
      <c r="F243" s="13"/>
      <c r="G243" s="114" t="b">
        <v>0</v>
      </c>
      <c r="H243" s="114" t="b">
        <v>0</v>
      </c>
      <c r="I243" s="114" t="b">
        <v>0</v>
      </c>
      <c r="J243" s="114" t="b">
        <v>0</v>
      </c>
      <c r="K243" s="114" t="b">
        <v>0</v>
      </c>
      <c r="L243" s="114" t="b">
        <v>0</v>
      </c>
      <c r="M243" s="114" t="b">
        <v>0</v>
      </c>
      <c r="N243" s="114" t="b">
        <v>0</v>
      </c>
      <c r="O243" s="114" t="b">
        <v>0</v>
      </c>
      <c r="P243" s="114" t="b">
        <v>0</v>
      </c>
      <c r="Q243" s="114" t="b">
        <v>0</v>
      </c>
      <c r="R243" s="114" t="b">
        <v>0</v>
      </c>
      <c r="S243" s="114" t="b">
        <v>0</v>
      </c>
      <c r="T243" s="114" t="b">
        <v>0</v>
      </c>
      <c r="U243" s="114" t="b">
        <v>0</v>
      </c>
      <c r="V243" s="114" t="b">
        <v>0</v>
      </c>
      <c r="W243" s="114" t="b">
        <v>0</v>
      </c>
      <c r="X243" s="114" t="b">
        <v>0</v>
      </c>
      <c r="Y243" s="114" t="b">
        <v>0</v>
      </c>
      <c r="Z243" s="114" t="b">
        <v>0</v>
      </c>
      <c r="AA243" s="114" t="b">
        <v>0</v>
      </c>
      <c r="AB243" s="114" t="b">
        <v>0</v>
      </c>
      <c r="AC243" s="114" t="b">
        <v>0</v>
      </c>
      <c r="AD243" s="114" t="b">
        <v>0</v>
      </c>
      <c r="AE243" s="114" t="b">
        <v>0</v>
      </c>
      <c r="AF243" s="114" t="b">
        <v>0</v>
      </c>
      <c r="AG243" s="114" t="b">
        <v>0</v>
      </c>
      <c r="AH243" s="114" t="b">
        <v>0</v>
      </c>
      <c r="AI243" s="114" t="b">
        <v>0</v>
      </c>
      <c r="AJ243" s="114" t="b">
        <v>0</v>
      </c>
      <c r="AK243" s="114" t="b">
        <v>0</v>
      </c>
      <c r="AL243" s="115" t="str">
        <f t="shared" si="1"/>
        <v>0 dari 31 (0%)</v>
      </c>
    </row>
    <row r="244" ht="22.5" customHeight="1">
      <c r="A244" s="10">
        <v>243.0</v>
      </c>
      <c r="B244" s="11"/>
      <c r="C244" s="140"/>
      <c r="D244" s="138"/>
      <c r="E244" s="138"/>
      <c r="F244" s="13"/>
      <c r="G244" s="114" t="b">
        <v>0</v>
      </c>
      <c r="H244" s="114" t="b">
        <v>0</v>
      </c>
      <c r="I244" s="114" t="b">
        <v>0</v>
      </c>
      <c r="J244" s="114" t="b">
        <v>0</v>
      </c>
      <c r="K244" s="114" t="b">
        <v>0</v>
      </c>
      <c r="L244" s="114" t="b">
        <v>0</v>
      </c>
      <c r="M244" s="114" t="b">
        <v>0</v>
      </c>
      <c r="N244" s="114" t="b">
        <v>0</v>
      </c>
      <c r="O244" s="114" t="b">
        <v>0</v>
      </c>
      <c r="P244" s="114" t="b">
        <v>0</v>
      </c>
      <c r="Q244" s="114" t="b">
        <v>0</v>
      </c>
      <c r="R244" s="114" t="b">
        <v>0</v>
      </c>
      <c r="S244" s="114" t="b">
        <v>0</v>
      </c>
      <c r="T244" s="114" t="b">
        <v>0</v>
      </c>
      <c r="U244" s="114" t="b">
        <v>0</v>
      </c>
      <c r="V244" s="114" t="b">
        <v>0</v>
      </c>
      <c r="W244" s="114" t="b">
        <v>0</v>
      </c>
      <c r="X244" s="114" t="b">
        <v>0</v>
      </c>
      <c r="Y244" s="114" t="b">
        <v>0</v>
      </c>
      <c r="Z244" s="114" t="b">
        <v>0</v>
      </c>
      <c r="AA244" s="114" t="b">
        <v>0</v>
      </c>
      <c r="AB244" s="114" t="b">
        <v>0</v>
      </c>
      <c r="AC244" s="114" t="b">
        <v>0</v>
      </c>
      <c r="AD244" s="114" t="b">
        <v>0</v>
      </c>
      <c r="AE244" s="114" t="b">
        <v>0</v>
      </c>
      <c r="AF244" s="114" t="b">
        <v>0</v>
      </c>
      <c r="AG244" s="114" t="b">
        <v>0</v>
      </c>
      <c r="AH244" s="114" t="b">
        <v>0</v>
      </c>
      <c r="AI244" s="114" t="b">
        <v>0</v>
      </c>
      <c r="AJ244" s="114" t="b">
        <v>0</v>
      </c>
      <c r="AK244" s="114" t="b">
        <v>0</v>
      </c>
      <c r="AL244" s="115" t="str">
        <f t="shared" si="1"/>
        <v>0 dari 31 (0%)</v>
      </c>
    </row>
    <row r="245" ht="22.5" customHeight="1">
      <c r="A245" s="10">
        <v>244.0</v>
      </c>
      <c r="B245" s="11"/>
      <c r="C245" s="140"/>
      <c r="D245" s="138"/>
      <c r="E245" s="138"/>
      <c r="F245" s="13"/>
      <c r="G245" s="114" t="b">
        <v>0</v>
      </c>
      <c r="H245" s="114" t="b">
        <v>0</v>
      </c>
      <c r="I245" s="114" t="b">
        <v>0</v>
      </c>
      <c r="J245" s="114" t="b">
        <v>0</v>
      </c>
      <c r="K245" s="114" t="b">
        <v>0</v>
      </c>
      <c r="L245" s="114" t="b">
        <v>0</v>
      </c>
      <c r="M245" s="114" t="b">
        <v>0</v>
      </c>
      <c r="N245" s="114" t="b">
        <v>0</v>
      </c>
      <c r="O245" s="114" t="b">
        <v>0</v>
      </c>
      <c r="P245" s="114" t="b">
        <v>0</v>
      </c>
      <c r="Q245" s="114" t="b">
        <v>0</v>
      </c>
      <c r="R245" s="114" t="b">
        <v>0</v>
      </c>
      <c r="S245" s="114" t="b">
        <v>0</v>
      </c>
      <c r="T245" s="114" t="b">
        <v>0</v>
      </c>
      <c r="U245" s="114" t="b">
        <v>0</v>
      </c>
      <c r="V245" s="114" t="b">
        <v>0</v>
      </c>
      <c r="W245" s="114" t="b">
        <v>0</v>
      </c>
      <c r="X245" s="114" t="b">
        <v>0</v>
      </c>
      <c r="Y245" s="114" t="b">
        <v>0</v>
      </c>
      <c r="Z245" s="114" t="b">
        <v>0</v>
      </c>
      <c r="AA245" s="114" t="b">
        <v>0</v>
      </c>
      <c r="AB245" s="114" t="b">
        <v>0</v>
      </c>
      <c r="AC245" s="114" t="b">
        <v>0</v>
      </c>
      <c r="AD245" s="114" t="b">
        <v>0</v>
      </c>
      <c r="AE245" s="114" t="b">
        <v>0</v>
      </c>
      <c r="AF245" s="114" t="b">
        <v>0</v>
      </c>
      <c r="AG245" s="114" t="b">
        <v>0</v>
      </c>
      <c r="AH245" s="114" t="b">
        <v>0</v>
      </c>
      <c r="AI245" s="114" t="b">
        <v>0</v>
      </c>
      <c r="AJ245" s="114" t="b">
        <v>0</v>
      </c>
      <c r="AK245" s="114" t="b">
        <v>0</v>
      </c>
      <c r="AL245" s="115" t="str">
        <f t="shared" si="1"/>
        <v>0 dari 31 (0%)</v>
      </c>
    </row>
    <row r="246" ht="22.5" customHeight="1">
      <c r="A246" s="2">
        <v>245.0</v>
      </c>
      <c r="B246" s="11"/>
      <c r="C246" s="140"/>
      <c r="D246" s="138"/>
      <c r="E246" s="138"/>
      <c r="F246" s="13"/>
      <c r="G246" s="114" t="b">
        <v>0</v>
      </c>
      <c r="H246" s="114" t="b">
        <v>0</v>
      </c>
      <c r="I246" s="114" t="b">
        <v>0</v>
      </c>
      <c r="J246" s="114" t="b">
        <v>0</v>
      </c>
      <c r="K246" s="114" t="b">
        <v>0</v>
      </c>
      <c r="L246" s="114" t="b">
        <v>0</v>
      </c>
      <c r="M246" s="114" t="b">
        <v>0</v>
      </c>
      <c r="N246" s="114" t="b">
        <v>0</v>
      </c>
      <c r="O246" s="114" t="b">
        <v>0</v>
      </c>
      <c r="P246" s="114" t="b">
        <v>0</v>
      </c>
      <c r="Q246" s="114" t="b">
        <v>0</v>
      </c>
      <c r="R246" s="114" t="b">
        <v>0</v>
      </c>
      <c r="S246" s="114" t="b">
        <v>0</v>
      </c>
      <c r="T246" s="114" t="b">
        <v>0</v>
      </c>
      <c r="U246" s="114" t="b">
        <v>0</v>
      </c>
      <c r="V246" s="114" t="b">
        <v>0</v>
      </c>
      <c r="W246" s="114" t="b">
        <v>0</v>
      </c>
      <c r="X246" s="114" t="b">
        <v>0</v>
      </c>
      <c r="Y246" s="114" t="b">
        <v>0</v>
      </c>
      <c r="Z246" s="114" t="b">
        <v>0</v>
      </c>
      <c r="AA246" s="114" t="b">
        <v>0</v>
      </c>
      <c r="AB246" s="114" t="b">
        <v>0</v>
      </c>
      <c r="AC246" s="114" t="b">
        <v>0</v>
      </c>
      <c r="AD246" s="114" t="b">
        <v>0</v>
      </c>
      <c r="AE246" s="114" t="b">
        <v>0</v>
      </c>
      <c r="AF246" s="114" t="b">
        <v>0</v>
      </c>
      <c r="AG246" s="114" t="b">
        <v>0</v>
      </c>
      <c r="AH246" s="114" t="b">
        <v>0</v>
      </c>
      <c r="AI246" s="114" t="b">
        <v>0</v>
      </c>
      <c r="AJ246" s="114" t="b">
        <v>0</v>
      </c>
      <c r="AK246" s="114" t="b">
        <v>0</v>
      </c>
      <c r="AL246" s="115" t="str">
        <f t="shared" si="1"/>
        <v>0 dari 31 (0%)</v>
      </c>
    </row>
    <row r="247" ht="22.5" customHeight="1">
      <c r="A247" s="10">
        <v>246.0</v>
      </c>
      <c r="B247" s="11"/>
      <c r="C247" s="140"/>
      <c r="D247" s="138"/>
      <c r="E247" s="138"/>
      <c r="F247" s="13"/>
      <c r="G247" s="114" t="b">
        <v>0</v>
      </c>
      <c r="H247" s="114" t="b">
        <v>0</v>
      </c>
      <c r="I247" s="114" t="b">
        <v>0</v>
      </c>
      <c r="J247" s="114" t="b">
        <v>0</v>
      </c>
      <c r="K247" s="114" t="b">
        <v>0</v>
      </c>
      <c r="L247" s="114" t="b">
        <v>0</v>
      </c>
      <c r="M247" s="114" t="b">
        <v>0</v>
      </c>
      <c r="N247" s="114" t="b">
        <v>0</v>
      </c>
      <c r="O247" s="114" t="b">
        <v>0</v>
      </c>
      <c r="P247" s="114" t="b">
        <v>0</v>
      </c>
      <c r="Q247" s="114" t="b">
        <v>0</v>
      </c>
      <c r="R247" s="114" t="b">
        <v>0</v>
      </c>
      <c r="S247" s="114" t="b">
        <v>0</v>
      </c>
      <c r="T247" s="114" t="b">
        <v>0</v>
      </c>
      <c r="U247" s="114" t="b">
        <v>0</v>
      </c>
      <c r="V247" s="114" t="b">
        <v>0</v>
      </c>
      <c r="W247" s="114" t="b">
        <v>0</v>
      </c>
      <c r="X247" s="114" t="b">
        <v>0</v>
      </c>
      <c r="Y247" s="114" t="b">
        <v>0</v>
      </c>
      <c r="Z247" s="114" t="b">
        <v>0</v>
      </c>
      <c r="AA247" s="114" t="b">
        <v>0</v>
      </c>
      <c r="AB247" s="114" t="b">
        <v>0</v>
      </c>
      <c r="AC247" s="114" t="b">
        <v>0</v>
      </c>
      <c r="AD247" s="114" t="b">
        <v>0</v>
      </c>
      <c r="AE247" s="114" t="b">
        <v>0</v>
      </c>
      <c r="AF247" s="114" t="b">
        <v>0</v>
      </c>
      <c r="AG247" s="114" t="b">
        <v>0</v>
      </c>
      <c r="AH247" s="114" t="b">
        <v>0</v>
      </c>
      <c r="AI247" s="114" t="b">
        <v>0</v>
      </c>
      <c r="AJ247" s="114" t="b">
        <v>0</v>
      </c>
      <c r="AK247" s="114" t="b">
        <v>0</v>
      </c>
      <c r="AL247" s="115" t="str">
        <f t="shared" si="1"/>
        <v>0 dari 31 (0%)</v>
      </c>
    </row>
    <row r="248" ht="22.5" customHeight="1">
      <c r="A248" s="2">
        <v>247.0</v>
      </c>
      <c r="B248" s="11"/>
      <c r="C248" s="140"/>
      <c r="D248" s="138"/>
      <c r="E248" s="138"/>
      <c r="F248" s="13"/>
      <c r="G248" s="114" t="b">
        <v>0</v>
      </c>
      <c r="H248" s="114" t="b">
        <v>0</v>
      </c>
      <c r="I248" s="114" t="b">
        <v>0</v>
      </c>
      <c r="J248" s="114" t="b">
        <v>0</v>
      </c>
      <c r="K248" s="114" t="b">
        <v>0</v>
      </c>
      <c r="L248" s="114" t="b">
        <v>0</v>
      </c>
      <c r="M248" s="114" t="b">
        <v>0</v>
      </c>
      <c r="N248" s="114" t="b">
        <v>0</v>
      </c>
      <c r="O248" s="114" t="b">
        <v>0</v>
      </c>
      <c r="P248" s="114" t="b">
        <v>0</v>
      </c>
      <c r="Q248" s="114" t="b">
        <v>0</v>
      </c>
      <c r="R248" s="114" t="b">
        <v>0</v>
      </c>
      <c r="S248" s="114" t="b">
        <v>0</v>
      </c>
      <c r="T248" s="114" t="b">
        <v>0</v>
      </c>
      <c r="U248" s="114" t="b">
        <v>0</v>
      </c>
      <c r="V248" s="114" t="b">
        <v>0</v>
      </c>
      <c r="W248" s="114" t="b">
        <v>0</v>
      </c>
      <c r="X248" s="114" t="b">
        <v>0</v>
      </c>
      <c r="Y248" s="114" t="b">
        <v>0</v>
      </c>
      <c r="Z248" s="114" t="b">
        <v>0</v>
      </c>
      <c r="AA248" s="114" t="b">
        <v>0</v>
      </c>
      <c r="AB248" s="114" t="b">
        <v>0</v>
      </c>
      <c r="AC248" s="114" t="b">
        <v>0</v>
      </c>
      <c r="AD248" s="114" t="b">
        <v>0</v>
      </c>
      <c r="AE248" s="114" t="b">
        <v>0</v>
      </c>
      <c r="AF248" s="114" t="b">
        <v>0</v>
      </c>
      <c r="AG248" s="114" t="b">
        <v>0</v>
      </c>
      <c r="AH248" s="114" t="b">
        <v>0</v>
      </c>
      <c r="AI248" s="114" t="b">
        <v>0</v>
      </c>
      <c r="AJ248" s="114" t="b">
        <v>0</v>
      </c>
      <c r="AK248" s="114" t="b">
        <v>0</v>
      </c>
      <c r="AL248" s="115" t="str">
        <f t="shared" si="1"/>
        <v>0 dari 31 (0%)</v>
      </c>
    </row>
    <row r="249" ht="22.5" customHeight="1">
      <c r="A249" s="10">
        <v>248.0</v>
      </c>
      <c r="B249" s="11"/>
      <c r="C249" s="140"/>
      <c r="D249" s="138"/>
      <c r="E249" s="138"/>
      <c r="F249" s="13"/>
      <c r="G249" s="114" t="b">
        <v>0</v>
      </c>
      <c r="H249" s="114" t="b">
        <v>0</v>
      </c>
      <c r="I249" s="114" t="b">
        <v>0</v>
      </c>
      <c r="J249" s="114" t="b">
        <v>0</v>
      </c>
      <c r="K249" s="114" t="b">
        <v>0</v>
      </c>
      <c r="L249" s="114" t="b">
        <v>0</v>
      </c>
      <c r="M249" s="114" t="b">
        <v>0</v>
      </c>
      <c r="N249" s="114" t="b">
        <v>0</v>
      </c>
      <c r="O249" s="114" t="b">
        <v>0</v>
      </c>
      <c r="P249" s="114" t="b">
        <v>0</v>
      </c>
      <c r="Q249" s="114" t="b">
        <v>0</v>
      </c>
      <c r="R249" s="114" t="b">
        <v>0</v>
      </c>
      <c r="S249" s="114" t="b">
        <v>0</v>
      </c>
      <c r="T249" s="114" t="b">
        <v>0</v>
      </c>
      <c r="U249" s="114" t="b">
        <v>0</v>
      </c>
      <c r="V249" s="114" t="b">
        <v>0</v>
      </c>
      <c r="W249" s="114" t="b">
        <v>0</v>
      </c>
      <c r="X249" s="114" t="b">
        <v>0</v>
      </c>
      <c r="Y249" s="114" t="b">
        <v>0</v>
      </c>
      <c r="Z249" s="114" t="b">
        <v>0</v>
      </c>
      <c r="AA249" s="114" t="b">
        <v>0</v>
      </c>
      <c r="AB249" s="114" t="b">
        <v>0</v>
      </c>
      <c r="AC249" s="114" t="b">
        <v>0</v>
      </c>
      <c r="AD249" s="114" t="b">
        <v>0</v>
      </c>
      <c r="AE249" s="114" t="b">
        <v>0</v>
      </c>
      <c r="AF249" s="114" t="b">
        <v>0</v>
      </c>
      <c r="AG249" s="114" t="b">
        <v>0</v>
      </c>
      <c r="AH249" s="114" t="b">
        <v>0</v>
      </c>
      <c r="AI249" s="114" t="b">
        <v>0</v>
      </c>
      <c r="AJ249" s="114" t="b">
        <v>0</v>
      </c>
      <c r="AK249" s="114" t="b">
        <v>0</v>
      </c>
      <c r="AL249" s="115" t="str">
        <f t="shared" si="1"/>
        <v>0 dari 31 (0%)</v>
      </c>
    </row>
    <row r="250" ht="22.5" customHeight="1">
      <c r="A250" s="10">
        <v>249.0</v>
      </c>
      <c r="B250" s="11"/>
      <c r="C250" s="140"/>
      <c r="D250" s="138"/>
      <c r="E250" s="138"/>
      <c r="F250" s="13"/>
      <c r="G250" s="114" t="b">
        <v>0</v>
      </c>
      <c r="H250" s="114" t="b">
        <v>0</v>
      </c>
      <c r="I250" s="114" t="b">
        <v>0</v>
      </c>
      <c r="J250" s="114" t="b">
        <v>0</v>
      </c>
      <c r="K250" s="114" t="b">
        <v>0</v>
      </c>
      <c r="L250" s="114" t="b">
        <v>0</v>
      </c>
      <c r="M250" s="114" t="b">
        <v>0</v>
      </c>
      <c r="N250" s="114" t="b">
        <v>0</v>
      </c>
      <c r="O250" s="114" t="b">
        <v>0</v>
      </c>
      <c r="P250" s="114" t="b">
        <v>0</v>
      </c>
      <c r="Q250" s="114" t="b">
        <v>0</v>
      </c>
      <c r="R250" s="114" t="b">
        <v>0</v>
      </c>
      <c r="S250" s="114" t="b">
        <v>0</v>
      </c>
      <c r="T250" s="114" t="b">
        <v>0</v>
      </c>
      <c r="U250" s="114" t="b">
        <v>0</v>
      </c>
      <c r="V250" s="114" t="b">
        <v>0</v>
      </c>
      <c r="W250" s="114" t="b">
        <v>0</v>
      </c>
      <c r="X250" s="114" t="b">
        <v>0</v>
      </c>
      <c r="Y250" s="114" t="b">
        <v>0</v>
      </c>
      <c r="Z250" s="114" t="b">
        <v>0</v>
      </c>
      <c r="AA250" s="114" t="b">
        <v>0</v>
      </c>
      <c r="AB250" s="114" t="b">
        <v>0</v>
      </c>
      <c r="AC250" s="114" t="b">
        <v>0</v>
      </c>
      <c r="AD250" s="114" t="b">
        <v>0</v>
      </c>
      <c r="AE250" s="114" t="b">
        <v>0</v>
      </c>
      <c r="AF250" s="114" t="b">
        <v>0</v>
      </c>
      <c r="AG250" s="114" t="b">
        <v>0</v>
      </c>
      <c r="AH250" s="114" t="b">
        <v>0</v>
      </c>
      <c r="AI250" s="114" t="b">
        <v>0</v>
      </c>
      <c r="AJ250" s="114" t="b">
        <v>0</v>
      </c>
      <c r="AK250" s="114" t="b">
        <v>0</v>
      </c>
      <c r="AL250" s="115" t="str">
        <f t="shared" si="1"/>
        <v>0 dari 31 (0%)</v>
      </c>
    </row>
    <row r="251" ht="22.5" customHeight="1">
      <c r="A251" s="2">
        <v>250.0</v>
      </c>
      <c r="B251" s="11"/>
      <c r="C251" s="140"/>
      <c r="D251" s="138"/>
      <c r="E251" s="138"/>
      <c r="F251" s="13"/>
      <c r="G251" s="114" t="b">
        <v>0</v>
      </c>
      <c r="H251" s="114" t="b">
        <v>0</v>
      </c>
      <c r="I251" s="114" t="b">
        <v>0</v>
      </c>
      <c r="J251" s="114" t="b">
        <v>0</v>
      </c>
      <c r="K251" s="114" t="b">
        <v>0</v>
      </c>
      <c r="L251" s="114" t="b">
        <v>0</v>
      </c>
      <c r="M251" s="114" t="b">
        <v>0</v>
      </c>
      <c r="N251" s="114" t="b">
        <v>0</v>
      </c>
      <c r="O251" s="114" t="b">
        <v>0</v>
      </c>
      <c r="P251" s="114" t="b">
        <v>0</v>
      </c>
      <c r="Q251" s="114" t="b">
        <v>0</v>
      </c>
      <c r="R251" s="114" t="b">
        <v>0</v>
      </c>
      <c r="S251" s="114" t="b">
        <v>0</v>
      </c>
      <c r="T251" s="114" t="b">
        <v>0</v>
      </c>
      <c r="U251" s="114" t="b">
        <v>0</v>
      </c>
      <c r="V251" s="114" t="b">
        <v>0</v>
      </c>
      <c r="W251" s="114" t="b">
        <v>0</v>
      </c>
      <c r="X251" s="114" t="b">
        <v>0</v>
      </c>
      <c r="Y251" s="114" t="b">
        <v>0</v>
      </c>
      <c r="Z251" s="114" t="b">
        <v>0</v>
      </c>
      <c r="AA251" s="114" t="b">
        <v>0</v>
      </c>
      <c r="AB251" s="114" t="b">
        <v>0</v>
      </c>
      <c r="AC251" s="114" t="b">
        <v>0</v>
      </c>
      <c r="AD251" s="114" t="b">
        <v>0</v>
      </c>
      <c r="AE251" s="114" t="b">
        <v>0</v>
      </c>
      <c r="AF251" s="114" t="b">
        <v>0</v>
      </c>
      <c r="AG251" s="114" t="b">
        <v>0</v>
      </c>
      <c r="AH251" s="114" t="b">
        <v>0</v>
      </c>
      <c r="AI251" s="114" t="b">
        <v>0</v>
      </c>
      <c r="AJ251" s="114" t="b">
        <v>0</v>
      </c>
      <c r="AK251" s="114" t="b">
        <v>0</v>
      </c>
      <c r="AL251" s="115" t="str">
        <f t="shared" si="1"/>
        <v>0 dari 31 (0%)</v>
      </c>
    </row>
    <row r="252" ht="22.5" customHeight="1">
      <c r="A252" s="10">
        <v>251.0</v>
      </c>
      <c r="B252" s="11"/>
      <c r="C252" s="140"/>
      <c r="D252" s="138"/>
      <c r="E252" s="138"/>
      <c r="F252" s="13"/>
      <c r="G252" s="114" t="b">
        <v>0</v>
      </c>
      <c r="H252" s="114" t="b">
        <v>0</v>
      </c>
      <c r="I252" s="114" t="b">
        <v>0</v>
      </c>
      <c r="J252" s="114" t="b">
        <v>0</v>
      </c>
      <c r="K252" s="114" t="b">
        <v>0</v>
      </c>
      <c r="L252" s="114" t="b">
        <v>0</v>
      </c>
      <c r="M252" s="114" t="b">
        <v>0</v>
      </c>
      <c r="N252" s="114" t="b">
        <v>0</v>
      </c>
      <c r="O252" s="114" t="b">
        <v>0</v>
      </c>
      <c r="P252" s="114" t="b">
        <v>0</v>
      </c>
      <c r="Q252" s="114" t="b">
        <v>0</v>
      </c>
      <c r="R252" s="114" t="b">
        <v>0</v>
      </c>
      <c r="S252" s="114" t="b">
        <v>0</v>
      </c>
      <c r="T252" s="114" t="b">
        <v>0</v>
      </c>
      <c r="U252" s="114" t="b">
        <v>0</v>
      </c>
      <c r="V252" s="114" t="b">
        <v>0</v>
      </c>
      <c r="W252" s="114" t="b">
        <v>0</v>
      </c>
      <c r="X252" s="114" t="b">
        <v>0</v>
      </c>
      <c r="Y252" s="114" t="b">
        <v>0</v>
      </c>
      <c r="Z252" s="114" t="b">
        <v>0</v>
      </c>
      <c r="AA252" s="114" t="b">
        <v>0</v>
      </c>
      <c r="AB252" s="114" t="b">
        <v>0</v>
      </c>
      <c r="AC252" s="114" t="b">
        <v>0</v>
      </c>
      <c r="AD252" s="114" t="b">
        <v>0</v>
      </c>
      <c r="AE252" s="114" t="b">
        <v>0</v>
      </c>
      <c r="AF252" s="114" t="b">
        <v>0</v>
      </c>
      <c r="AG252" s="114" t="b">
        <v>0</v>
      </c>
      <c r="AH252" s="114" t="b">
        <v>0</v>
      </c>
      <c r="AI252" s="114" t="b">
        <v>0</v>
      </c>
      <c r="AJ252" s="114" t="b">
        <v>0</v>
      </c>
      <c r="AK252" s="114" t="b">
        <v>0</v>
      </c>
      <c r="AL252" s="115" t="str">
        <f t="shared" si="1"/>
        <v>0 dari 31 (0%)</v>
      </c>
    </row>
    <row r="253" ht="22.5" customHeight="1">
      <c r="A253" s="2">
        <v>252.0</v>
      </c>
      <c r="B253" s="11"/>
      <c r="C253" s="140"/>
      <c r="D253" s="138"/>
      <c r="E253" s="138"/>
      <c r="F253" s="13"/>
      <c r="G253" s="114" t="b">
        <v>0</v>
      </c>
      <c r="H253" s="114" t="b">
        <v>0</v>
      </c>
      <c r="I253" s="114" t="b">
        <v>0</v>
      </c>
      <c r="J253" s="114" t="b">
        <v>0</v>
      </c>
      <c r="K253" s="114" t="b">
        <v>0</v>
      </c>
      <c r="L253" s="114" t="b">
        <v>0</v>
      </c>
      <c r="M253" s="114" t="b">
        <v>0</v>
      </c>
      <c r="N253" s="114" t="b">
        <v>0</v>
      </c>
      <c r="O253" s="114" t="b">
        <v>0</v>
      </c>
      <c r="P253" s="114" t="b">
        <v>0</v>
      </c>
      <c r="Q253" s="114" t="b">
        <v>0</v>
      </c>
      <c r="R253" s="114" t="b">
        <v>0</v>
      </c>
      <c r="S253" s="114" t="b">
        <v>0</v>
      </c>
      <c r="T253" s="114" t="b">
        <v>0</v>
      </c>
      <c r="U253" s="114" t="b">
        <v>0</v>
      </c>
      <c r="V253" s="114" t="b">
        <v>0</v>
      </c>
      <c r="W253" s="114" t="b">
        <v>0</v>
      </c>
      <c r="X253" s="114" t="b">
        <v>0</v>
      </c>
      <c r="Y253" s="114" t="b">
        <v>0</v>
      </c>
      <c r="Z253" s="114" t="b">
        <v>0</v>
      </c>
      <c r="AA253" s="114" t="b">
        <v>0</v>
      </c>
      <c r="AB253" s="114" t="b">
        <v>0</v>
      </c>
      <c r="AC253" s="114" t="b">
        <v>0</v>
      </c>
      <c r="AD253" s="114" t="b">
        <v>0</v>
      </c>
      <c r="AE253" s="114" t="b">
        <v>0</v>
      </c>
      <c r="AF253" s="114" t="b">
        <v>0</v>
      </c>
      <c r="AG253" s="114" t="b">
        <v>0</v>
      </c>
      <c r="AH253" s="114" t="b">
        <v>0</v>
      </c>
      <c r="AI253" s="114" t="b">
        <v>0</v>
      </c>
      <c r="AJ253" s="114" t="b">
        <v>0</v>
      </c>
      <c r="AK253" s="114" t="b">
        <v>0</v>
      </c>
      <c r="AL253" s="115" t="str">
        <f t="shared" si="1"/>
        <v>0 dari 31 (0%)</v>
      </c>
    </row>
    <row r="254" ht="22.5" customHeight="1">
      <c r="A254" s="10">
        <v>253.0</v>
      </c>
      <c r="B254" s="11"/>
      <c r="C254" s="140"/>
      <c r="D254" s="138"/>
      <c r="E254" s="138"/>
      <c r="F254" s="13"/>
      <c r="G254" s="114" t="b">
        <v>0</v>
      </c>
      <c r="H254" s="114" t="b">
        <v>0</v>
      </c>
      <c r="I254" s="114" t="b">
        <v>0</v>
      </c>
      <c r="J254" s="114" t="b">
        <v>0</v>
      </c>
      <c r="K254" s="114" t="b">
        <v>0</v>
      </c>
      <c r="L254" s="114" t="b">
        <v>0</v>
      </c>
      <c r="M254" s="114" t="b">
        <v>0</v>
      </c>
      <c r="N254" s="114" t="b">
        <v>0</v>
      </c>
      <c r="O254" s="114" t="b">
        <v>0</v>
      </c>
      <c r="P254" s="114" t="b">
        <v>0</v>
      </c>
      <c r="Q254" s="114" t="b">
        <v>0</v>
      </c>
      <c r="R254" s="114" t="b">
        <v>0</v>
      </c>
      <c r="S254" s="114" t="b">
        <v>0</v>
      </c>
      <c r="T254" s="114" t="b">
        <v>0</v>
      </c>
      <c r="U254" s="114" t="b">
        <v>0</v>
      </c>
      <c r="V254" s="114" t="b">
        <v>0</v>
      </c>
      <c r="W254" s="114" t="b">
        <v>0</v>
      </c>
      <c r="X254" s="114" t="b">
        <v>0</v>
      </c>
      <c r="Y254" s="114" t="b">
        <v>0</v>
      </c>
      <c r="Z254" s="114" t="b">
        <v>0</v>
      </c>
      <c r="AA254" s="114" t="b">
        <v>0</v>
      </c>
      <c r="AB254" s="114" t="b">
        <v>0</v>
      </c>
      <c r="AC254" s="114" t="b">
        <v>0</v>
      </c>
      <c r="AD254" s="114" t="b">
        <v>0</v>
      </c>
      <c r="AE254" s="114" t="b">
        <v>0</v>
      </c>
      <c r="AF254" s="114" t="b">
        <v>0</v>
      </c>
      <c r="AG254" s="114" t="b">
        <v>0</v>
      </c>
      <c r="AH254" s="114" t="b">
        <v>0</v>
      </c>
      <c r="AI254" s="114" t="b">
        <v>0</v>
      </c>
      <c r="AJ254" s="114" t="b">
        <v>0</v>
      </c>
      <c r="AK254" s="114" t="b">
        <v>0</v>
      </c>
      <c r="AL254" s="115" t="str">
        <f t="shared" si="1"/>
        <v>0 dari 31 (0%)</v>
      </c>
    </row>
    <row r="255" ht="22.5" customHeight="1">
      <c r="A255" s="10">
        <v>254.0</v>
      </c>
      <c r="B255" s="11"/>
      <c r="C255" s="140"/>
      <c r="D255" s="138"/>
      <c r="E255" s="138"/>
      <c r="F255" s="13"/>
      <c r="G255" s="114" t="b">
        <v>0</v>
      </c>
      <c r="H255" s="114" t="b">
        <v>0</v>
      </c>
      <c r="I255" s="114" t="b">
        <v>0</v>
      </c>
      <c r="J255" s="114" t="b">
        <v>0</v>
      </c>
      <c r="K255" s="114" t="b">
        <v>0</v>
      </c>
      <c r="L255" s="114" t="b">
        <v>0</v>
      </c>
      <c r="M255" s="114" t="b">
        <v>0</v>
      </c>
      <c r="N255" s="114" t="b">
        <v>0</v>
      </c>
      <c r="O255" s="114" t="b">
        <v>0</v>
      </c>
      <c r="P255" s="114" t="b">
        <v>0</v>
      </c>
      <c r="Q255" s="114" t="b">
        <v>0</v>
      </c>
      <c r="R255" s="114" t="b">
        <v>0</v>
      </c>
      <c r="S255" s="114" t="b">
        <v>0</v>
      </c>
      <c r="T255" s="114" t="b">
        <v>0</v>
      </c>
      <c r="U255" s="114" t="b">
        <v>0</v>
      </c>
      <c r="V255" s="114" t="b">
        <v>0</v>
      </c>
      <c r="W255" s="114" t="b">
        <v>0</v>
      </c>
      <c r="X255" s="114" t="b">
        <v>0</v>
      </c>
      <c r="Y255" s="114" t="b">
        <v>0</v>
      </c>
      <c r="Z255" s="114" t="b">
        <v>0</v>
      </c>
      <c r="AA255" s="114" t="b">
        <v>0</v>
      </c>
      <c r="AB255" s="114" t="b">
        <v>0</v>
      </c>
      <c r="AC255" s="114" t="b">
        <v>0</v>
      </c>
      <c r="AD255" s="114" t="b">
        <v>0</v>
      </c>
      <c r="AE255" s="114" t="b">
        <v>0</v>
      </c>
      <c r="AF255" s="114" t="b">
        <v>0</v>
      </c>
      <c r="AG255" s="114" t="b">
        <v>0</v>
      </c>
      <c r="AH255" s="114" t="b">
        <v>0</v>
      </c>
      <c r="AI255" s="114" t="b">
        <v>0</v>
      </c>
      <c r="AJ255" s="114" t="b">
        <v>0</v>
      </c>
      <c r="AK255" s="114" t="b">
        <v>0</v>
      </c>
      <c r="AL255" s="115" t="str">
        <f t="shared" si="1"/>
        <v>0 dari 31 (0%)</v>
      </c>
    </row>
    <row r="256" ht="22.5" customHeight="1">
      <c r="A256" s="2">
        <v>255.0</v>
      </c>
      <c r="B256" s="11"/>
      <c r="C256" s="140"/>
      <c r="D256" s="138"/>
      <c r="E256" s="138"/>
      <c r="F256" s="13"/>
      <c r="G256" s="114" t="b">
        <v>0</v>
      </c>
      <c r="H256" s="114" t="b">
        <v>0</v>
      </c>
      <c r="I256" s="114" t="b">
        <v>0</v>
      </c>
      <c r="J256" s="114" t="b">
        <v>0</v>
      </c>
      <c r="K256" s="114" t="b">
        <v>0</v>
      </c>
      <c r="L256" s="114" t="b">
        <v>0</v>
      </c>
      <c r="M256" s="114" t="b">
        <v>0</v>
      </c>
      <c r="N256" s="114" t="b">
        <v>0</v>
      </c>
      <c r="O256" s="114" t="b">
        <v>0</v>
      </c>
      <c r="P256" s="114" t="b">
        <v>0</v>
      </c>
      <c r="Q256" s="114" t="b">
        <v>0</v>
      </c>
      <c r="R256" s="114" t="b">
        <v>0</v>
      </c>
      <c r="S256" s="114" t="b">
        <v>0</v>
      </c>
      <c r="T256" s="114" t="b">
        <v>0</v>
      </c>
      <c r="U256" s="114" t="b">
        <v>0</v>
      </c>
      <c r="V256" s="114" t="b">
        <v>0</v>
      </c>
      <c r="W256" s="114" t="b">
        <v>0</v>
      </c>
      <c r="X256" s="114" t="b">
        <v>0</v>
      </c>
      <c r="Y256" s="114" t="b">
        <v>0</v>
      </c>
      <c r="Z256" s="114" t="b">
        <v>0</v>
      </c>
      <c r="AA256" s="114" t="b">
        <v>0</v>
      </c>
      <c r="AB256" s="114" t="b">
        <v>0</v>
      </c>
      <c r="AC256" s="114" t="b">
        <v>0</v>
      </c>
      <c r="AD256" s="114" t="b">
        <v>0</v>
      </c>
      <c r="AE256" s="114" t="b">
        <v>0</v>
      </c>
      <c r="AF256" s="114" t="b">
        <v>0</v>
      </c>
      <c r="AG256" s="114" t="b">
        <v>0</v>
      </c>
      <c r="AH256" s="114" t="b">
        <v>0</v>
      </c>
      <c r="AI256" s="114" t="b">
        <v>0</v>
      </c>
      <c r="AJ256" s="114" t="b">
        <v>0</v>
      </c>
      <c r="AK256" s="114" t="b">
        <v>0</v>
      </c>
      <c r="AL256" s="115" t="str">
        <f t="shared" si="1"/>
        <v>0 dari 31 (0%)</v>
      </c>
    </row>
    <row r="257" ht="22.5" customHeight="1">
      <c r="A257" s="10">
        <v>256.0</v>
      </c>
      <c r="B257" s="11"/>
      <c r="C257" s="140"/>
      <c r="D257" s="138"/>
      <c r="E257" s="138"/>
      <c r="F257" s="13"/>
      <c r="G257" s="114" t="b">
        <v>0</v>
      </c>
      <c r="H257" s="114" t="b">
        <v>0</v>
      </c>
      <c r="I257" s="114" t="b">
        <v>0</v>
      </c>
      <c r="J257" s="114" t="b">
        <v>0</v>
      </c>
      <c r="K257" s="114" t="b">
        <v>0</v>
      </c>
      <c r="L257" s="114" t="b">
        <v>0</v>
      </c>
      <c r="M257" s="114" t="b">
        <v>0</v>
      </c>
      <c r="N257" s="114" t="b">
        <v>0</v>
      </c>
      <c r="O257" s="114" t="b">
        <v>0</v>
      </c>
      <c r="P257" s="114" t="b">
        <v>0</v>
      </c>
      <c r="Q257" s="114" t="b">
        <v>0</v>
      </c>
      <c r="R257" s="114" t="b">
        <v>0</v>
      </c>
      <c r="S257" s="114" t="b">
        <v>0</v>
      </c>
      <c r="T257" s="114" t="b">
        <v>0</v>
      </c>
      <c r="U257" s="114" t="b">
        <v>0</v>
      </c>
      <c r="V257" s="114" t="b">
        <v>0</v>
      </c>
      <c r="W257" s="114" t="b">
        <v>0</v>
      </c>
      <c r="X257" s="114" t="b">
        <v>0</v>
      </c>
      <c r="Y257" s="114" t="b">
        <v>0</v>
      </c>
      <c r="Z257" s="114" t="b">
        <v>0</v>
      </c>
      <c r="AA257" s="114" t="b">
        <v>0</v>
      </c>
      <c r="AB257" s="114" t="b">
        <v>0</v>
      </c>
      <c r="AC257" s="114" t="b">
        <v>0</v>
      </c>
      <c r="AD257" s="114" t="b">
        <v>0</v>
      </c>
      <c r="AE257" s="114" t="b">
        <v>0</v>
      </c>
      <c r="AF257" s="114" t="b">
        <v>0</v>
      </c>
      <c r="AG257" s="114" t="b">
        <v>0</v>
      </c>
      <c r="AH257" s="114" t="b">
        <v>0</v>
      </c>
      <c r="AI257" s="114" t="b">
        <v>0</v>
      </c>
      <c r="AJ257" s="114" t="b">
        <v>0</v>
      </c>
      <c r="AK257" s="114" t="b">
        <v>0</v>
      </c>
      <c r="AL257" s="115" t="str">
        <f t="shared" si="1"/>
        <v>0 dari 31 (0%)</v>
      </c>
    </row>
    <row r="258" ht="22.5" customHeight="1">
      <c r="A258" s="2">
        <v>257.0</v>
      </c>
      <c r="B258" s="11"/>
      <c r="C258" s="140"/>
      <c r="D258" s="138"/>
      <c r="E258" s="138"/>
      <c r="F258" s="13"/>
      <c r="G258" s="114" t="b">
        <v>0</v>
      </c>
      <c r="H258" s="114" t="b">
        <v>0</v>
      </c>
      <c r="I258" s="114" t="b">
        <v>0</v>
      </c>
      <c r="J258" s="114" t="b">
        <v>0</v>
      </c>
      <c r="K258" s="114" t="b">
        <v>0</v>
      </c>
      <c r="L258" s="114" t="b">
        <v>0</v>
      </c>
      <c r="M258" s="114" t="b">
        <v>0</v>
      </c>
      <c r="N258" s="114" t="b">
        <v>0</v>
      </c>
      <c r="O258" s="114" t="b">
        <v>0</v>
      </c>
      <c r="P258" s="114" t="b">
        <v>0</v>
      </c>
      <c r="Q258" s="114" t="b">
        <v>0</v>
      </c>
      <c r="R258" s="114" t="b">
        <v>0</v>
      </c>
      <c r="S258" s="114" t="b">
        <v>0</v>
      </c>
      <c r="T258" s="114" t="b">
        <v>0</v>
      </c>
      <c r="U258" s="114" t="b">
        <v>0</v>
      </c>
      <c r="V258" s="114" t="b">
        <v>0</v>
      </c>
      <c r="W258" s="114" t="b">
        <v>0</v>
      </c>
      <c r="X258" s="114" t="b">
        <v>0</v>
      </c>
      <c r="Y258" s="114" t="b">
        <v>0</v>
      </c>
      <c r="Z258" s="114" t="b">
        <v>0</v>
      </c>
      <c r="AA258" s="114" t="b">
        <v>0</v>
      </c>
      <c r="AB258" s="114" t="b">
        <v>0</v>
      </c>
      <c r="AC258" s="114" t="b">
        <v>0</v>
      </c>
      <c r="AD258" s="114" t="b">
        <v>0</v>
      </c>
      <c r="AE258" s="114" t="b">
        <v>0</v>
      </c>
      <c r="AF258" s="114" t="b">
        <v>0</v>
      </c>
      <c r="AG258" s="114" t="b">
        <v>0</v>
      </c>
      <c r="AH258" s="114" t="b">
        <v>0</v>
      </c>
      <c r="AI258" s="114" t="b">
        <v>0</v>
      </c>
      <c r="AJ258" s="114" t="b">
        <v>0</v>
      </c>
      <c r="AK258" s="114" t="b">
        <v>0</v>
      </c>
      <c r="AL258" s="115" t="str">
        <f t="shared" si="1"/>
        <v>0 dari 31 (0%)</v>
      </c>
    </row>
    <row r="259" ht="22.5" customHeight="1">
      <c r="A259" s="10">
        <v>258.0</v>
      </c>
      <c r="B259" s="11"/>
      <c r="C259" s="140"/>
      <c r="D259" s="138"/>
      <c r="E259" s="138"/>
      <c r="F259" s="13"/>
      <c r="G259" s="114" t="b">
        <v>0</v>
      </c>
      <c r="H259" s="114" t="b">
        <v>0</v>
      </c>
      <c r="I259" s="114" t="b">
        <v>0</v>
      </c>
      <c r="J259" s="114" t="b">
        <v>0</v>
      </c>
      <c r="K259" s="114" t="b">
        <v>0</v>
      </c>
      <c r="L259" s="114" t="b">
        <v>0</v>
      </c>
      <c r="M259" s="114" t="b">
        <v>0</v>
      </c>
      <c r="N259" s="114" t="b">
        <v>0</v>
      </c>
      <c r="O259" s="114" t="b">
        <v>0</v>
      </c>
      <c r="P259" s="114" t="b">
        <v>0</v>
      </c>
      <c r="Q259" s="114" t="b">
        <v>0</v>
      </c>
      <c r="R259" s="114" t="b">
        <v>0</v>
      </c>
      <c r="S259" s="114" t="b">
        <v>0</v>
      </c>
      <c r="T259" s="114" t="b">
        <v>0</v>
      </c>
      <c r="U259" s="114" t="b">
        <v>0</v>
      </c>
      <c r="V259" s="114" t="b">
        <v>0</v>
      </c>
      <c r="W259" s="114" t="b">
        <v>0</v>
      </c>
      <c r="X259" s="114" t="b">
        <v>0</v>
      </c>
      <c r="Y259" s="114" t="b">
        <v>0</v>
      </c>
      <c r="Z259" s="114" t="b">
        <v>0</v>
      </c>
      <c r="AA259" s="114" t="b">
        <v>0</v>
      </c>
      <c r="AB259" s="114" t="b">
        <v>0</v>
      </c>
      <c r="AC259" s="114" t="b">
        <v>0</v>
      </c>
      <c r="AD259" s="114" t="b">
        <v>0</v>
      </c>
      <c r="AE259" s="114" t="b">
        <v>0</v>
      </c>
      <c r="AF259" s="114" t="b">
        <v>0</v>
      </c>
      <c r="AG259" s="114" t="b">
        <v>0</v>
      </c>
      <c r="AH259" s="114" t="b">
        <v>0</v>
      </c>
      <c r="AI259" s="114" t="b">
        <v>0</v>
      </c>
      <c r="AJ259" s="114" t="b">
        <v>0</v>
      </c>
      <c r="AK259" s="114" t="b">
        <v>0</v>
      </c>
      <c r="AL259" s="115" t="str">
        <f t="shared" si="1"/>
        <v>0 dari 31 (0%)</v>
      </c>
    </row>
    <row r="260" ht="22.5" customHeight="1">
      <c r="A260" s="10">
        <v>259.0</v>
      </c>
      <c r="B260" s="11"/>
      <c r="C260" s="140"/>
      <c r="D260" s="138"/>
      <c r="E260" s="138"/>
      <c r="F260" s="13"/>
      <c r="G260" s="114" t="b">
        <v>0</v>
      </c>
      <c r="H260" s="114" t="b">
        <v>0</v>
      </c>
      <c r="I260" s="114" t="b">
        <v>0</v>
      </c>
      <c r="J260" s="114" t="b">
        <v>0</v>
      </c>
      <c r="K260" s="114" t="b">
        <v>0</v>
      </c>
      <c r="L260" s="114" t="b">
        <v>0</v>
      </c>
      <c r="M260" s="114" t="b">
        <v>0</v>
      </c>
      <c r="N260" s="114" t="b">
        <v>0</v>
      </c>
      <c r="O260" s="114" t="b">
        <v>0</v>
      </c>
      <c r="P260" s="114" t="b">
        <v>0</v>
      </c>
      <c r="Q260" s="114" t="b">
        <v>0</v>
      </c>
      <c r="R260" s="114" t="b">
        <v>0</v>
      </c>
      <c r="S260" s="114" t="b">
        <v>0</v>
      </c>
      <c r="T260" s="114" t="b">
        <v>0</v>
      </c>
      <c r="U260" s="114" t="b">
        <v>0</v>
      </c>
      <c r="V260" s="114" t="b">
        <v>0</v>
      </c>
      <c r="W260" s="114" t="b">
        <v>0</v>
      </c>
      <c r="X260" s="114" t="b">
        <v>0</v>
      </c>
      <c r="Y260" s="114" t="b">
        <v>0</v>
      </c>
      <c r="Z260" s="114" t="b">
        <v>0</v>
      </c>
      <c r="AA260" s="114" t="b">
        <v>0</v>
      </c>
      <c r="AB260" s="114" t="b">
        <v>0</v>
      </c>
      <c r="AC260" s="114" t="b">
        <v>0</v>
      </c>
      <c r="AD260" s="114" t="b">
        <v>0</v>
      </c>
      <c r="AE260" s="114" t="b">
        <v>0</v>
      </c>
      <c r="AF260" s="114" t="b">
        <v>0</v>
      </c>
      <c r="AG260" s="114" t="b">
        <v>0</v>
      </c>
      <c r="AH260" s="114" t="b">
        <v>0</v>
      </c>
      <c r="AI260" s="114" t="b">
        <v>0</v>
      </c>
      <c r="AJ260" s="114" t="b">
        <v>0</v>
      </c>
      <c r="AK260" s="114" t="b">
        <v>0</v>
      </c>
      <c r="AL260" s="115" t="str">
        <f t="shared" si="1"/>
        <v>0 dari 31 (0%)</v>
      </c>
    </row>
    <row r="261" ht="22.5" customHeight="1">
      <c r="A261" s="2">
        <v>260.0</v>
      </c>
      <c r="B261" s="11"/>
      <c r="C261" s="140"/>
      <c r="D261" s="138"/>
      <c r="E261" s="138"/>
      <c r="F261" s="13"/>
      <c r="G261" s="114" t="b">
        <v>0</v>
      </c>
      <c r="H261" s="114" t="b">
        <v>0</v>
      </c>
      <c r="I261" s="114" t="b">
        <v>0</v>
      </c>
      <c r="J261" s="114" t="b">
        <v>0</v>
      </c>
      <c r="K261" s="114" t="b">
        <v>0</v>
      </c>
      <c r="L261" s="114" t="b">
        <v>0</v>
      </c>
      <c r="M261" s="114" t="b">
        <v>0</v>
      </c>
      <c r="N261" s="114" t="b">
        <v>0</v>
      </c>
      <c r="O261" s="114" t="b">
        <v>0</v>
      </c>
      <c r="P261" s="114" t="b">
        <v>0</v>
      </c>
      <c r="Q261" s="114" t="b">
        <v>0</v>
      </c>
      <c r="R261" s="114" t="b">
        <v>0</v>
      </c>
      <c r="S261" s="114" t="b">
        <v>0</v>
      </c>
      <c r="T261" s="114" t="b">
        <v>0</v>
      </c>
      <c r="U261" s="114" t="b">
        <v>0</v>
      </c>
      <c r="V261" s="114" t="b">
        <v>0</v>
      </c>
      <c r="W261" s="114" t="b">
        <v>0</v>
      </c>
      <c r="X261" s="114" t="b">
        <v>0</v>
      </c>
      <c r="Y261" s="114" t="b">
        <v>0</v>
      </c>
      <c r="Z261" s="114" t="b">
        <v>0</v>
      </c>
      <c r="AA261" s="114" t="b">
        <v>0</v>
      </c>
      <c r="AB261" s="114" t="b">
        <v>0</v>
      </c>
      <c r="AC261" s="114" t="b">
        <v>0</v>
      </c>
      <c r="AD261" s="114" t="b">
        <v>0</v>
      </c>
      <c r="AE261" s="114" t="b">
        <v>0</v>
      </c>
      <c r="AF261" s="114" t="b">
        <v>0</v>
      </c>
      <c r="AG261" s="114" t="b">
        <v>0</v>
      </c>
      <c r="AH261" s="114" t="b">
        <v>0</v>
      </c>
      <c r="AI261" s="114" t="b">
        <v>0</v>
      </c>
      <c r="AJ261" s="114" t="b">
        <v>0</v>
      </c>
      <c r="AK261" s="114" t="b">
        <v>0</v>
      </c>
      <c r="AL261" s="115" t="str">
        <f t="shared" si="1"/>
        <v>0 dari 31 (0%)</v>
      </c>
    </row>
    <row r="262" ht="22.5" customHeight="1">
      <c r="A262" s="10">
        <v>261.0</v>
      </c>
      <c r="B262" s="11"/>
      <c r="C262" s="140"/>
      <c r="D262" s="138"/>
      <c r="E262" s="138"/>
      <c r="F262" s="13"/>
      <c r="G262" s="114" t="b">
        <v>0</v>
      </c>
      <c r="H262" s="114" t="b">
        <v>0</v>
      </c>
      <c r="I262" s="114" t="b">
        <v>0</v>
      </c>
      <c r="J262" s="114" t="b">
        <v>0</v>
      </c>
      <c r="K262" s="114" t="b">
        <v>0</v>
      </c>
      <c r="L262" s="114" t="b">
        <v>0</v>
      </c>
      <c r="M262" s="114" t="b">
        <v>0</v>
      </c>
      <c r="N262" s="114" t="b">
        <v>0</v>
      </c>
      <c r="O262" s="114" t="b">
        <v>0</v>
      </c>
      <c r="P262" s="114" t="b">
        <v>0</v>
      </c>
      <c r="Q262" s="114" t="b">
        <v>0</v>
      </c>
      <c r="R262" s="114" t="b">
        <v>0</v>
      </c>
      <c r="S262" s="114" t="b">
        <v>0</v>
      </c>
      <c r="T262" s="114" t="b">
        <v>0</v>
      </c>
      <c r="U262" s="114" t="b">
        <v>0</v>
      </c>
      <c r="V262" s="114" t="b">
        <v>0</v>
      </c>
      <c r="W262" s="114" t="b">
        <v>0</v>
      </c>
      <c r="X262" s="114" t="b">
        <v>0</v>
      </c>
      <c r="Y262" s="114" t="b">
        <v>0</v>
      </c>
      <c r="Z262" s="114" t="b">
        <v>0</v>
      </c>
      <c r="AA262" s="114" t="b">
        <v>0</v>
      </c>
      <c r="AB262" s="114" t="b">
        <v>0</v>
      </c>
      <c r="AC262" s="114" t="b">
        <v>0</v>
      </c>
      <c r="AD262" s="114" t="b">
        <v>0</v>
      </c>
      <c r="AE262" s="114" t="b">
        <v>0</v>
      </c>
      <c r="AF262" s="114" t="b">
        <v>0</v>
      </c>
      <c r="AG262" s="114" t="b">
        <v>0</v>
      </c>
      <c r="AH262" s="114" t="b">
        <v>0</v>
      </c>
      <c r="AI262" s="114" t="b">
        <v>0</v>
      </c>
      <c r="AJ262" s="114" t="b">
        <v>0</v>
      </c>
      <c r="AK262" s="114" t="b">
        <v>0</v>
      </c>
      <c r="AL262" s="115" t="str">
        <f t="shared" si="1"/>
        <v>0 dari 31 (0%)</v>
      </c>
    </row>
    <row r="263" ht="22.5" customHeight="1">
      <c r="A263" s="2">
        <v>262.0</v>
      </c>
      <c r="B263" s="11"/>
      <c r="C263" s="140"/>
      <c r="D263" s="138"/>
      <c r="E263" s="138"/>
      <c r="F263" s="13"/>
      <c r="G263" s="114" t="b">
        <v>0</v>
      </c>
      <c r="H263" s="114" t="b">
        <v>0</v>
      </c>
      <c r="I263" s="114" t="b">
        <v>0</v>
      </c>
      <c r="J263" s="114" t="b">
        <v>0</v>
      </c>
      <c r="K263" s="114" t="b">
        <v>0</v>
      </c>
      <c r="L263" s="114" t="b">
        <v>0</v>
      </c>
      <c r="M263" s="114" t="b">
        <v>0</v>
      </c>
      <c r="N263" s="114" t="b">
        <v>0</v>
      </c>
      <c r="O263" s="114" t="b">
        <v>0</v>
      </c>
      <c r="P263" s="114" t="b">
        <v>0</v>
      </c>
      <c r="Q263" s="114" t="b">
        <v>0</v>
      </c>
      <c r="R263" s="114" t="b">
        <v>0</v>
      </c>
      <c r="S263" s="114" t="b">
        <v>0</v>
      </c>
      <c r="T263" s="114" t="b">
        <v>0</v>
      </c>
      <c r="U263" s="114" t="b">
        <v>0</v>
      </c>
      <c r="V263" s="114" t="b">
        <v>0</v>
      </c>
      <c r="W263" s="114" t="b">
        <v>0</v>
      </c>
      <c r="X263" s="114" t="b">
        <v>0</v>
      </c>
      <c r="Y263" s="114" t="b">
        <v>0</v>
      </c>
      <c r="Z263" s="114" t="b">
        <v>0</v>
      </c>
      <c r="AA263" s="114" t="b">
        <v>0</v>
      </c>
      <c r="AB263" s="114" t="b">
        <v>0</v>
      </c>
      <c r="AC263" s="114" t="b">
        <v>0</v>
      </c>
      <c r="AD263" s="114" t="b">
        <v>0</v>
      </c>
      <c r="AE263" s="114" t="b">
        <v>0</v>
      </c>
      <c r="AF263" s="114" t="b">
        <v>0</v>
      </c>
      <c r="AG263" s="114" t="b">
        <v>0</v>
      </c>
      <c r="AH263" s="114" t="b">
        <v>0</v>
      </c>
      <c r="AI263" s="114" t="b">
        <v>0</v>
      </c>
      <c r="AJ263" s="114" t="b">
        <v>0</v>
      </c>
      <c r="AK263" s="114" t="b">
        <v>0</v>
      </c>
      <c r="AL263" s="115" t="str">
        <f t="shared" si="1"/>
        <v>0 dari 31 (0%)</v>
      </c>
    </row>
    <row r="264" ht="22.5" customHeight="1">
      <c r="A264" s="10">
        <v>263.0</v>
      </c>
      <c r="B264" s="11"/>
      <c r="C264" s="140"/>
      <c r="D264" s="138"/>
      <c r="E264" s="138"/>
      <c r="F264" s="13"/>
      <c r="G264" s="114" t="b">
        <v>0</v>
      </c>
      <c r="H264" s="114" t="b">
        <v>0</v>
      </c>
      <c r="I264" s="114" t="b">
        <v>0</v>
      </c>
      <c r="J264" s="114" t="b">
        <v>0</v>
      </c>
      <c r="K264" s="114" t="b">
        <v>0</v>
      </c>
      <c r="L264" s="114" t="b">
        <v>0</v>
      </c>
      <c r="M264" s="114" t="b">
        <v>0</v>
      </c>
      <c r="N264" s="114" t="b">
        <v>0</v>
      </c>
      <c r="O264" s="114" t="b">
        <v>0</v>
      </c>
      <c r="P264" s="114" t="b">
        <v>0</v>
      </c>
      <c r="Q264" s="114" t="b">
        <v>0</v>
      </c>
      <c r="R264" s="114" t="b">
        <v>0</v>
      </c>
      <c r="S264" s="114" t="b">
        <v>0</v>
      </c>
      <c r="T264" s="114" t="b">
        <v>0</v>
      </c>
      <c r="U264" s="114" t="b">
        <v>0</v>
      </c>
      <c r="V264" s="114" t="b">
        <v>0</v>
      </c>
      <c r="W264" s="114" t="b">
        <v>0</v>
      </c>
      <c r="X264" s="114" t="b">
        <v>0</v>
      </c>
      <c r="Y264" s="114" t="b">
        <v>0</v>
      </c>
      <c r="Z264" s="114" t="b">
        <v>0</v>
      </c>
      <c r="AA264" s="114" t="b">
        <v>0</v>
      </c>
      <c r="AB264" s="114" t="b">
        <v>0</v>
      </c>
      <c r="AC264" s="114" t="b">
        <v>0</v>
      </c>
      <c r="AD264" s="114" t="b">
        <v>0</v>
      </c>
      <c r="AE264" s="114" t="b">
        <v>0</v>
      </c>
      <c r="AF264" s="114" t="b">
        <v>0</v>
      </c>
      <c r="AG264" s="114" t="b">
        <v>0</v>
      </c>
      <c r="AH264" s="114" t="b">
        <v>0</v>
      </c>
      <c r="AI264" s="114" t="b">
        <v>0</v>
      </c>
      <c r="AJ264" s="114" t="b">
        <v>0</v>
      </c>
      <c r="AK264" s="114" t="b">
        <v>0</v>
      </c>
      <c r="AL264" s="115" t="str">
        <f t="shared" si="1"/>
        <v>0 dari 31 (0%)</v>
      </c>
    </row>
    <row r="265" ht="22.5" customHeight="1">
      <c r="A265" s="10">
        <v>264.0</v>
      </c>
      <c r="B265" s="11"/>
      <c r="C265" s="140"/>
      <c r="D265" s="138"/>
      <c r="E265" s="138"/>
      <c r="F265" s="13"/>
      <c r="G265" s="114" t="b">
        <v>0</v>
      </c>
      <c r="H265" s="114" t="b">
        <v>0</v>
      </c>
      <c r="I265" s="114" t="b">
        <v>0</v>
      </c>
      <c r="J265" s="114" t="b">
        <v>0</v>
      </c>
      <c r="K265" s="114" t="b">
        <v>0</v>
      </c>
      <c r="L265" s="114" t="b">
        <v>0</v>
      </c>
      <c r="M265" s="114" t="b">
        <v>0</v>
      </c>
      <c r="N265" s="114" t="b">
        <v>0</v>
      </c>
      <c r="O265" s="114" t="b">
        <v>0</v>
      </c>
      <c r="P265" s="114" t="b">
        <v>0</v>
      </c>
      <c r="Q265" s="114" t="b">
        <v>0</v>
      </c>
      <c r="R265" s="114" t="b">
        <v>0</v>
      </c>
      <c r="S265" s="114" t="b">
        <v>0</v>
      </c>
      <c r="T265" s="114" t="b">
        <v>0</v>
      </c>
      <c r="U265" s="114" t="b">
        <v>0</v>
      </c>
      <c r="V265" s="114" t="b">
        <v>0</v>
      </c>
      <c r="W265" s="114" t="b">
        <v>0</v>
      </c>
      <c r="X265" s="114" t="b">
        <v>0</v>
      </c>
      <c r="Y265" s="114" t="b">
        <v>0</v>
      </c>
      <c r="Z265" s="114" t="b">
        <v>0</v>
      </c>
      <c r="AA265" s="114" t="b">
        <v>0</v>
      </c>
      <c r="AB265" s="114" t="b">
        <v>0</v>
      </c>
      <c r="AC265" s="114" t="b">
        <v>0</v>
      </c>
      <c r="AD265" s="114" t="b">
        <v>0</v>
      </c>
      <c r="AE265" s="114" t="b">
        <v>0</v>
      </c>
      <c r="AF265" s="114" t="b">
        <v>0</v>
      </c>
      <c r="AG265" s="114" t="b">
        <v>0</v>
      </c>
      <c r="AH265" s="114" t="b">
        <v>0</v>
      </c>
      <c r="AI265" s="114" t="b">
        <v>0</v>
      </c>
      <c r="AJ265" s="114" t="b">
        <v>0</v>
      </c>
      <c r="AK265" s="114" t="b">
        <v>0</v>
      </c>
      <c r="AL265" s="115" t="str">
        <f t="shared" si="1"/>
        <v>0 dari 31 (0%)</v>
      </c>
    </row>
    <row r="266" ht="22.5" customHeight="1">
      <c r="A266" s="2">
        <v>265.0</v>
      </c>
      <c r="B266" s="11"/>
      <c r="C266" s="140"/>
      <c r="D266" s="138"/>
      <c r="E266" s="138"/>
      <c r="F266" s="13"/>
      <c r="G266" s="114" t="b">
        <v>0</v>
      </c>
      <c r="H266" s="114" t="b">
        <v>0</v>
      </c>
      <c r="I266" s="114" t="b">
        <v>0</v>
      </c>
      <c r="J266" s="114" t="b">
        <v>0</v>
      </c>
      <c r="K266" s="114" t="b">
        <v>0</v>
      </c>
      <c r="L266" s="114" t="b">
        <v>0</v>
      </c>
      <c r="M266" s="114" t="b">
        <v>0</v>
      </c>
      <c r="N266" s="114" t="b">
        <v>0</v>
      </c>
      <c r="O266" s="114" t="b">
        <v>0</v>
      </c>
      <c r="P266" s="114" t="b">
        <v>0</v>
      </c>
      <c r="Q266" s="114" t="b">
        <v>0</v>
      </c>
      <c r="R266" s="114" t="b">
        <v>0</v>
      </c>
      <c r="S266" s="114" t="b">
        <v>0</v>
      </c>
      <c r="T266" s="114" t="b">
        <v>0</v>
      </c>
      <c r="U266" s="114" t="b">
        <v>0</v>
      </c>
      <c r="V266" s="114" t="b">
        <v>0</v>
      </c>
      <c r="W266" s="114" t="b">
        <v>0</v>
      </c>
      <c r="X266" s="114" t="b">
        <v>0</v>
      </c>
      <c r="Y266" s="114" t="b">
        <v>0</v>
      </c>
      <c r="Z266" s="114" t="b">
        <v>0</v>
      </c>
      <c r="AA266" s="114" t="b">
        <v>0</v>
      </c>
      <c r="AB266" s="114" t="b">
        <v>0</v>
      </c>
      <c r="AC266" s="114" t="b">
        <v>0</v>
      </c>
      <c r="AD266" s="114" t="b">
        <v>0</v>
      </c>
      <c r="AE266" s="114" t="b">
        <v>0</v>
      </c>
      <c r="AF266" s="114" t="b">
        <v>0</v>
      </c>
      <c r="AG266" s="114" t="b">
        <v>0</v>
      </c>
      <c r="AH266" s="114" t="b">
        <v>0</v>
      </c>
      <c r="AI266" s="114" t="b">
        <v>0</v>
      </c>
      <c r="AJ266" s="114" t="b">
        <v>0</v>
      </c>
      <c r="AK266" s="114" t="b">
        <v>0</v>
      </c>
      <c r="AL266" s="115" t="str">
        <f t="shared" si="1"/>
        <v>0 dari 31 (0%)</v>
      </c>
    </row>
    <row r="267" ht="22.5" customHeight="1">
      <c r="A267" s="10">
        <v>266.0</v>
      </c>
      <c r="B267" s="11"/>
      <c r="C267" s="140"/>
      <c r="D267" s="138"/>
      <c r="E267" s="138"/>
      <c r="F267" s="13"/>
      <c r="G267" s="114" t="b">
        <v>0</v>
      </c>
      <c r="H267" s="114" t="b">
        <v>0</v>
      </c>
      <c r="I267" s="114" t="b">
        <v>0</v>
      </c>
      <c r="J267" s="114" t="b">
        <v>0</v>
      </c>
      <c r="K267" s="114" t="b">
        <v>0</v>
      </c>
      <c r="L267" s="114" t="b">
        <v>0</v>
      </c>
      <c r="M267" s="114" t="b">
        <v>0</v>
      </c>
      <c r="N267" s="114" t="b">
        <v>0</v>
      </c>
      <c r="O267" s="114" t="b">
        <v>0</v>
      </c>
      <c r="P267" s="114" t="b">
        <v>0</v>
      </c>
      <c r="Q267" s="114" t="b">
        <v>0</v>
      </c>
      <c r="R267" s="114" t="b">
        <v>0</v>
      </c>
      <c r="S267" s="114" t="b">
        <v>0</v>
      </c>
      <c r="T267" s="114" t="b">
        <v>0</v>
      </c>
      <c r="U267" s="114" t="b">
        <v>0</v>
      </c>
      <c r="V267" s="114" t="b">
        <v>0</v>
      </c>
      <c r="W267" s="114" t="b">
        <v>0</v>
      </c>
      <c r="X267" s="114" t="b">
        <v>0</v>
      </c>
      <c r="Y267" s="114" t="b">
        <v>0</v>
      </c>
      <c r="Z267" s="114" t="b">
        <v>0</v>
      </c>
      <c r="AA267" s="114" t="b">
        <v>0</v>
      </c>
      <c r="AB267" s="114" t="b">
        <v>0</v>
      </c>
      <c r="AC267" s="114" t="b">
        <v>0</v>
      </c>
      <c r="AD267" s="114" t="b">
        <v>0</v>
      </c>
      <c r="AE267" s="114" t="b">
        <v>0</v>
      </c>
      <c r="AF267" s="114" t="b">
        <v>0</v>
      </c>
      <c r="AG267" s="114" t="b">
        <v>0</v>
      </c>
      <c r="AH267" s="114" t="b">
        <v>0</v>
      </c>
      <c r="AI267" s="114" t="b">
        <v>0</v>
      </c>
      <c r="AJ267" s="114" t="b">
        <v>0</v>
      </c>
      <c r="AK267" s="114" t="b">
        <v>0</v>
      </c>
      <c r="AL267" s="115" t="str">
        <f t="shared" si="1"/>
        <v>0 dari 31 (0%)</v>
      </c>
    </row>
    <row r="268" ht="22.5" customHeight="1">
      <c r="A268" s="2">
        <v>267.0</v>
      </c>
      <c r="B268" s="11"/>
      <c r="C268" s="140"/>
      <c r="D268" s="138"/>
      <c r="E268" s="138"/>
      <c r="F268" s="13"/>
      <c r="G268" s="114" t="b">
        <v>0</v>
      </c>
      <c r="H268" s="114" t="b">
        <v>0</v>
      </c>
      <c r="I268" s="114" t="b">
        <v>0</v>
      </c>
      <c r="J268" s="114" t="b">
        <v>0</v>
      </c>
      <c r="K268" s="114" t="b">
        <v>0</v>
      </c>
      <c r="L268" s="114" t="b">
        <v>0</v>
      </c>
      <c r="M268" s="114" t="b">
        <v>0</v>
      </c>
      <c r="N268" s="114" t="b">
        <v>0</v>
      </c>
      <c r="O268" s="114" t="b">
        <v>0</v>
      </c>
      <c r="P268" s="114" t="b">
        <v>0</v>
      </c>
      <c r="Q268" s="114" t="b">
        <v>0</v>
      </c>
      <c r="R268" s="114" t="b">
        <v>0</v>
      </c>
      <c r="S268" s="114" t="b">
        <v>0</v>
      </c>
      <c r="T268" s="114" t="b">
        <v>0</v>
      </c>
      <c r="U268" s="114" t="b">
        <v>0</v>
      </c>
      <c r="V268" s="114" t="b">
        <v>0</v>
      </c>
      <c r="W268" s="114" t="b">
        <v>0</v>
      </c>
      <c r="X268" s="114" t="b">
        <v>0</v>
      </c>
      <c r="Y268" s="114" t="b">
        <v>0</v>
      </c>
      <c r="Z268" s="114" t="b">
        <v>0</v>
      </c>
      <c r="AA268" s="114" t="b">
        <v>0</v>
      </c>
      <c r="AB268" s="114" t="b">
        <v>0</v>
      </c>
      <c r="AC268" s="114" t="b">
        <v>0</v>
      </c>
      <c r="AD268" s="114" t="b">
        <v>0</v>
      </c>
      <c r="AE268" s="114" t="b">
        <v>0</v>
      </c>
      <c r="AF268" s="114" t="b">
        <v>0</v>
      </c>
      <c r="AG268" s="114" t="b">
        <v>0</v>
      </c>
      <c r="AH268" s="114" t="b">
        <v>0</v>
      </c>
      <c r="AI268" s="114" t="b">
        <v>0</v>
      </c>
      <c r="AJ268" s="114" t="b">
        <v>0</v>
      </c>
      <c r="AK268" s="114" t="b">
        <v>0</v>
      </c>
      <c r="AL268" s="115" t="str">
        <f t="shared" si="1"/>
        <v>0 dari 31 (0%)</v>
      </c>
    </row>
    <row r="269" ht="22.5" customHeight="1">
      <c r="A269" s="10">
        <v>268.0</v>
      </c>
      <c r="B269" s="11"/>
      <c r="C269" s="140"/>
      <c r="D269" s="138"/>
      <c r="E269" s="138"/>
      <c r="F269" s="13"/>
      <c r="G269" s="114" t="b">
        <v>0</v>
      </c>
      <c r="H269" s="114" t="b">
        <v>0</v>
      </c>
      <c r="I269" s="114" t="b">
        <v>0</v>
      </c>
      <c r="J269" s="114" t="b">
        <v>0</v>
      </c>
      <c r="K269" s="114" t="b">
        <v>0</v>
      </c>
      <c r="L269" s="114" t="b">
        <v>0</v>
      </c>
      <c r="M269" s="114" t="b">
        <v>0</v>
      </c>
      <c r="N269" s="114" t="b">
        <v>0</v>
      </c>
      <c r="O269" s="114" t="b">
        <v>0</v>
      </c>
      <c r="P269" s="114" t="b">
        <v>0</v>
      </c>
      <c r="Q269" s="114" t="b">
        <v>0</v>
      </c>
      <c r="R269" s="114" t="b">
        <v>0</v>
      </c>
      <c r="S269" s="114" t="b">
        <v>0</v>
      </c>
      <c r="T269" s="114" t="b">
        <v>0</v>
      </c>
      <c r="U269" s="114" t="b">
        <v>0</v>
      </c>
      <c r="V269" s="114" t="b">
        <v>0</v>
      </c>
      <c r="W269" s="114" t="b">
        <v>0</v>
      </c>
      <c r="X269" s="114" t="b">
        <v>0</v>
      </c>
      <c r="Y269" s="114" t="b">
        <v>0</v>
      </c>
      <c r="Z269" s="114" t="b">
        <v>0</v>
      </c>
      <c r="AA269" s="114" t="b">
        <v>0</v>
      </c>
      <c r="AB269" s="114" t="b">
        <v>0</v>
      </c>
      <c r="AC269" s="114" t="b">
        <v>0</v>
      </c>
      <c r="AD269" s="114" t="b">
        <v>0</v>
      </c>
      <c r="AE269" s="114" t="b">
        <v>0</v>
      </c>
      <c r="AF269" s="114" t="b">
        <v>0</v>
      </c>
      <c r="AG269" s="114" t="b">
        <v>0</v>
      </c>
      <c r="AH269" s="114" t="b">
        <v>0</v>
      </c>
      <c r="AI269" s="114" t="b">
        <v>0</v>
      </c>
      <c r="AJ269" s="114" t="b">
        <v>0</v>
      </c>
      <c r="AK269" s="114" t="b">
        <v>0</v>
      </c>
      <c r="AL269" s="115" t="str">
        <f t="shared" si="1"/>
        <v>0 dari 31 (0%)</v>
      </c>
    </row>
    <row r="270" ht="22.5" customHeight="1">
      <c r="A270" s="10">
        <v>269.0</v>
      </c>
      <c r="B270" s="11"/>
      <c r="C270" s="140"/>
      <c r="D270" s="138"/>
      <c r="E270" s="138"/>
      <c r="F270" s="13"/>
      <c r="G270" s="114" t="b">
        <v>0</v>
      </c>
      <c r="H270" s="114" t="b">
        <v>0</v>
      </c>
      <c r="I270" s="114" t="b">
        <v>0</v>
      </c>
      <c r="J270" s="114" t="b">
        <v>0</v>
      </c>
      <c r="K270" s="114" t="b">
        <v>0</v>
      </c>
      <c r="L270" s="114" t="b">
        <v>0</v>
      </c>
      <c r="M270" s="114" t="b">
        <v>0</v>
      </c>
      <c r="N270" s="114" t="b">
        <v>0</v>
      </c>
      <c r="O270" s="114" t="b">
        <v>0</v>
      </c>
      <c r="P270" s="114" t="b">
        <v>0</v>
      </c>
      <c r="Q270" s="114" t="b">
        <v>0</v>
      </c>
      <c r="R270" s="114" t="b">
        <v>0</v>
      </c>
      <c r="S270" s="114" t="b">
        <v>0</v>
      </c>
      <c r="T270" s="114" t="b">
        <v>0</v>
      </c>
      <c r="U270" s="114" t="b">
        <v>0</v>
      </c>
      <c r="V270" s="114" t="b">
        <v>0</v>
      </c>
      <c r="W270" s="114" t="b">
        <v>0</v>
      </c>
      <c r="X270" s="114" t="b">
        <v>0</v>
      </c>
      <c r="Y270" s="114" t="b">
        <v>0</v>
      </c>
      <c r="Z270" s="114" t="b">
        <v>0</v>
      </c>
      <c r="AA270" s="114" t="b">
        <v>0</v>
      </c>
      <c r="AB270" s="114" t="b">
        <v>0</v>
      </c>
      <c r="AC270" s="114" t="b">
        <v>0</v>
      </c>
      <c r="AD270" s="114" t="b">
        <v>0</v>
      </c>
      <c r="AE270" s="114" t="b">
        <v>0</v>
      </c>
      <c r="AF270" s="114" t="b">
        <v>0</v>
      </c>
      <c r="AG270" s="114" t="b">
        <v>0</v>
      </c>
      <c r="AH270" s="114" t="b">
        <v>0</v>
      </c>
      <c r="AI270" s="114" t="b">
        <v>0</v>
      </c>
      <c r="AJ270" s="114" t="b">
        <v>0</v>
      </c>
      <c r="AK270" s="114" t="b">
        <v>0</v>
      </c>
      <c r="AL270" s="115" t="str">
        <f t="shared" si="1"/>
        <v>0 dari 31 (0%)</v>
      </c>
    </row>
    <row r="271" ht="22.5" customHeight="1">
      <c r="A271" s="2">
        <v>270.0</v>
      </c>
      <c r="B271" s="11"/>
      <c r="C271" s="140"/>
      <c r="D271" s="138"/>
      <c r="E271" s="138"/>
      <c r="F271" s="13"/>
      <c r="G271" s="114" t="b">
        <v>0</v>
      </c>
      <c r="H271" s="114" t="b">
        <v>0</v>
      </c>
      <c r="I271" s="114" t="b">
        <v>0</v>
      </c>
      <c r="J271" s="114" t="b">
        <v>0</v>
      </c>
      <c r="K271" s="114" t="b">
        <v>0</v>
      </c>
      <c r="L271" s="114" t="b">
        <v>0</v>
      </c>
      <c r="M271" s="114" t="b">
        <v>0</v>
      </c>
      <c r="N271" s="114" t="b">
        <v>0</v>
      </c>
      <c r="O271" s="114" t="b">
        <v>0</v>
      </c>
      <c r="P271" s="114" t="b">
        <v>0</v>
      </c>
      <c r="Q271" s="114" t="b">
        <v>0</v>
      </c>
      <c r="R271" s="114" t="b">
        <v>0</v>
      </c>
      <c r="S271" s="114" t="b">
        <v>0</v>
      </c>
      <c r="T271" s="114" t="b">
        <v>0</v>
      </c>
      <c r="U271" s="114" t="b">
        <v>0</v>
      </c>
      <c r="V271" s="114" t="b">
        <v>0</v>
      </c>
      <c r="W271" s="114" t="b">
        <v>0</v>
      </c>
      <c r="X271" s="114" t="b">
        <v>0</v>
      </c>
      <c r="Y271" s="114" t="b">
        <v>0</v>
      </c>
      <c r="Z271" s="114" t="b">
        <v>0</v>
      </c>
      <c r="AA271" s="114" t="b">
        <v>0</v>
      </c>
      <c r="AB271" s="114" t="b">
        <v>0</v>
      </c>
      <c r="AC271" s="114" t="b">
        <v>0</v>
      </c>
      <c r="AD271" s="114" t="b">
        <v>0</v>
      </c>
      <c r="AE271" s="114" t="b">
        <v>0</v>
      </c>
      <c r="AF271" s="114" t="b">
        <v>0</v>
      </c>
      <c r="AG271" s="114" t="b">
        <v>0</v>
      </c>
      <c r="AH271" s="114" t="b">
        <v>0</v>
      </c>
      <c r="AI271" s="114" t="b">
        <v>0</v>
      </c>
      <c r="AJ271" s="114" t="b">
        <v>0</v>
      </c>
      <c r="AK271" s="114" t="b">
        <v>0</v>
      </c>
      <c r="AL271" s="115" t="str">
        <f t="shared" si="1"/>
        <v>0 dari 31 (0%)</v>
      </c>
    </row>
    <row r="273">
      <c r="B273" s="71" t="s">
        <v>38</v>
      </c>
      <c r="C273" s="72"/>
      <c r="D273" s="72"/>
      <c r="E273" s="72"/>
      <c r="F273" s="73"/>
      <c r="G273" s="74">
        <f>COUNTIF(JULI_15[ID Encounter], TRUE)</f>
        <v>127</v>
      </c>
      <c r="H273" s="74">
        <f>COUNTIF(JULI_15[ID Condition], TRUE)</f>
        <v>102</v>
      </c>
      <c r="I273" s="74">
        <f>COUNTIF(JULI_15[ID Clinical Impression], TRUE)</f>
        <v>60</v>
      </c>
      <c r="J273" s="74">
        <f>COUNTIF(JULI_15[ID Observation Tensi], TRUE)</f>
        <v>103</v>
      </c>
      <c r="K273" s="74">
        <f>COUNTIF(JULI_15[ID Observation Nadi], TRUE)</f>
        <v>105</v>
      </c>
      <c r="L273" s="74">
        <f>COUNTIF(JULI_15[ID Observation RR], TRUE)</f>
        <v>105</v>
      </c>
      <c r="M273" s="74">
        <f>COUNTIF(JULI_15[ID Observation Suhu], TRUE)</f>
        <v>106</v>
      </c>
      <c r="N273" s="74">
        <f>COUNTIF(JULI_15[ID Observation SPO2], TRUE)</f>
        <v>105</v>
      </c>
      <c r="O273" s="74">
        <f>COUNTIF(JULI_15[ID Observation GCS], TRUE)</f>
        <v>106</v>
      </c>
      <c r="P273" s="74">
        <f>COUNTIF(JULI_15[ID Observation Tinggi], TRUE)</f>
        <v>106</v>
      </c>
      <c r="Q273" s="74">
        <f>COUNTIF(JULI_15[ID Observation Berat], TRUE)</f>
        <v>106</v>
      </c>
      <c r="R273" s="74">
        <f>COUNTIF(JULI_15[ID Observation Perut], TRUE)</f>
        <v>113</v>
      </c>
      <c r="S273" s="74">
        <f>COUNTIF(JULI_15[ID Observation Kesadaran], TRUE)</f>
        <v>118</v>
      </c>
      <c r="T273" s="74">
        <f>COUNTIF(JULI_15[ID Procedure], TRUE)</f>
        <v>87</v>
      </c>
      <c r="U273" s="74">
        <f>COUNTIF(JULI_15[ID Composition], TRUE)</f>
        <v>0</v>
      </c>
      <c r="V273" s="74">
        <f>COUNTIF(JULI_15[ID Vaksin/Imunisasi], TRUE)</f>
        <v>0</v>
      </c>
      <c r="W273" s="74">
        <f>COUNTIF(JULI_15[ID Medication Request], TRUE)</f>
        <v>8</v>
      </c>
      <c r="X273" s="74">
        <f>COUNTIF(JULI_15[ID Medication Dispense], TRUE)</f>
        <v>7</v>
      </c>
      <c r="Y273" s="74">
        <f>COUNTIF(JULI_15[ID Medication Statement], TRUE)</f>
        <v>7</v>
      </c>
      <c r="Z273" s="74">
        <f>COUNTIF(JULI_15[ID Service Request Radiologi], TRUE)</f>
        <v>8</v>
      </c>
      <c r="AA273" s="74">
        <f>COUNTIF(JULI_15[ID Specimen Radiologi], TRUE)</f>
        <v>8</v>
      </c>
      <c r="AB273" s="74">
        <f>COUNTIF(JULI_15[ID Observation Radiologi], TRUE)</f>
        <v>1</v>
      </c>
      <c r="AC273" s="74">
        <f>COUNTIF(JULI_15[ID Diagnostic Report Radiologi], TRUE)</f>
        <v>1</v>
      </c>
      <c r="AD273" s="74">
        <f>COUNTIF(JULI_15[Image Study], TRUE)</f>
        <v>14</v>
      </c>
      <c r="AE273" s="74">
        <f>COUNTIF(JULI_15[ID Service Request Lab PK], TRUE)</f>
        <v>2</v>
      </c>
      <c r="AF273" s="74">
        <f>COUNTIF(JULI_15[ID Specimen Lab PK], TRUE)</f>
        <v>2</v>
      </c>
      <c r="AG273" s="74">
        <f>COUNTIF(JULI_15[ID Observation Lab PK], TRUE)</f>
        <v>2</v>
      </c>
      <c r="AH273" s="74">
        <f>COUNTIF(JULI_15[ID Diagnostic Report Lab PK], TRUE)</f>
        <v>2</v>
      </c>
      <c r="AI273" s="74">
        <f>COUNTIF(JULI_15[ID Care Plan], TRUE)</f>
        <v>57</v>
      </c>
      <c r="AJ273" s="74">
        <f>COUNTIF(JULI_15[ID Allergy], TRUE)</f>
        <v>0</v>
      </c>
      <c r="AK273" s="74">
        <f>COUNTIF(JULI_15[ID Questionnaire], TRUE)</f>
        <v>0</v>
      </c>
      <c r="AL273" s="75" t="str">
        <f>COUNTIF(JULI_15[[ID Encounter]:[ID Questionnaire]], TRUE()) &amp; " dari " &amp; (ROWS(JULI_15[[ID Encounter]:[ID Questionnaire]])*COLUMNS(JULI_15[[ID Encounter]:[ID Questionnaire]])) &amp; " (" &amp; TEXT(COUNTIF(JULI_15[[ID Encounter]:[ID Questionnaire]], TRUE())/(ROWS(JULI_15[[ID Encounter]:[ID Questionnaire]])*COLUMNS(JULI_15[[ID Encounter]:[ID Questionnaire]])),"0%") &amp; ")"</f>
        <v>1568 dari 8370 (19%)</v>
      </c>
    </row>
    <row r="274">
      <c r="B274" s="76"/>
      <c r="C274" s="77"/>
      <c r="D274" s="77"/>
      <c r="E274" s="77"/>
      <c r="F274" s="78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</sheetData>
  <mergeCells count="33">
    <mergeCell ref="B273:F274"/>
    <mergeCell ref="G273:G274"/>
    <mergeCell ref="H273:H274"/>
    <mergeCell ref="I273:I274"/>
    <mergeCell ref="J273:J274"/>
    <mergeCell ref="K273:K274"/>
    <mergeCell ref="L273:L274"/>
    <mergeCell ref="M273:M274"/>
    <mergeCell ref="N273:N274"/>
    <mergeCell ref="O273:O274"/>
    <mergeCell ref="P273:P274"/>
    <mergeCell ref="Q273:Q274"/>
    <mergeCell ref="R273:R274"/>
    <mergeCell ref="S273:S274"/>
    <mergeCell ref="T273:T274"/>
    <mergeCell ref="U273:U274"/>
    <mergeCell ref="V273:V274"/>
    <mergeCell ref="W273:W274"/>
    <mergeCell ref="X273:X274"/>
    <mergeCell ref="Y273:Y274"/>
    <mergeCell ref="Z273:Z274"/>
    <mergeCell ref="AH273:AH274"/>
    <mergeCell ref="AI273:AI274"/>
    <mergeCell ref="AJ273:AJ274"/>
    <mergeCell ref="AK273:AK274"/>
    <mergeCell ref="AL273:AL274"/>
    <mergeCell ref="AA273:AA274"/>
    <mergeCell ref="AB273:AB274"/>
    <mergeCell ref="AC273:AC274"/>
    <mergeCell ref="AD273:AD274"/>
    <mergeCell ref="AE273:AE274"/>
    <mergeCell ref="AF273:AF274"/>
    <mergeCell ref="AG273:AG274"/>
  </mergeCell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46219.0</v>
      </c>
      <c r="C2" s="22">
        <v>61323.0</v>
      </c>
      <c r="D2" s="12" t="s">
        <v>93</v>
      </c>
      <c r="E2" s="12" t="s">
        <v>162</v>
      </c>
      <c r="F2" s="13"/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1</v>
      </c>
      <c r="X2" s="6" t="b">
        <v>1</v>
      </c>
      <c r="Y2" s="6" t="b">
        <v>1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174" si="1">COUNTIF(G2:AK2, TRUE()) &amp; " dari " &amp; COLUMNS(G2:AK2) &amp; " (" &amp; TEXT(COUNTIF(G2:AK2, TRUE())/COLUMNS(G2:AK2),"0%") &amp; ")"</f>
        <v>18 dari 31 (58%)</v>
      </c>
    </row>
    <row r="3" ht="22.5" customHeight="1">
      <c r="A3" s="10">
        <v>2.0</v>
      </c>
      <c r="B3" s="11"/>
      <c r="C3" s="22">
        <v>59625.0</v>
      </c>
      <c r="D3" s="12" t="s">
        <v>63</v>
      </c>
      <c r="E3" s="12" t="s">
        <v>87</v>
      </c>
      <c r="F3" s="13"/>
      <c r="G3" s="6" t="b">
        <v>1</v>
      </c>
      <c r="H3" s="16" t="b">
        <v>1</v>
      </c>
      <c r="I3" s="16" t="b">
        <v>1</v>
      </c>
      <c r="J3" s="6" t="b">
        <v>1</v>
      </c>
      <c r="K3" s="6" t="b">
        <v>1</v>
      </c>
      <c r="L3" s="6" t="b">
        <v>1</v>
      </c>
      <c r="M3" s="6" t="b">
        <v>1</v>
      </c>
      <c r="N3" s="6" t="b">
        <v>1</v>
      </c>
      <c r="O3" s="6" t="b">
        <v>1</v>
      </c>
      <c r="P3" s="6" t="b">
        <v>1</v>
      </c>
      <c r="Q3" s="6" t="b">
        <v>1</v>
      </c>
      <c r="R3" s="6" t="b">
        <v>1</v>
      </c>
      <c r="S3" s="6" t="b">
        <v>1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14 dari 31 (45%)</v>
      </c>
    </row>
    <row r="4" ht="22.5" customHeight="1">
      <c r="A4" s="2">
        <v>3.0</v>
      </c>
      <c r="B4" s="18"/>
      <c r="C4" s="22">
        <v>55437.0</v>
      </c>
      <c r="D4" s="12" t="s">
        <v>63</v>
      </c>
      <c r="E4" s="12" t="s">
        <v>87</v>
      </c>
      <c r="F4" s="14" t="s">
        <v>50</v>
      </c>
      <c r="G4" s="6" t="b">
        <v>1</v>
      </c>
      <c r="H4" s="6" t="b">
        <v>0</v>
      </c>
      <c r="I4" s="6" t="b">
        <v>0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11 dari 31 (35%)</v>
      </c>
    </row>
    <row r="5" ht="22.5" customHeight="1">
      <c r="A5" s="10">
        <v>4.0</v>
      </c>
      <c r="B5" s="11"/>
      <c r="C5" s="22">
        <v>60587.0</v>
      </c>
      <c r="D5" s="12" t="s">
        <v>63</v>
      </c>
      <c r="E5" s="12" t="s">
        <v>87</v>
      </c>
      <c r="F5" s="13"/>
      <c r="G5" s="6" t="b">
        <v>1</v>
      </c>
      <c r="H5" s="16" t="b">
        <v>0</v>
      </c>
      <c r="I5" s="16" t="b">
        <v>0</v>
      </c>
      <c r="J5" s="6" t="b">
        <v>1</v>
      </c>
      <c r="K5" s="6" t="b">
        <v>1</v>
      </c>
      <c r="L5" s="6" t="b">
        <v>1</v>
      </c>
      <c r="M5" s="6" t="b">
        <v>1</v>
      </c>
      <c r="N5" s="6" t="b">
        <v>1</v>
      </c>
      <c r="O5" s="6" t="b">
        <v>1</v>
      </c>
      <c r="P5" s="6" t="b">
        <v>1</v>
      </c>
      <c r="Q5" s="6" t="b">
        <v>1</v>
      </c>
      <c r="R5" s="6" t="b">
        <v>1</v>
      </c>
      <c r="S5" s="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13 dari 31 (42%)</v>
      </c>
    </row>
    <row r="6" ht="22.5" customHeight="1">
      <c r="A6" s="2">
        <v>5.0</v>
      </c>
      <c r="B6" s="18"/>
      <c r="C6" s="20">
        <v>54912.0</v>
      </c>
      <c r="D6" s="12" t="s">
        <v>63</v>
      </c>
      <c r="E6" s="12" t="s">
        <v>87</v>
      </c>
      <c r="F6" s="14" t="s">
        <v>50</v>
      </c>
      <c r="G6" s="6" t="b">
        <v>1</v>
      </c>
      <c r="H6" s="6" t="b">
        <v>0</v>
      </c>
      <c r="I6" s="6" t="b">
        <v>0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12 dari 31 (39%)</v>
      </c>
    </row>
    <row r="7" ht="22.5" customHeight="1">
      <c r="A7" s="10">
        <v>6.0</v>
      </c>
      <c r="B7" s="11"/>
      <c r="C7" s="20">
        <v>60409.0</v>
      </c>
      <c r="D7" s="12" t="s">
        <v>63</v>
      </c>
      <c r="E7" s="12" t="s">
        <v>87</v>
      </c>
      <c r="F7" s="14" t="s">
        <v>50</v>
      </c>
      <c r="G7" s="6" t="b">
        <v>1</v>
      </c>
      <c r="H7" s="16" t="b">
        <v>0</v>
      </c>
      <c r="I7" s="16" t="b">
        <v>0</v>
      </c>
      <c r="J7" s="6" t="b">
        <v>1</v>
      </c>
      <c r="K7" s="6" t="b">
        <v>1</v>
      </c>
      <c r="L7" s="6" t="b">
        <v>1</v>
      </c>
      <c r="M7" s="6" t="b">
        <v>1</v>
      </c>
      <c r="N7" s="6" t="b">
        <v>1</v>
      </c>
      <c r="O7" s="6" t="b">
        <v>1</v>
      </c>
      <c r="P7" s="6" t="b">
        <v>1</v>
      </c>
      <c r="Q7" s="6" t="b">
        <v>1</v>
      </c>
      <c r="R7" s="6" t="b">
        <v>1</v>
      </c>
      <c r="S7" s="6" t="b">
        <v>1</v>
      </c>
      <c r="T7" s="16" t="b">
        <v>0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1</v>
      </c>
      <c r="AJ7" s="16" t="b">
        <v>0</v>
      </c>
      <c r="AK7" s="16" t="b">
        <v>0</v>
      </c>
      <c r="AL7" s="17" t="str">
        <f t="shared" si="1"/>
        <v>12 dari 31 (39%)</v>
      </c>
    </row>
    <row r="8" ht="22.5" customHeight="1">
      <c r="A8" s="2">
        <v>7.0</v>
      </c>
      <c r="B8" s="18"/>
      <c r="C8" s="20">
        <v>60110.0</v>
      </c>
      <c r="D8" s="12" t="s">
        <v>63</v>
      </c>
      <c r="E8" s="12" t="s">
        <v>87</v>
      </c>
      <c r="F8" s="13"/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1</v>
      </c>
      <c r="AJ8" s="6" t="b">
        <v>0</v>
      </c>
      <c r="AK8" s="6" t="b">
        <v>0</v>
      </c>
      <c r="AL8" s="9" t="str">
        <f t="shared" si="1"/>
        <v>14 dari 31 (45%)</v>
      </c>
    </row>
    <row r="9" ht="22.5" customHeight="1">
      <c r="A9" s="10">
        <v>8.0</v>
      </c>
      <c r="B9" s="11"/>
      <c r="C9" s="22">
        <v>60323.0</v>
      </c>
      <c r="D9" s="12" t="s">
        <v>51</v>
      </c>
      <c r="E9" s="12" t="s">
        <v>65</v>
      </c>
      <c r="F9" s="14" t="s">
        <v>50</v>
      </c>
      <c r="G9" s="6" t="b">
        <v>1</v>
      </c>
      <c r="H9" s="16" t="b">
        <v>0</v>
      </c>
      <c r="I9" s="16" t="b">
        <v>0</v>
      </c>
      <c r="J9" s="16" t="b">
        <v>0</v>
      </c>
      <c r="K9" s="6" t="b">
        <v>1</v>
      </c>
      <c r="L9" s="6" t="b">
        <v>1</v>
      </c>
      <c r="M9" s="6" t="b">
        <v>1</v>
      </c>
      <c r="N9" s="6" t="b">
        <v>1</v>
      </c>
      <c r="O9" s="6" t="b">
        <v>1</v>
      </c>
      <c r="P9" s="6" t="b">
        <v>1</v>
      </c>
      <c r="Q9" s="6" t="b">
        <v>1</v>
      </c>
      <c r="R9" s="6" t="b">
        <v>1</v>
      </c>
      <c r="S9" s="6" t="b">
        <v>1</v>
      </c>
      <c r="T9" s="16" t="b">
        <v>0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10 dari 31 (32%)</v>
      </c>
    </row>
    <row r="10" ht="22.5" customHeight="1">
      <c r="A10" s="2">
        <v>9.0</v>
      </c>
      <c r="B10" s="18"/>
      <c r="C10" s="22">
        <v>42476.0</v>
      </c>
      <c r="D10" s="12" t="s">
        <v>51</v>
      </c>
      <c r="E10" s="12" t="s">
        <v>65</v>
      </c>
      <c r="F10" s="14" t="s">
        <v>50</v>
      </c>
      <c r="G10" s="6" t="b">
        <v>1</v>
      </c>
      <c r="H10" s="6" t="b">
        <v>0</v>
      </c>
      <c r="I10" s="6" t="b">
        <v>0</v>
      </c>
      <c r="J10" s="6" t="b">
        <v>0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0</v>
      </c>
      <c r="U10" s="6" t="b">
        <v>0</v>
      </c>
      <c r="V10" s="6" t="b">
        <v>0</v>
      </c>
      <c r="W10" s="6" t="b">
        <v>1</v>
      </c>
      <c r="X10" s="6" t="b">
        <v>1</v>
      </c>
      <c r="Y10" s="6" t="b">
        <v>1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13 dari 31 (42%)</v>
      </c>
    </row>
    <row r="11" ht="22.5" customHeight="1">
      <c r="A11" s="10">
        <v>10.0</v>
      </c>
      <c r="B11" s="11"/>
      <c r="C11" s="22">
        <v>60736.0</v>
      </c>
      <c r="D11" s="12" t="s">
        <v>51</v>
      </c>
      <c r="E11" s="12" t="s">
        <v>65</v>
      </c>
      <c r="F11" s="14" t="s">
        <v>50</v>
      </c>
      <c r="G11" s="6" t="b">
        <v>1</v>
      </c>
      <c r="H11" s="16" t="b">
        <v>0</v>
      </c>
      <c r="I11" s="16" t="b">
        <v>0</v>
      </c>
      <c r="J11" s="16" t="b">
        <v>0</v>
      </c>
      <c r="K11" s="6" t="b">
        <v>1</v>
      </c>
      <c r="L11" s="6" t="b">
        <v>1</v>
      </c>
      <c r="M11" s="6" t="b">
        <v>1</v>
      </c>
      <c r="N11" s="6" t="b">
        <v>1</v>
      </c>
      <c r="O11" s="6" t="b">
        <v>1</v>
      </c>
      <c r="P11" s="6" t="b">
        <v>1</v>
      </c>
      <c r="Q11" s="6" t="b">
        <v>1</v>
      </c>
      <c r="R11" s="6" t="b">
        <v>1</v>
      </c>
      <c r="S11" s="6" t="b">
        <v>1</v>
      </c>
      <c r="T11" s="16" t="b">
        <v>0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7" t="str">
        <f t="shared" si="1"/>
        <v>10 dari 31 (32%)</v>
      </c>
    </row>
    <row r="12" ht="22.5" customHeight="1">
      <c r="A12" s="2">
        <v>11.0</v>
      </c>
      <c r="B12" s="18"/>
      <c r="C12" s="20">
        <v>60564.0</v>
      </c>
      <c r="D12" s="12" t="s">
        <v>39</v>
      </c>
      <c r="E12" s="12" t="s">
        <v>57</v>
      </c>
      <c r="F12" s="13"/>
      <c r="G12" s="6" t="b">
        <v>1</v>
      </c>
      <c r="H12" s="6" t="b">
        <v>1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0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13 dari 31 (42%)</v>
      </c>
    </row>
    <row r="13" ht="22.5" customHeight="1">
      <c r="A13" s="10">
        <v>12.0</v>
      </c>
      <c r="B13" s="11"/>
      <c r="C13" s="20">
        <v>61032.0</v>
      </c>
      <c r="D13" s="12" t="s">
        <v>51</v>
      </c>
      <c r="E13" s="12" t="s">
        <v>65</v>
      </c>
      <c r="F13" s="14" t="s">
        <v>50</v>
      </c>
      <c r="G13" s="6" t="b">
        <v>1</v>
      </c>
      <c r="H13" s="16" t="b">
        <v>0</v>
      </c>
      <c r="I13" s="16" t="b">
        <v>0</v>
      </c>
      <c r="J13" s="16" t="b">
        <v>0</v>
      </c>
      <c r="K13" s="6" t="b">
        <v>1</v>
      </c>
      <c r="L13" s="6" t="b">
        <v>1</v>
      </c>
      <c r="M13" s="6" t="b">
        <v>1</v>
      </c>
      <c r="N13" s="6" t="b">
        <v>1</v>
      </c>
      <c r="O13" s="6" t="b">
        <v>1</v>
      </c>
      <c r="P13" s="6" t="b">
        <v>1</v>
      </c>
      <c r="Q13" s="6" t="b">
        <v>1</v>
      </c>
      <c r="R13" s="6" t="b">
        <v>1</v>
      </c>
      <c r="S13" s="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1"/>
        <v>12 dari 31 (39%)</v>
      </c>
    </row>
    <row r="14" ht="22.5" customHeight="1">
      <c r="A14" s="2">
        <v>13.0</v>
      </c>
      <c r="B14" s="18"/>
      <c r="C14" s="20">
        <v>60424.0</v>
      </c>
      <c r="D14" s="12" t="s">
        <v>51</v>
      </c>
      <c r="E14" s="12" t="s">
        <v>65</v>
      </c>
      <c r="F14" s="13"/>
      <c r="G14" s="6" t="b">
        <v>1</v>
      </c>
      <c r="H14" s="6" t="b">
        <v>0</v>
      </c>
      <c r="I14" s="6" t="b">
        <v>0</v>
      </c>
      <c r="J14" s="6" t="b">
        <v>0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0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10 dari 31 (32%)</v>
      </c>
    </row>
    <row r="15" ht="22.5" customHeight="1">
      <c r="A15" s="10">
        <v>14.0</v>
      </c>
      <c r="B15" s="11"/>
      <c r="C15" s="20">
        <v>59396.0</v>
      </c>
      <c r="D15" s="12" t="s">
        <v>51</v>
      </c>
      <c r="E15" s="12" t="s">
        <v>65</v>
      </c>
      <c r="F15" s="13"/>
      <c r="G15" s="6" t="b">
        <v>1</v>
      </c>
      <c r="H15" s="16" t="b">
        <v>0</v>
      </c>
      <c r="I15" s="16" t="b">
        <v>0</v>
      </c>
      <c r="J15" s="16" t="b">
        <v>0</v>
      </c>
      <c r="K15" s="6" t="b">
        <v>1</v>
      </c>
      <c r="L15" s="6" t="b">
        <v>1</v>
      </c>
      <c r="M15" s="6" t="b">
        <v>1</v>
      </c>
      <c r="N15" s="6" t="b">
        <v>1</v>
      </c>
      <c r="O15" s="6" t="b">
        <v>1</v>
      </c>
      <c r="P15" s="6" t="b">
        <v>1</v>
      </c>
      <c r="Q15" s="6" t="b">
        <v>1</v>
      </c>
      <c r="R15" s="6" t="b">
        <v>1</v>
      </c>
      <c r="S15" s="6" t="b">
        <v>1</v>
      </c>
      <c r="T15" s="16" t="b">
        <v>0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10 dari 31 (32%)</v>
      </c>
    </row>
    <row r="16" ht="22.5" customHeight="1">
      <c r="A16" s="2">
        <v>15.0</v>
      </c>
      <c r="B16" s="18"/>
      <c r="C16" s="20">
        <v>60935.0</v>
      </c>
      <c r="D16" s="12" t="s">
        <v>51</v>
      </c>
      <c r="E16" s="12" t="s">
        <v>52</v>
      </c>
      <c r="F16" s="13"/>
      <c r="G16" s="6" t="b">
        <v>1</v>
      </c>
      <c r="H16" s="6" t="b">
        <v>0</v>
      </c>
      <c r="I16" s="6" t="b">
        <v>0</v>
      </c>
      <c r="J16" s="6" t="b">
        <v>0</v>
      </c>
      <c r="K16" s="6" t="b">
        <v>1</v>
      </c>
      <c r="L16" s="6" t="b">
        <v>1</v>
      </c>
      <c r="M16" s="6" t="b">
        <v>1</v>
      </c>
      <c r="N16" s="6" t="b">
        <v>0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0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9 dari 31 (29%)</v>
      </c>
    </row>
    <row r="17" ht="22.5" customHeight="1">
      <c r="A17" s="10">
        <v>16.0</v>
      </c>
      <c r="B17" s="11"/>
      <c r="C17" s="22">
        <v>58380.0</v>
      </c>
      <c r="D17" s="12" t="s">
        <v>54</v>
      </c>
      <c r="E17" s="12" t="s">
        <v>155</v>
      </c>
      <c r="F17" s="13"/>
      <c r="G17" s="6" t="b">
        <v>1</v>
      </c>
      <c r="H17" s="16" t="b">
        <v>0</v>
      </c>
      <c r="I17" s="16" t="b">
        <v>0</v>
      </c>
      <c r="J17" s="16" t="b">
        <v>0</v>
      </c>
      <c r="K17" s="6" t="b">
        <v>1</v>
      </c>
      <c r="L17" s="6" t="b">
        <v>1</v>
      </c>
      <c r="M17" s="6" t="b">
        <v>1</v>
      </c>
      <c r="N17" s="6" t="b">
        <v>1</v>
      </c>
      <c r="O17" s="6" t="b">
        <v>1</v>
      </c>
      <c r="P17" s="6" t="b">
        <v>1</v>
      </c>
      <c r="Q17" s="6" t="b">
        <v>1</v>
      </c>
      <c r="R17" s="6" t="b">
        <v>1</v>
      </c>
      <c r="S17" s="6" t="b">
        <v>1</v>
      </c>
      <c r="T17" s="16" t="b">
        <v>0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10 dari 31 (32%)</v>
      </c>
    </row>
    <row r="18" ht="22.5" customHeight="1">
      <c r="A18" s="2">
        <v>17.0</v>
      </c>
      <c r="B18" s="18"/>
      <c r="C18" s="20">
        <v>60577.0</v>
      </c>
      <c r="D18" s="12" t="s">
        <v>54</v>
      </c>
      <c r="E18" s="12" t="s">
        <v>155</v>
      </c>
      <c r="F18" s="13"/>
      <c r="G18" s="6" t="b">
        <v>1</v>
      </c>
      <c r="H18" s="6" t="b">
        <v>0</v>
      </c>
      <c r="I18" s="6" t="b">
        <v>0</v>
      </c>
      <c r="J18" s="6" t="b">
        <v>0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10 dari 31 (32%)</v>
      </c>
    </row>
    <row r="19" ht="22.5" customHeight="1">
      <c r="A19" s="10">
        <v>18.0</v>
      </c>
      <c r="B19" s="11"/>
      <c r="C19" s="20">
        <v>57563.0</v>
      </c>
      <c r="D19" s="12" t="s">
        <v>54</v>
      </c>
      <c r="E19" s="12" t="s">
        <v>155</v>
      </c>
      <c r="F19" s="13"/>
      <c r="G19" s="6" t="b">
        <v>1</v>
      </c>
      <c r="H19" s="16" t="b">
        <v>0</v>
      </c>
      <c r="I19" s="16" t="b">
        <v>0</v>
      </c>
      <c r="J19" s="16" t="b">
        <v>0</v>
      </c>
      <c r="K19" s="6" t="b">
        <v>1</v>
      </c>
      <c r="L19" s="6" t="b">
        <v>1</v>
      </c>
      <c r="M19" s="6" t="b">
        <v>1</v>
      </c>
      <c r="N19" s="6" t="b">
        <v>1</v>
      </c>
      <c r="O19" s="6" t="b">
        <v>1</v>
      </c>
      <c r="P19" s="6" t="b">
        <v>1</v>
      </c>
      <c r="Q19" s="6" t="b">
        <v>1</v>
      </c>
      <c r="R19" s="6" t="b">
        <v>1</v>
      </c>
      <c r="S19" s="6" t="b">
        <v>1</v>
      </c>
      <c r="T19" s="16" t="b">
        <v>0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10 dari 31 (32%)</v>
      </c>
    </row>
    <row r="20" ht="22.5" customHeight="1">
      <c r="A20" s="2">
        <v>19.0</v>
      </c>
      <c r="B20" s="18"/>
      <c r="C20" s="20">
        <v>55611.0</v>
      </c>
      <c r="D20" s="12" t="s">
        <v>54</v>
      </c>
      <c r="E20" s="12" t="s">
        <v>155</v>
      </c>
      <c r="F20" s="13"/>
      <c r="G20" s="6" t="b">
        <v>1</v>
      </c>
      <c r="H20" s="6" t="b">
        <v>0</v>
      </c>
      <c r="I20" s="6" t="b">
        <v>0</v>
      </c>
      <c r="J20" s="6" t="b">
        <v>0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0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9" t="str">
        <f t="shared" si="1"/>
        <v>10 dari 31 (32%)</v>
      </c>
    </row>
    <row r="21" ht="22.5" customHeight="1">
      <c r="A21" s="10">
        <v>20.0</v>
      </c>
      <c r="B21" s="11"/>
      <c r="C21" s="20">
        <v>55193.0</v>
      </c>
      <c r="D21" s="12" t="s">
        <v>54</v>
      </c>
      <c r="E21" s="12" t="s">
        <v>155</v>
      </c>
      <c r="F21" s="13"/>
      <c r="G21" s="6" t="b">
        <v>1</v>
      </c>
      <c r="H21" s="16" t="b">
        <v>0</v>
      </c>
      <c r="I21" s="16" t="b">
        <v>0</v>
      </c>
      <c r="J21" s="16" t="b">
        <v>0</v>
      </c>
      <c r="K21" s="6" t="b">
        <v>1</v>
      </c>
      <c r="L21" s="6" t="b">
        <v>1</v>
      </c>
      <c r="M21" s="6" t="b">
        <v>1</v>
      </c>
      <c r="N21" s="6" t="b">
        <v>1</v>
      </c>
      <c r="O21" s="6" t="b">
        <v>1</v>
      </c>
      <c r="P21" s="6" t="b">
        <v>1</v>
      </c>
      <c r="Q21" s="6" t="b">
        <v>1</v>
      </c>
      <c r="R21" s="6" t="b">
        <v>1</v>
      </c>
      <c r="S21" s="6" t="b">
        <v>1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10 dari 31 (32%)</v>
      </c>
    </row>
    <row r="22" ht="22.5" customHeight="1">
      <c r="A22" s="2">
        <v>21.0</v>
      </c>
      <c r="B22" s="18"/>
      <c r="C22" s="20">
        <v>57443.0</v>
      </c>
      <c r="D22" s="12" t="s">
        <v>54</v>
      </c>
      <c r="E22" s="12" t="s">
        <v>155</v>
      </c>
      <c r="F22" s="14" t="s">
        <v>50</v>
      </c>
      <c r="G22" s="6" t="b">
        <v>1</v>
      </c>
      <c r="H22" s="6" t="b">
        <v>0</v>
      </c>
      <c r="I22" s="6" t="b">
        <v>0</v>
      </c>
      <c r="J22" s="6" t="b">
        <v>0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10 dari 31 (32%)</v>
      </c>
    </row>
    <row r="23" ht="22.5" customHeight="1">
      <c r="A23" s="10">
        <v>22.0</v>
      </c>
      <c r="B23" s="11"/>
      <c r="C23" s="20">
        <v>60045.0</v>
      </c>
      <c r="D23" s="12" t="s">
        <v>54</v>
      </c>
      <c r="E23" s="12" t="s">
        <v>168</v>
      </c>
      <c r="F23" s="14" t="s">
        <v>50</v>
      </c>
      <c r="G23" s="6" t="b">
        <v>1</v>
      </c>
      <c r="H23" s="16" t="b">
        <v>0</v>
      </c>
      <c r="I23" s="16" t="b">
        <v>0</v>
      </c>
      <c r="J23" s="16" t="b">
        <v>0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0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10 dari 31 (32%)</v>
      </c>
    </row>
    <row r="24" ht="22.5" customHeight="1">
      <c r="A24" s="2">
        <v>23.0</v>
      </c>
      <c r="B24" s="18"/>
      <c r="C24" s="20">
        <v>10199.0</v>
      </c>
      <c r="D24" s="12" t="s">
        <v>63</v>
      </c>
      <c r="E24" s="12" t="s">
        <v>64</v>
      </c>
      <c r="F24" s="13"/>
      <c r="G24" s="6" t="b">
        <v>1</v>
      </c>
      <c r="H24" s="6" t="b">
        <v>1</v>
      </c>
      <c r="I24" s="6" t="b">
        <v>1</v>
      </c>
      <c r="J24" s="6" t="b">
        <v>1</v>
      </c>
      <c r="K24" s="16" t="b">
        <v>1</v>
      </c>
      <c r="L24" s="16" t="b">
        <v>1</v>
      </c>
      <c r="M24" s="16" t="b">
        <v>1</v>
      </c>
      <c r="N24" s="16" t="b">
        <v>1</v>
      </c>
      <c r="O24" s="16" t="b">
        <v>1</v>
      </c>
      <c r="P24" s="16" t="b">
        <v>1</v>
      </c>
      <c r="Q24" s="16" t="b">
        <v>1</v>
      </c>
      <c r="R24" s="16" t="b">
        <v>1</v>
      </c>
      <c r="S24" s="1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14 dari 31 (45%)</v>
      </c>
    </row>
    <row r="25" ht="22.5" customHeight="1">
      <c r="A25" s="10">
        <v>24.0</v>
      </c>
      <c r="B25" s="11"/>
      <c r="C25" s="20">
        <v>31651.0</v>
      </c>
      <c r="D25" s="12" t="s">
        <v>63</v>
      </c>
      <c r="E25" s="12" t="s">
        <v>64</v>
      </c>
      <c r="F25" s="13"/>
      <c r="G25" s="6" t="b">
        <v>1</v>
      </c>
      <c r="H25" s="16" t="b">
        <v>1</v>
      </c>
      <c r="I25" s="16" t="b">
        <v>1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1</v>
      </c>
      <c r="AJ25" s="16" t="b">
        <v>0</v>
      </c>
      <c r="AK25" s="16" t="b">
        <v>0</v>
      </c>
      <c r="AL25" s="17" t="str">
        <f t="shared" si="1"/>
        <v>15 dari 31 (48%)</v>
      </c>
    </row>
    <row r="26" ht="22.5" customHeight="1">
      <c r="A26" s="2">
        <v>25.0</v>
      </c>
      <c r="B26" s="18"/>
      <c r="C26" s="20">
        <v>60877.0</v>
      </c>
      <c r="D26" s="12" t="s">
        <v>63</v>
      </c>
      <c r="E26" s="12" t="s">
        <v>64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16" t="b">
        <v>1</v>
      </c>
      <c r="L26" s="16" t="b">
        <v>1</v>
      </c>
      <c r="M26" s="16" t="b">
        <v>1</v>
      </c>
      <c r="N26" s="16" t="b">
        <v>1</v>
      </c>
      <c r="O26" s="16" t="b">
        <v>1</v>
      </c>
      <c r="P26" s="16" t="b">
        <v>1</v>
      </c>
      <c r="Q26" s="16" t="b">
        <v>1</v>
      </c>
      <c r="R26" s="16" t="b">
        <v>0</v>
      </c>
      <c r="S26" s="1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1</v>
      </c>
      <c r="AJ26" s="6" t="b">
        <v>0</v>
      </c>
      <c r="AK26" s="6" t="b">
        <v>0</v>
      </c>
      <c r="AL26" s="9" t="str">
        <f t="shared" si="1"/>
        <v>14 dari 31 (45%)</v>
      </c>
    </row>
    <row r="27" ht="22.5" customHeight="1">
      <c r="A27" s="10">
        <v>26.0</v>
      </c>
      <c r="B27" s="11"/>
      <c r="C27" s="22">
        <v>34658.0</v>
      </c>
      <c r="D27" s="12" t="s">
        <v>63</v>
      </c>
      <c r="E27" s="12" t="s">
        <v>64</v>
      </c>
      <c r="F27" s="13"/>
      <c r="G27" s="6" t="b">
        <v>1</v>
      </c>
      <c r="H27" s="16" t="b">
        <v>1</v>
      </c>
      <c r="I27" s="16" t="b">
        <v>1</v>
      </c>
      <c r="J27" s="1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14 dari 31 (45%)</v>
      </c>
    </row>
    <row r="28" ht="22.5" customHeight="1">
      <c r="A28" s="2">
        <v>27.0</v>
      </c>
      <c r="B28" s="18"/>
      <c r="C28" s="22">
        <v>60419.0</v>
      </c>
      <c r="D28" s="12" t="s">
        <v>63</v>
      </c>
      <c r="E28" s="12" t="s">
        <v>64</v>
      </c>
      <c r="F28" s="13"/>
      <c r="G28" s="6" t="b">
        <v>1</v>
      </c>
      <c r="H28" s="6" t="b">
        <v>1</v>
      </c>
      <c r="I28" s="6" t="b">
        <v>1</v>
      </c>
      <c r="J28" s="6" t="b">
        <v>1</v>
      </c>
      <c r="K28" s="16" t="b">
        <v>1</v>
      </c>
      <c r="L28" s="16" t="b">
        <v>1</v>
      </c>
      <c r="M28" s="16" t="b">
        <v>1</v>
      </c>
      <c r="N28" s="16" t="b">
        <v>1</v>
      </c>
      <c r="O28" s="16" t="b">
        <v>1</v>
      </c>
      <c r="P28" s="16" t="b">
        <v>1</v>
      </c>
      <c r="Q28" s="16" t="b">
        <v>1</v>
      </c>
      <c r="R28" s="16" t="b">
        <v>1</v>
      </c>
      <c r="S28" s="1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1</v>
      </c>
      <c r="AJ28" s="6" t="b">
        <v>0</v>
      </c>
      <c r="AK28" s="6" t="b">
        <v>0</v>
      </c>
      <c r="AL28" s="9" t="str">
        <f t="shared" si="1"/>
        <v>15 dari 31 (48%)</v>
      </c>
    </row>
    <row r="29" ht="22.5" customHeight="1">
      <c r="A29" s="10">
        <v>28.0</v>
      </c>
      <c r="B29" s="11"/>
      <c r="C29" s="22">
        <v>39836.0</v>
      </c>
      <c r="D29" s="12" t="s">
        <v>63</v>
      </c>
      <c r="E29" s="12" t="s">
        <v>64</v>
      </c>
      <c r="F29" s="13"/>
      <c r="G29" s="6" t="b">
        <v>1</v>
      </c>
      <c r="H29" s="16" t="b">
        <v>1</v>
      </c>
      <c r="I29" s="16" t="b">
        <v>1</v>
      </c>
      <c r="J29" s="16" t="b">
        <v>1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13 dari 31 (42%)</v>
      </c>
    </row>
    <row r="30" ht="22.5" customHeight="1">
      <c r="A30" s="2">
        <v>29.0</v>
      </c>
      <c r="B30" s="18"/>
      <c r="C30" s="22">
        <v>58510.0</v>
      </c>
      <c r="D30" s="12" t="s">
        <v>63</v>
      </c>
      <c r="E30" s="12" t="s">
        <v>64</v>
      </c>
      <c r="F30" s="13"/>
      <c r="G30" s="6" t="b">
        <v>1</v>
      </c>
      <c r="H30" s="6" t="b">
        <v>1</v>
      </c>
      <c r="I30" s="6" t="b">
        <v>1</v>
      </c>
      <c r="J30" s="6" t="b">
        <v>1</v>
      </c>
      <c r="K30" s="16" t="b">
        <v>1</v>
      </c>
      <c r="L30" s="16" t="b">
        <v>1</v>
      </c>
      <c r="M30" s="16" t="b">
        <v>1</v>
      </c>
      <c r="N30" s="16" t="b">
        <v>1</v>
      </c>
      <c r="O30" s="16" t="b">
        <v>1</v>
      </c>
      <c r="P30" s="16" t="b">
        <v>1</v>
      </c>
      <c r="Q30" s="16" t="b">
        <v>1</v>
      </c>
      <c r="R30" s="16" t="b">
        <v>1</v>
      </c>
      <c r="S30" s="16" t="b">
        <v>1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1</v>
      </c>
      <c r="AJ30" s="6" t="b">
        <v>0</v>
      </c>
      <c r="AK30" s="6" t="b">
        <v>0</v>
      </c>
      <c r="AL30" s="9" t="str">
        <f t="shared" si="1"/>
        <v>14 dari 31 (45%)</v>
      </c>
    </row>
    <row r="31" ht="22.5" customHeight="1">
      <c r="A31" s="10">
        <v>30.0</v>
      </c>
      <c r="B31" s="11"/>
      <c r="C31" s="22">
        <v>35805.0</v>
      </c>
      <c r="D31" s="12" t="s">
        <v>63</v>
      </c>
      <c r="E31" s="12" t="s">
        <v>64</v>
      </c>
      <c r="F31" s="13"/>
      <c r="G31" s="6" t="b">
        <v>1</v>
      </c>
      <c r="H31" s="16" t="b">
        <v>1</v>
      </c>
      <c r="I31" s="16" t="b">
        <v>1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1</v>
      </c>
      <c r="AJ31" s="16" t="b">
        <v>0</v>
      </c>
      <c r="AK31" s="16" t="b">
        <v>0</v>
      </c>
      <c r="AL31" s="17" t="str">
        <f t="shared" si="1"/>
        <v>14 dari 31 (45%)</v>
      </c>
    </row>
    <row r="32" ht="22.5" customHeight="1">
      <c r="A32" s="2">
        <v>31.0</v>
      </c>
      <c r="B32" s="18"/>
      <c r="C32" s="20">
        <v>61120.0</v>
      </c>
      <c r="D32" s="12" t="s">
        <v>63</v>
      </c>
      <c r="E32" s="12" t="s">
        <v>64</v>
      </c>
      <c r="F32" s="13"/>
      <c r="G32" s="6" t="b">
        <v>1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16" t="b">
        <v>1</v>
      </c>
      <c r="S32" s="16" t="b">
        <v>1</v>
      </c>
      <c r="T32" s="6" t="b">
        <v>0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13 dari 31 (42%)</v>
      </c>
    </row>
    <row r="33" ht="22.5" customHeight="1">
      <c r="A33" s="10">
        <v>32.0</v>
      </c>
      <c r="B33" s="11"/>
      <c r="C33" s="20">
        <v>60956.0</v>
      </c>
      <c r="D33" s="12" t="s">
        <v>63</v>
      </c>
      <c r="E33" s="12" t="s">
        <v>64</v>
      </c>
      <c r="F33" s="13"/>
      <c r="G33" s="6" t="b">
        <v>1</v>
      </c>
      <c r="H33" s="6" t="b">
        <v>1</v>
      </c>
      <c r="I33" s="6" t="b">
        <v>1</v>
      </c>
      <c r="J33" s="6" t="b">
        <v>1</v>
      </c>
      <c r="K33" s="6" t="b">
        <v>1</v>
      </c>
      <c r="L33" s="6" t="b">
        <v>1</v>
      </c>
      <c r="M33" s="6" t="b">
        <v>1</v>
      </c>
      <c r="N33" s="6" t="b">
        <v>1</v>
      </c>
      <c r="O33" s="6" t="b">
        <v>1</v>
      </c>
      <c r="P33" s="6" t="b">
        <v>1</v>
      </c>
      <c r="Q33" s="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0</v>
      </c>
      <c r="AJ33" s="16" t="b">
        <v>0</v>
      </c>
      <c r="AK33" s="16" t="b">
        <v>0</v>
      </c>
      <c r="AL33" s="17" t="str">
        <f t="shared" si="1"/>
        <v>14 dari 31 (45%)</v>
      </c>
    </row>
    <row r="34" ht="22.5" customHeight="1">
      <c r="A34" s="2">
        <v>33.0</v>
      </c>
      <c r="B34" s="18"/>
      <c r="C34" s="20">
        <v>60895.0</v>
      </c>
      <c r="D34" s="12" t="s">
        <v>63</v>
      </c>
      <c r="E34" s="12" t="s">
        <v>64</v>
      </c>
      <c r="F34" s="13"/>
      <c r="G34" s="6" t="b">
        <v>1</v>
      </c>
      <c r="H34" s="6" t="b">
        <v>1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16" t="b">
        <v>1</v>
      </c>
      <c r="S34" s="16" t="b">
        <v>1</v>
      </c>
      <c r="T34" s="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0</v>
      </c>
      <c r="AJ34" s="6" t="b">
        <v>0</v>
      </c>
      <c r="AK34" s="6" t="b">
        <v>0</v>
      </c>
      <c r="AL34" s="9" t="str">
        <f t="shared" si="1"/>
        <v>14 dari 31 (45%)</v>
      </c>
    </row>
    <row r="35" ht="22.5" customHeight="1">
      <c r="A35" s="10">
        <v>34.0</v>
      </c>
      <c r="B35" s="11"/>
      <c r="C35" s="20">
        <v>60803.0</v>
      </c>
      <c r="D35" s="12" t="s">
        <v>63</v>
      </c>
      <c r="E35" s="12" t="s">
        <v>64</v>
      </c>
      <c r="F35" s="13"/>
      <c r="G35" s="6" t="b">
        <v>1</v>
      </c>
      <c r="H35" s="6" t="b">
        <v>1</v>
      </c>
      <c r="I35" s="6" t="b">
        <v>1</v>
      </c>
      <c r="J35" s="6" t="b">
        <v>1</v>
      </c>
      <c r="K35" s="6" t="b">
        <v>1</v>
      </c>
      <c r="L35" s="6" t="b">
        <v>1</v>
      </c>
      <c r="M35" s="6" t="b">
        <v>1</v>
      </c>
      <c r="N35" s="6" t="b">
        <v>1</v>
      </c>
      <c r="O35" s="6" t="b">
        <v>1</v>
      </c>
      <c r="P35" s="6" t="b">
        <v>1</v>
      </c>
      <c r="Q35" s="6" t="b">
        <v>1</v>
      </c>
      <c r="R35" s="16" t="b">
        <v>1</v>
      </c>
      <c r="S35" s="16" t="b">
        <v>1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1"/>
        <v>14 dari 31 (45%)</v>
      </c>
    </row>
    <row r="36" ht="22.5" customHeight="1">
      <c r="A36" s="2">
        <v>35.0</v>
      </c>
      <c r="B36" s="18"/>
      <c r="C36" s="20">
        <v>59902.0</v>
      </c>
      <c r="D36" s="12" t="s">
        <v>63</v>
      </c>
      <c r="E36" s="12" t="s">
        <v>64</v>
      </c>
      <c r="F36" s="13"/>
      <c r="G36" s="6" t="b">
        <v>1</v>
      </c>
      <c r="H36" s="6" t="b">
        <v>1</v>
      </c>
      <c r="I36" s="6" t="b">
        <v>1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16" t="b">
        <v>1</v>
      </c>
      <c r="S36" s="1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15 dari 31 (48%)</v>
      </c>
    </row>
    <row r="37" ht="22.5" customHeight="1">
      <c r="A37" s="10">
        <v>36.0</v>
      </c>
      <c r="B37" s="11"/>
      <c r="C37" s="22">
        <v>60978.0</v>
      </c>
      <c r="D37" s="12" t="s">
        <v>63</v>
      </c>
      <c r="E37" s="12" t="s">
        <v>64</v>
      </c>
      <c r="F37" s="13"/>
      <c r="G37" s="6" t="b">
        <v>1</v>
      </c>
      <c r="H37" s="6" t="b">
        <v>1</v>
      </c>
      <c r="I37" s="6" t="b">
        <v>1</v>
      </c>
      <c r="J37" s="6" t="b">
        <v>1</v>
      </c>
      <c r="K37" s="6" t="b">
        <v>1</v>
      </c>
      <c r="L37" s="6" t="b">
        <v>1</v>
      </c>
      <c r="M37" s="6" t="b">
        <v>1</v>
      </c>
      <c r="N37" s="6" t="b">
        <v>1</v>
      </c>
      <c r="O37" s="6" t="b">
        <v>1</v>
      </c>
      <c r="P37" s="6" t="b">
        <v>1</v>
      </c>
      <c r="Q37" s="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7" t="str">
        <f t="shared" si="1"/>
        <v>14 dari 31 (45%)</v>
      </c>
    </row>
    <row r="38" ht="22.5" customHeight="1">
      <c r="A38" s="2">
        <v>37.0</v>
      </c>
      <c r="B38" s="18"/>
      <c r="C38" s="22">
        <v>60505.0</v>
      </c>
      <c r="D38" s="12" t="s">
        <v>63</v>
      </c>
      <c r="E38" s="12" t="s">
        <v>64</v>
      </c>
      <c r="F38" s="13"/>
      <c r="G38" s="6" t="b">
        <v>1</v>
      </c>
      <c r="H38" s="6" t="b">
        <v>1</v>
      </c>
      <c r="I38" s="6" t="b">
        <v>1</v>
      </c>
      <c r="J38" s="6" t="b">
        <v>1</v>
      </c>
      <c r="K38" s="6" t="b">
        <v>1</v>
      </c>
      <c r="L38" s="6" t="b">
        <v>1</v>
      </c>
      <c r="M38" s="6" t="b">
        <v>1</v>
      </c>
      <c r="N38" s="6" t="b">
        <v>1</v>
      </c>
      <c r="O38" s="6" t="b">
        <v>1</v>
      </c>
      <c r="P38" s="6" t="b">
        <v>1</v>
      </c>
      <c r="Q38" s="6" t="b">
        <v>1</v>
      </c>
      <c r="R38" s="16" t="b">
        <v>1</v>
      </c>
      <c r="S38" s="16" t="b">
        <v>1</v>
      </c>
      <c r="T38" s="6" t="b">
        <v>1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1"/>
        <v>14 dari 31 (45%)</v>
      </c>
    </row>
    <row r="39" ht="22.5" customHeight="1">
      <c r="A39" s="10">
        <v>38.0</v>
      </c>
      <c r="B39" s="11"/>
      <c r="C39" s="22">
        <v>60707.0</v>
      </c>
      <c r="D39" s="12" t="s">
        <v>63</v>
      </c>
      <c r="E39" s="12" t="s">
        <v>118</v>
      </c>
      <c r="F39" s="13"/>
      <c r="G39" s="6" t="b">
        <v>1</v>
      </c>
      <c r="H39" s="6" t="b">
        <v>1</v>
      </c>
      <c r="I39" s="6" t="b">
        <v>1</v>
      </c>
      <c r="J39" s="6" t="b">
        <v>1</v>
      </c>
      <c r="K39" s="6" t="b">
        <v>1</v>
      </c>
      <c r="L39" s="6" t="b">
        <v>1</v>
      </c>
      <c r="M39" s="6" t="b">
        <v>1</v>
      </c>
      <c r="N39" s="6" t="b">
        <v>1</v>
      </c>
      <c r="O39" s="6" t="b">
        <v>1</v>
      </c>
      <c r="P39" s="6" t="b">
        <v>1</v>
      </c>
      <c r="Q39" s="6" t="b">
        <v>1</v>
      </c>
      <c r="R39" s="16" t="b">
        <v>1</v>
      </c>
      <c r="S39" s="16" t="b">
        <v>1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13 dari 31 (42%)</v>
      </c>
    </row>
    <row r="40" ht="22.5" customHeight="1">
      <c r="A40" s="2">
        <v>39.0</v>
      </c>
      <c r="B40" s="18"/>
      <c r="C40" s="22">
        <v>59200.0</v>
      </c>
      <c r="D40" s="12" t="s">
        <v>63</v>
      </c>
      <c r="E40" s="12" t="s">
        <v>118</v>
      </c>
      <c r="F40" s="13"/>
      <c r="G40" s="6" t="b">
        <v>1</v>
      </c>
      <c r="H40" s="6" t="b">
        <v>1</v>
      </c>
      <c r="I40" s="6" t="b">
        <v>1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16" t="b">
        <v>1</v>
      </c>
      <c r="S40" s="16" t="b">
        <v>1</v>
      </c>
      <c r="T40" s="6" t="b">
        <v>1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1</v>
      </c>
      <c r="AJ40" s="6" t="b">
        <v>0</v>
      </c>
      <c r="AK40" s="6" t="b">
        <v>0</v>
      </c>
      <c r="AL40" s="9" t="str">
        <f t="shared" si="1"/>
        <v>15 dari 31 (48%)</v>
      </c>
    </row>
    <row r="41" ht="22.5" customHeight="1">
      <c r="A41" s="10">
        <v>40.0</v>
      </c>
      <c r="B41" s="11"/>
      <c r="C41" s="22">
        <v>60804.0</v>
      </c>
      <c r="D41" s="12" t="s">
        <v>63</v>
      </c>
      <c r="E41" s="12" t="s">
        <v>64</v>
      </c>
      <c r="F41" s="13"/>
      <c r="G41" s="6" t="b">
        <v>1</v>
      </c>
      <c r="H41" s="6" t="b">
        <v>1</v>
      </c>
      <c r="I41" s="6" t="b">
        <v>1</v>
      </c>
      <c r="J41" s="6" t="b">
        <v>0</v>
      </c>
      <c r="K41" s="6" t="b">
        <v>0</v>
      </c>
      <c r="L41" s="6" t="b">
        <v>0</v>
      </c>
      <c r="M41" s="6" t="b">
        <v>0</v>
      </c>
      <c r="N41" s="6" t="b">
        <v>0</v>
      </c>
      <c r="O41" s="6" t="b">
        <v>0</v>
      </c>
      <c r="P41" s="6" t="b">
        <v>0</v>
      </c>
      <c r="Q41" s="6" t="b">
        <v>0</v>
      </c>
      <c r="R41" s="16" t="b">
        <v>1</v>
      </c>
      <c r="S41" s="16" t="b">
        <v>1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1</v>
      </c>
      <c r="AJ41" s="16" t="b">
        <v>0</v>
      </c>
      <c r="AK41" s="16" t="b">
        <v>0</v>
      </c>
      <c r="AL41" s="17" t="str">
        <f t="shared" si="1"/>
        <v>6 dari 31 (19%)</v>
      </c>
    </row>
    <row r="42" ht="22.5" customHeight="1">
      <c r="A42" s="2">
        <v>41.0</v>
      </c>
      <c r="B42" s="18"/>
      <c r="C42" s="20">
        <v>60805.0</v>
      </c>
      <c r="D42" s="12" t="s">
        <v>63</v>
      </c>
      <c r="E42" s="12" t="s">
        <v>64</v>
      </c>
      <c r="F42" s="13"/>
      <c r="G42" s="6" t="b">
        <v>1</v>
      </c>
      <c r="H42" s="6" t="b">
        <v>1</v>
      </c>
      <c r="I42" s="6" t="b">
        <v>1</v>
      </c>
      <c r="J42" s="6" t="b">
        <v>1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13 dari 31 (42%)</v>
      </c>
    </row>
    <row r="43" ht="22.5" customHeight="1">
      <c r="A43" s="10">
        <v>42.0</v>
      </c>
      <c r="B43" s="11"/>
      <c r="C43" s="20">
        <v>60210.0</v>
      </c>
      <c r="D43" s="12" t="s">
        <v>63</v>
      </c>
      <c r="E43" s="137" t="s">
        <v>64</v>
      </c>
      <c r="F43" s="13"/>
      <c r="G43" s="6" t="b">
        <v>1</v>
      </c>
      <c r="H43" s="6" t="b">
        <v>1</v>
      </c>
      <c r="I43" s="6" t="b">
        <v>1</v>
      </c>
      <c r="J43" s="6" t="b">
        <v>1</v>
      </c>
      <c r="K43" s="6" t="b">
        <v>1</v>
      </c>
      <c r="L43" s="6" t="b">
        <v>1</v>
      </c>
      <c r="M43" s="6" t="b">
        <v>1</v>
      </c>
      <c r="N43" s="6" t="b">
        <v>1</v>
      </c>
      <c r="O43" s="6" t="b">
        <v>1</v>
      </c>
      <c r="P43" s="6" t="b">
        <v>1</v>
      </c>
      <c r="Q43" s="6" t="b">
        <v>1</v>
      </c>
      <c r="R43" s="6" t="b">
        <v>1</v>
      </c>
      <c r="S43" s="6" t="b">
        <v>1</v>
      </c>
      <c r="T43" s="16" t="b">
        <v>1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1"/>
        <v>14 dari 31 (45%)</v>
      </c>
    </row>
    <row r="44" ht="22.5" customHeight="1">
      <c r="A44" s="2">
        <v>43.0</v>
      </c>
      <c r="B44" s="18"/>
      <c r="C44" s="20">
        <v>60670.0</v>
      </c>
      <c r="D44" s="12" t="s">
        <v>63</v>
      </c>
      <c r="E44" s="12" t="s">
        <v>64</v>
      </c>
      <c r="F44" s="13"/>
      <c r="G44" s="6" t="b">
        <v>1</v>
      </c>
      <c r="H44" s="6" t="b">
        <v>1</v>
      </c>
      <c r="I44" s="6" t="b">
        <v>1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13 dari 31 (42%)</v>
      </c>
    </row>
    <row r="45" ht="22.5" customHeight="1">
      <c r="A45" s="10">
        <v>44.0</v>
      </c>
      <c r="B45" s="11"/>
      <c r="C45" s="20">
        <v>60301.0</v>
      </c>
      <c r="D45" s="12" t="s">
        <v>63</v>
      </c>
      <c r="E45" s="12" t="s">
        <v>64</v>
      </c>
      <c r="F45" s="13"/>
      <c r="G45" s="6" t="b">
        <v>1</v>
      </c>
      <c r="H45" s="6" t="b">
        <v>1</v>
      </c>
      <c r="I45" s="6" t="b">
        <v>1</v>
      </c>
      <c r="J45" s="6" t="b">
        <v>1</v>
      </c>
      <c r="K45" s="6" t="b">
        <v>1</v>
      </c>
      <c r="L45" s="6" t="b">
        <v>1</v>
      </c>
      <c r="M45" s="6" t="b">
        <v>1</v>
      </c>
      <c r="N45" s="6" t="b">
        <v>1</v>
      </c>
      <c r="O45" s="6" t="b">
        <v>1</v>
      </c>
      <c r="P45" s="6" t="b">
        <v>1</v>
      </c>
      <c r="Q45" s="6" t="b">
        <v>1</v>
      </c>
      <c r="R45" s="6" t="b">
        <v>1</v>
      </c>
      <c r="S45" s="6" t="b">
        <v>1</v>
      </c>
      <c r="T45" s="16" t="b">
        <v>0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7" t="str">
        <f t="shared" si="1"/>
        <v>13 dari 31 (42%)</v>
      </c>
    </row>
    <row r="46" ht="22.5" customHeight="1">
      <c r="A46" s="2">
        <v>45.0</v>
      </c>
      <c r="B46" s="18"/>
      <c r="C46" s="20">
        <v>59460.0</v>
      </c>
      <c r="D46" s="12" t="s">
        <v>63</v>
      </c>
      <c r="E46" s="12" t="s">
        <v>64</v>
      </c>
      <c r="F46" s="13"/>
      <c r="G46" s="6" t="b">
        <v>1</v>
      </c>
      <c r="H46" s="6" t="b">
        <v>1</v>
      </c>
      <c r="I46" s="6" t="b">
        <v>1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0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1"/>
        <v>13 dari 31 (42%)</v>
      </c>
    </row>
    <row r="47" ht="22.5" customHeight="1">
      <c r="A47" s="10">
        <v>46.0</v>
      </c>
      <c r="B47" s="11"/>
      <c r="C47" s="22">
        <v>59441.0</v>
      </c>
      <c r="D47" s="12" t="s">
        <v>63</v>
      </c>
      <c r="E47" s="12" t="s">
        <v>64</v>
      </c>
      <c r="F47" s="13"/>
      <c r="G47" s="6" t="b">
        <v>1</v>
      </c>
      <c r="H47" s="6" t="b">
        <v>1</v>
      </c>
      <c r="I47" s="6" t="b">
        <v>1</v>
      </c>
      <c r="J47" s="6" t="b">
        <v>1</v>
      </c>
      <c r="K47" s="6" t="b">
        <v>1</v>
      </c>
      <c r="L47" s="6" t="b">
        <v>1</v>
      </c>
      <c r="M47" s="6" t="b">
        <v>1</v>
      </c>
      <c r="N47" s="6" t="b">
        <v>1</v>
      </c>
      <c r="O47" s="6" t="b">
        <v>1</v>
      </c>
      <c r="P47" s="6" t="b">
        <v>1</v>
      </c>
      <c r="Q47" s="6" t="b">
        <v>1</v>
      </c>
      <c r="R47" s="6" t="b">
        <v>1</v>
      </c>
      <c r="S47" s="6" t="b">
        <v>1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1</v>
      </c>
      <c r="AJ47" s="16" t="b">
        <v>0</v>
      </c>
      <c r="AK47" s="16" t="b">
        <v>0</v>
      </c>
      <c r="AL47" s="17" t="str">
        <f t="shared" si="1"/>
        <v>14 dari 31 (45%)</v>
      </c>
    </row>
    <row r="48" ht="22.5" customHeight="1">
      <c r="A48" s="10">
        <v>47.0</v>
      </c>
      <c r="B48" s="18"/>
      <c r="C48" s="22">
        <v>52659.0</v>
      </c>
      <c r="D48" s="12" t="s">
        <v>63</v>
      </c>
      <c r="E48" s="12" t="s">
        <v>64</v>
      </c>
      <c r="F48" s="13"/>
      <c r="G48" s="6" t="b">
        <v>1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0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1</v>
      </c>
      <c r="AJ48" s="6" t="b">
        <v>0</v>
      </c>
      <c r="AK48" s="6" t="b">
        <v>0</v>
      </c>
      <c r="AL48" s="9" t="str">
        <f t="shared" si="1"/>
        <v>14 dari 31 (45%)</v>
      </c>
    </row>
    <row r="49" ht="22.5" customHeight="1">
      <c r="A49" s="2">
        <v>48.0</v>
      </c>
      <c r="B49" s="11"/>
      <c r="C49" s="22">
        <v>60407.0</v>
      </c>
      <c r="D49" s="12" t="s">
        <v>63</v>
      </c>
      <c r="E49" s="12" t="s">
        <v>64</v>
      </c>
      <c r="F49" s="13"/>
      <c r="G49" s="6" t="b">
        <v>1</v>
      </c>
      <c r="H49" s="6" t="b">
        <v>1</v>
      </c>
      <c r="I49" s="6" t="b">
        <v>1</v>
      </c>
      <c r="J49" s="6" t="b">
        <v>1</v>
      </c>
      <c r="K49" s="6" t="b">
        <v>1</v>
      </c>
      <c r="L49" s="6" t="b">
        <v>1</v>
      </c>
      <c r="M49" s="6" t="b">
        <v>1</v>
      </c>
      <c r="N49" s="6" t="b">
        <v>1</v>
      </c>
      <c r="O49" s="6" t="b">
        <v>1</v>
      </c>
      <c r="P49" s="6" t="b">
        <v>1</v>
      </c>
      <c r="Q49" s="6" t="b">
        <v>1</v>
      </c>
      <c r="R49" s="6" t="b">
        <v>1</v>
      </c>
      <c r="S49" s="6" t="b">
        <v>1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14 dari 31 (45%)</v>
      </c>
    </row>
    <row r="50" ht="22.5" customHeight="1">
      <c r="A50" s="10">
        <v>49.0</v>
      </c>
      <c r="B50" s="11"/>
      <c r="C50" s="22">
        <v>58232.0</v>
      </c>
      <c r="D50" s="12" t="s">
        <v>63</v>
      </c>
      <c r="E50" s="12" t="s">
        <v>64</v>
      </c>
      <c r="F50" s="13"/>
      <c r="G50" s="6" t="b">
        <v>1</v>
      </c>
      <c r="H50" s="6" t="b">
        <v>1</v>
      </c>
      <c r="I50" s="6" t="b">
        <v>1</v>
      </c>
      <c r="J50" s="6" t="b">
        <v>1</v>
      </c>
      <c r="K50" s="6" t="b">
        <v>1</v>
      </c>
      <c r="L50" s="6" t="b">
        <v>1</v>
      </c>
      <c r="M50" s="6" t="b">
        <v>1</v>
      </c>
      <c r="N50" s="6" t="b">
        <v>1</v>
      </c>
      <c r="O50" s="6" t="b">
        <v>1</v>
      </c>
      <c r="P50" s="6" t="b">
        <v>1</v>
      </c>
      <c r="Q50" s="6" t="b">
        <v>1</v>
      </c>
      <c r="R50" s="6" t="b">
        <v>1</v>
      </c>
      <c r="S50" s="6" t="b">
        <v>1</v>
      </c>
      <c r="T50" s="6" t="b">
        <v>0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1</v>
      </c>
      <c r="AJ50" s="6" t="b">
        <v>0</v>
      </c>
      <c r="AK50" s="6" t="b">
        <v>0</v>
      </c>
      <c r="AL50" s="9" t="str">
        <f t="shared" si="1"/>
        <v>14 dari 31 (45%)</v>
      </c>
    </row>
    <row r="51" ht="22.5" customHeight="1">
      <c r="A51" s="10">
        <v>50.0</v>
      </c>
      <c r="B51" s="11"/>
      <c r="C51" s="22">
        <v>61030.0</v>
      </c>
      <c r="D51" s="12" t="s">
        <v>63</v>
      </c>
      <c r="E51" s="12" t="s">
        <v>64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13 dari 31 (42%)</v>
      </c>
    </row>
    <row r="52" ht="22.5" customHeight="1">
      <c r="A52" s="2">
        <v>51.0</v>
      </c>
      <c r="B52" s="11"/>
      <c r="C52" s="20">
        <v>37933.0</v>
      </c>
      <c r="D52" s="12" t="s">
        <v>63</v>
      </c>
      <c r="E52" s="12" t="s">
        <v>64</v>
      </c>
      <c r="F52" s="14" t="s">
        <v>50</v>
      </c>
      <c r="G52" s="6" t="b">
        <v>1</v>
      </c>
      <c r="H52" s="6" t="b">
        <v>1</v>
      </c>
      <c r="I52" s="6" t="b">
        <v>0</v>
      </c>
      <c r="J52" s="6" t="b">
        <v>0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0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12 dari 31 (39%)</v>
      </c>
    </row>
    <row r="53" ht="22.5" customHeight="1">
      <c r="A53" s="10">
        <v>52.0</v>
      </c>
      <c r="B53" s="11"/>
      <c r="C53" s="20">
        <v>59879.0</v>
      </c>
      <c r="D53" s="12" t="s">
        <v>63</v>
      </c>
      <c r="E53" s="12" t="s">
        <v>64</v>
      </c>
      <c r="F53" s="14" t="s">
        <v>50</v>
      </c>
      <c r="G53" s="6" t="b">
        <v>1</v>
      </c>
      <c r="H53" s="6" t="b">
        <v>1</v>
      </c>
      <c r="I53" s="6" t="b">
        <v>0</v>
      </c>
      <c r="J53" s="6" t="b">
        <v>0</v>
      </c>
      <c r="K53" s="6" t="b">
        <v>1</v>
      </c>
      <c r="L53" s="6" t="b">
        <v>1</v>
      </c>
      <c r="M53" s="6" t="b">
        <v>1</v>
      </c>
      <c r="N53" s="6" t="b">
        <v>1</v>
      </c>
      <c r="O53" s="6" t="b">
        <v>1</v>
      </c>
      <c r="P53" s="6" t="b">
        <v>1</v>
      </c>
      <c r="Q53" s="6" t="b">
        <v>1</v>
      </c>
      <c r="R53" s="6" t="b">
        <v>1</v>
      </c>
      <c r="S53" s="6" t="b">
        <v>1</v>
      </c>
      <c r="T53" s="6" t="b">
        <v>0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1</v>
      </c>
      <c r="AJ53" s="6" t="b">
        <v>0</v>
      </c>
      <c r="AK53" s="6" t="b">
        <v>0</v>
      </c>
      <c r="AL53" s="9" t="str">
        <f t="shared" si="1"/>
        <v>12 dari 31 (39%)</v>
      </c>
    </row>
    <row r="54" ht="22.5" customHeight="1">
      <c r="A54" s="10">
        <v>53.0</v>
      </c>
      <c r="B54" s="11"/>
      <c r="C54" s="20">
        <v>60784.0</v>
      </c>
      <c r="D54" s="12" t="s">
        <v>63</v>
      </c>
      <c r="E54" s="12" t="s">
        <v>87</v>
      </c>
      <c r="F54" s="13"/>
      <c r="G54" s="6" t="b">
        <v>1</v>
      </c>
      <c r="H54" s="6" t="b">
        <v>1</v>
      </c>
      <c r="I54" s="6" t="b">
        <v>1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0</v>
      </c>
      <c r="S54" s="6" t="b">
        <v>1</v>
      </c>
      <c r="T54" s="6" t="b">
        <v>0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13 dari 31 (42%)</v>
      </c>
    </row>
    <row r="55" ht="22.5" customHeight="1">
      <c r="A55" s="2">
        <v>54.0</v>
      </c>
      <c r="B55" s="11"/>
      <c r="C55" s="20">
        <v>33157.0</v>
      </c>
      <c r="D55" s="12" t="s">
        <v>63</v>
      </c>
      <c r="E55" s="12" t="s">
        <v>87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0</v>
      </c>
      <c r="S55" s="6" t="b">
        <v>1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1</v>
      </c>
      <c r="AJ55" s="6" t="b">
        <v>0</v>
      </c>
      <c r="AK55" s="6" t="b">
        <v>0</v>
      </c>
      <c r="AL55" s="9" t="str">
        <f t="shared" si="1"/>
        <v>13 dari 31 (42%)</v>
      </c>
    </row>
    <row r="56" ht="22.5" customHeight="1">
      <c r="A56" s="10">
        <v>55.0</v>
      </c>
      <c r="B56" s="11"/>
      <c r="C56" s="20">
        <v>60438.0</v>
      </c>
      <c r="D56" s="12" t="s">
        <v>63</v>
      </c>
      <c r="E56" s="12" t="s">
        <v>87</v>
      </c>
      <c r="F56" s="13"/>
      <c r="G56" s="6" t="b">
        <v>1</v>
      </c>
      <c r="H56" s="6" t="b">
        <v>1</v>
      </c>
      <c r="I56" s="6" t="b">
        <v>1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0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1"/>
        <v>14 dari 31 (45%)</v>
      </c>
    </row>
    <row r="57" ht="22.5" customHeight="1">
      <c r="A57" s="10">
        <v>56.0</v>
      </c>
      <c r="B57" s="11"/>
      <c r="C57" s="22">
        <v>23503.0</v>
      </c>
      <c r="D57" s="12" t="s">
        <v>63</v>
      </c>
      <c r="E57" s="12" t="s">
        <v>87</v>
      </c>
      <c r="F57" s="13"/>
      <c r="G57" s="6" t="b">
        <v>1</v>
      </c>
      <c r="H57" s="6" t="b">
        <v>1</v>
      </c>
      <c r="I57" s="6" t="b">
        <v>1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1</v>
      </c>
      <c r="AJ57" s="6" t="b">
        <v>0</v>
      </c>
      <c r="AK57" s="6" t="b">
        <v>0</v>
      </c>
      <c r="AL57" s="17" t="str">
        <f t="shared" si="1"/>
        <v>14 dari 31 (45%)</v>
      </c>
    </row>
    <row r="58" ht="22.5" customHeight="1">
      <c r="A58" s="2">
        <v>57.0</v>
      </c>
      <c r="B58" s="11"/>
      <c r="C58" s="22">
        <v>46506.0</v>
      </c>
      <c r="D58" s="12" t="s">
        <v>63</v>
      </c>
      <c r="E58" s="12" t="s">
        <v>87</v>
      </c>
      <c r="F58" s="13"/>
      <c r="G58" s="6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0</v>
      </c>
      <c r="S58" s="6" t="b">
        <v>1</v>
      </c>
      <c r="T58" s="6" t="b">
        <v>0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1"/>
        <v>13 dari 31 (42%)</v>
      </c>
    </row>
    <row r="59" ht="22.5" customHeight="1">
      <c r="A59" s="10">
        <v>58.0</v>
      </c>
      <c r="B59" s="11"/>
      <c r="C59" s="22">
        <v>60606.0</v>
      </c>
      <c r="D59" s="12" t="s">
        <v>63</v>
      </c>
      <c r="E59" s="12" t="s">
        <v>87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1"/>
        <v>13 dari 31 (42%)</v>
      </c>
    </row>
    <row r="60" ht="22.5" customHeight="1">
      <c r="A60" s="10">
        <v>59.0</v>
      </c>
      <c r="B60" s="11"/>
      <c r="C60" s="22">
        <v>57425.0</v>
      </c>
      <c r="D60" s="12" t="s">
        <v>63</v>
      </c>
      <c r="E60" s="12" t="s">
        <v>87</v>
      </c>
      <c r="F60" s="13"/>
      <c r="G60" s="6" t="b">
        <v>1</v>
      </c>
      <c r="H60" s="6" t="b">
        <v>1</v>
      </c>
      <c r="I60" s="6" t="b">
        <v>1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1</v>
      </c>
      <c r="AJ60" s="6" t="b">
        <v>0</v>
      </c>
      <c r="AK60" s="6" t="b">
        <v>0</v>
      </c>
      <c r="AL60" s="17" t="str">
        <f t="shared" si="1"/>
        <v>14 dari 31 (45%)</v>
      </c>
    </row>
    <row r="61" ht="22.5" customHeight="1">
      <c r="A61" s="2">
        <v>60.0</v>
      </c>
      <c r="B61" s="11"/>
      <c r="C61" s="22">
        <v>56125.0</v>
      </c>
      <c r="D61" s="12" t="s">
        <v>63</v>
      </c>
      <c r="E61" s="12" t="s">
        <v>123</v>
      </c>
      <c r="F61" s="13"/>
      <c r="G61" s="6" t="b">
        <v>1</v>
      </c>
      <c r="H61" s="6" t="b">
        <v>1</v>
      </c>
      <c r="I61" s="6" t="b">
        <v>1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0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1</v>
      </c>
      <c r="AJ61" s="6" t="b">
        <v>0</v>
      </c>
      <c r="AK61" s="6" t="b">
        <v>0</v>
      </c>
      <c r="AL61" s="9" t="str">
        <f t="shared" si="1"/>
        <v>14 dari 31 (45%)</v>
      </c>
    </row>
    <row r="62" ht="22.5" customHeight="1">
      <c r="A62" s="10">
        <v>61.0</v>
      </c>
      <c r="B62" s="11"/>
      <c r="C62" s="20">
        <v>57298.0</v>
      </c>
      <c r="D62" s="12" t="s">
        <v>63</v>
      </c>
      <c r="E62" s="12" t="s">
        <v>87</v>
      </c>
      <c r="F62" s="13"/>
      <c r="G62" s="6" t="b">
        <v>1</v>
      </c>
      <c r="H62" s="6" t="b">
        <v>1</v>
      </c>
      <c r="I62" s="6" t="b">
        <v>1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0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1</v>
      </c>
      <c r="AJ62" s="6" t="b">
        <v>0</v>
      </c>
      <c r="AK62" s="6" t="b">
        <v>0</v>
      </c>
      <c r="AL62" s="9" t="str">
        <f t="shared" si="1"/>
        <v>14 dari 31 (45%)</v>
      </c>
    </row>
    <row r="63" ht="22.5" customHeight="1">
      <c r="A63" s="10">
        <v>62.0</v>
      </c>
      <c r="B63" s="11"/>
      <c r="C63" s="20">
        <v>40983.0</v>
      </c>
      <c r="D63" s="12" t="s">
        <v>63</v>
      </c>
      <c r="E63" s="12" t="s">
        <v>112</v>
      </c>
      <c r="F63" s="13"/>
      <c r="G63" s="6" t="b">
        <v>1</v>
      </c>
      <c r="H63" s="6" t="b">
        <v>1</v>
      </c>
      <c r="I63" s="6" t="b">
        <v>1</v>
      </c>
      <c r="J63" s="6" t="b">
        <v>1</v>
      </c>
      <c r="K63" s="6" t="b">
        <v>1</v>
      </c>
      <c r="L63" s="6" t="b">
        <v>1</v>
      </c>
      <c r="M63" s="6" t="b">
        <v>1</v>
      </c>
      <c r="N63" s="6" t="b">
        <v>1</v>
      </c>
      <c r="O63" s="6" t="b">
        <v>1</v>
      </c>
      <c r="P63" s="6" t="b">
        <v>1</v>
      </c>
      <c r="Q63" s="6" t="b">
        <v>1</v>
      </c>
      <c r="R63" s="6" t="b">
        <v>0</v>
      </c>
      <c r="S63" s="6" t="b">
        <v>1</v>
      </c>
      <c r="T63" s="6" t="b">
        <v>0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1</v>
      </c>
      <c r="AJ63" s="6" t="b">
        <v>0</v>
      </c>
      <c r="AK63" s="6" t="b">
        <v>0</v>
      </c>
      <c r="AL63" s="17" t="str">
        <f t="shared" si="1"/>
        <v>13 dari 31 (42%)</v>
      </c>
    </row>
    <row r="64" ht="22.5" customHeight="1">
      <c r="A64" s="2">
        <v>63.0</v>
      </c>
      <c r="B64" s="11"/>
      <c r="C64" s="20">
        <v>57958.0</v>
      </c>
      <c r="D64" s="12" t="s">
        <v>68</v>
      </c>
      <c r="E64" s="12" t="s">
        <v>109</v>
      </c>
      <c r="F64" s="13"/>
      <c r="G64" s="6" t="b">
        <v>1</v>
      </c>
      <c r="H64" s="6" t="b">
        <v>1</v>
      </c>
      <c r="I64" s="6" t="b">
        <v>1</v>
      </c>
      <c r="J64" s="6" t="b">
        <v>1</v>
      </c>
      <c r="K64" s="6" t="b">
        <v>1</v>
      </c>
      <c r="L64" s="6" t="b">
        <v>1</v>
      </c>
      <c r="M64" s="6" t="b">
        <v>1</v>
      </c>
      <c r="N64" s="6" t="b">
        <v>1</v>
      </c>
      <c r="O64" s="6" t="b">
        <v>1</v>
      </c>
      <c r="P64" s="6" t="b">
        <v>1</v>
      </c>
      <c r="Q64" s="6" t="b">
        <v>1</v>
      </c>
      <c r="R64" s="6" t="b">
        <v>1</v>
      </c>
      <c r="S64" s="6" t="b">
        <v>1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1"/>
        <v>13 dari 31 (42%)</v>
      </c>
    </row>
    <row r="65" ht="22.5" customHeight="1">
      <c r="A65" s="10">
        <v>64.0</v>
      </c>
      <c r="B65" s="11"/>
      <c r="C65" s="20">
        <v>50222.0</v>
      </c>
      <c r="D65" s="12" t="s">
        <v>63</v>
      </c>
      <c r="E65" s="12" t="s">
        <v>112</v>
      </c>
      <c r="F65" s="13"/>
      <c r="G65" s="6" t="b">
        <v>1</v>
      </c>
      <c r="H65" s="6" t="b">
        <v>1</v>
      </c>
      <c r="I65" s="6" t="b">
        <v>1</v>
      </c>
      <c r="J65" s="6" t="b">
        <v>1</v>
      </c>
      <c r="K65" s="6" t="b">
        <v>1</v>
      </c>
      <c r="L65" s="6" t="b">
        <v>1</v>
      </c>
      <c r="M65" s="6" t="b">
        <v>1</v>
      </c>
      <c r="N65" s="6" t="b">
        <v>1</v>
      </c>
      <c r="O65" s="6" t="b">
        <v>1</v>
      </c>
      <c r="P65" s="6" t="b">
        <v>1</v>
      </c>
      <c r="Q65" s="6" t="b">
        <v>1</v>
      </c>
      <c r="R65" s="6" t="b">
        <v>0</v>
      </c>
      <c r="S65" s="6" t="b">
        <v>1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0</v>
      </c>
      <c r="AJ65" s="6" t="b">
        <v>0</v>
      </c>
      <c r="AK65" s="6" t="b">
        <v>0</v>
      </c>
      <c r="AL65" s="9" t="str">
        <f t="shared" si="1"/>
        <v>12 dari 31 (39%)</v>
      </c>
    </row>
    <row r="66" ht="22.5" customHeight="1">
      <c r="A66" s="10">
        <v>65.0</v>
      </c>
      <c r="B66" s="11"/>
      <c r="C66" s="20">
        <v>54936.0</v>
      </c>
      <c r="D66" s="12" t="s">
        <v>63</v>
      </c>
      <c r="E66" s="12" t="s">
        <v>112</v>
      </c>
      <c r="F66" s="13"/>
      <c r="G66" s="6" t="b">
        <v>1</v>
      </c>
      <c r="H66" s="6" t="b">
        <v>1</v>
      </c>
      <c r="I66" s="6" t="b">
        <v>1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15 dari 31 (48%)</v>
      </c>
    </row>
    <row r="67" ht="22.5" customHeight="1">
      <c r="A67" s="2">
        <v>66.0</v>
      </c>
      <c r="B67" s="11"/>
      <c r="C67" s="22">
        <v>55122.0</v>
      </c>
      <c r="D67" s="12" t="s">
        <v>63</v>
      </c>
      <c r="E67" s="12" t="s">
        <v>112</v>
      </c>
      <c r="F67" s="13"/>
      <c r="G67" s="6" t="b">
        <v>1</v>
      </c>
      <c r="H67" s="6" t="b">
        <v>1</v>
      </c>
      <c r="I67" s="6" t="b">
        <v>1</v>
      </c>
      <c r="J67" s="6" t="b">
        <v>1</v>
      </c>
      <c r="K67" s="6" t="b">
        <v>1</v>
      </c>
      <c r="L67" s="6" t="b">
        <v>1</v>
      </c>
      <c r="M67" s="6" t="b">
        <v>1</v>
      </c>
      <c r="N67" s="6" t="b">
        <v>1</v>
      </c>
      <c r="O67" s="6" t="b">
        <v>1</v>
      </c>
      <c r="P67" s="6" t="b">
        <v>1</v>
      </c>
      <c r="Q67" s="6" t="b">
        <v>1</v>
      </c>
      <c r="R67" s="6" t="b">
        <v>1</v>
      </c>
      <c r="S67" s="6" t="b">
        <v>1</v>
      </c>
      <c r="T67" s="6" t="b">
        <v>1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1</v>
      </c>
      <c r="AJ67" s="6" t="b">
        <v>0</v>
      </c>
      <c r="AK67" s="6" t="b">
        <v>0</v>
      </c>
      <c r="AL67" s="9" t="str">
        <f t="shared" si="1"/>
        <v>15 dari 31 (48%)</v>
      </c>
    </row>
    <row r="68" ht="22.5" customHeight="1">
      <c r="A68" s="10">
        <v>67.0</v>
      </c>
      <c r="B68" s="11"/>
      <c r="C68" s="22">
        <v>52729.0</v>
      </c>
      <c r="D68" s="12" t="s">
        <v>63</v>
      </c>
      <c r="E68" s="12" t="s">
        <v>112</v>
      </c>
      <c r="F68" s="13"/>
      <c r="G68" s="6" t="b">
        <v>1</v>
      </c>
      <c r="H68" s="6" t="b">
        <v>1</v>
      </c>
      <c r="I68" s="6" t="b">
        <v>1</v>
      </c>
      <c r="J68" s="6" t="b">
        <v>1</v>
      </c>
      <c r="K68" s="6" t="b">
        <v>1</v>
      </c>
      <c r="L68" s="6" t="b">
        <v>1</v>
      </c>
      <c r="M68" s="6" t="b">
        <v>1</v>
      </c>
      <c r="N68" s="6" t="b">
        <v>1</v>
      </c>
      <c r="O68" s="6" t="b">
        <v>1</v>
      </c>
      <c r="P68" s="6" t="b">
        <v>1</v>
      </c>
      <c r="Q68" s="6" t="b">
        <v>1</v>
      </c>
      <c r="R68" s="6" t="b">
        <v>1</v>
      </c>
      <c r="S68" s="6" t="b">
        <v>1</v>
      </c>
      <c r="T68" s="6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1</v>
      </c>
      <c r="AJ68" s="6" t="b">
        <v>0</v>
      </c>
      <c r="AK68" s="6" t="b">
        <v>0</v>
      </c>
      <c r="AL68" s="9" t="str">
        <f t="shared" si="1"/>
        <v>15 dari 31 (48%)</v>
      </c>
    </row>
    <row r="69" ht="22.5" customHeight="1">
      <c r="A69" s="10">
        <v>68.0</v>
      </c>
      <c r="B69" s="11"/>
      <c r="C69" s="22">
        <v>33889.0</v>
      </c>
      <c r="D69" s="12" t="s">
        <v>63</v>
      </c>
      <c r="E69" s="12" t="s">
        <v>112</v>
      </c>
      <c r="F69" s="13"/>
      <c r="G69" s="6" t="b">
        <v>1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0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0</v>
      </c>
      <c r="AL69" s="17" t="str">
        <f t="shared" si="1"/>
        <v>14 dari 31 (45%)</v>
      </c>
    </row>
    <row r="70" ht="22.5" customHeight="1">
      <c r="A70" s="2">
        <v>69.0</v>
      </c>
      <c r="B70" s="11"/>
      <c r="C70" s="22">
        <v>59430.0</v>
      </c>
      <c r="D70" s="12" t="s">
        <v>63</v>
      </c>
      <c r="E70" s="12" t="s">
        <v>112</v>
      </c>
      <c r="F70" s="13"/>
      <c r="G70" s="6" t="b">
        <v>1</v>
      </c>
      <c r="H70" s="6" t="b">
        <v>1</v>
      </c>
      <c r="I70" s="6" t="b">
        <v>1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0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1</v>
      </c>
      <c r="AJ70" s="6" t="b">
        <v>0</v>
      </c>
      <c r="AK70" s="6" t="b">
        <v>0</v>
      </c>
      <c r="AL70" s="9" t="str">
        <f t="shared" si="1"/>
        <v>14 dari 31 (45%)</v>
      </c>
    </row>
    <row r="71" ht="22.5" customHeight="1">
      <c r="A71" s="10">
        <v>70.0</v>
      </c>
      <c r="B71" s="11"/>
      <c r="C71" s="22">
        <v>60809.0</v>
      </c>
      <c r="D71" s="12" t="s">
        <v>63</v>
      </c>
      <c r="E71" s="12" t="s">
        <v>112</v>
      </c>
      <c r="F71" s="13"/>
      <c r="G71" s="6" t="b">
        <v>1</v>
      </c>
      <c r="H71" s="6" t="b">
        <v>1</v>
      </c>
      <c r="I71" s="6" t="b">
        <v>1</v>
      </c>
      <c r="J71" s="6" t="b">
        <v>1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1</v>
      </c>
      <c r="AJ71" s="6" t="b">
        <v>0</v>
      </c>
      <c r="AK71" s="6" t="b">
        <v>0</v>
      </c>
      <c r="AL71" s="9" t="str">
        <f t="shared" si="1"/>
        <v>14 dari 31 (45%)</v>
      </c>
    </row>
    <row r="72" ht="22.5" customHeight="1">
      <c r="A72" s="10">
        <v>71.0</v>
      </c>
      <c r="B72" s="11"/>
      <c r="C72" s="21">
        <v>57298.0</v>
      </c>
      <c r="D72" s="12" t="s">
        <v>63</v>
      </c>
      <c r="E72" s="12" t="s">
        <v>112</v>
      </c>
      <c r="F72" s="15" t="s">
        <v>50</v>
      </c>
      <c r="G72" s="6" t="b">
        <v>1</v>
      </c>
      <c r="H72" s="6" t="b">
        <v>0</v>
      </c>
      <c r="I72" s="6" t="b">
        <v>0</v>
      </c>
      <c r="J72" s="6" t="b">
        <v>1</v>
      </c>
      <c r="K72" s="6" t="b">
        <v>1</v>
      </c>
      <c r="L72" s="6" t="b">
        <v>1</v>
      </c>
      <c r="M72" s="6" t="b">
        <v>1</v>
      </c>
      <c r="N72" s="6" t="b">
        <v>1</v>
      </c>
      <c r="O72" s="6" t="b">
        <v>1</v>
      </c>
      <c r="P72" s="6" t="b">
        <v>1</v>
      </c>
      <c r="Q72" s="6" t="b">
        <v>1</v>
      </c>
      <c r="R72" s="6" t="b">
        <v>1</v>
      </c>
      <c r="S72" s="6" t="b">
        <v>1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0</v>
      </c>
      <c r="AJ72" s="6" t="b">
        <v>0</v>
      </c>
      <c r="AK72" s="6" t="b">
        <v>0</v>
      </c>
      <c r="AL72" s="17" t="str">
        <f t="shared" si="1"/>
        <v>11 dari 31 (35%)</v>
      </c>
    </row>
    <row r="73" ht="22.5" customHeight="1">
      <c r="A73" s="2">
        <v>72.0</v>
      </c>
      <c r="B73" s="11"/>
      <c r="C73" s="20">
        <v>40983.0</v>
      </c>
      <c r="D73" s="12" t="s">
        <v>63</v>
      </c>
      <c r="E73" s="12" t="s">
        <v>112</v>
      </c>
      <c r="F73" s="13"/>
      <c r="G73" s="6" t="b">
        <v>1</v>
      </c>
      <c r="H73" s="6" t="b">
        <v>1</v>
      </c>
      <c r="I73" s="6" t="b">
        <v>0</v>
      </c>
      <c r="J73" s="6" t="b">
        <v>1</v>
      </c>
      <c r="K73" s="6" t="b">
        <v>1</v>
      </c>
      <c r="L73" s="6" t="b">
        <v>1</v>
      </c>
      <c r="M73" s="6" t="b">
        <v>1</v>
      </c>
      <c r="N73" s="6" t="b">
        <v>1</v>
      </c>
      <c r="O73" s="6" t="b">
        <v>1</v>
      </c>
      <c r="P73" s="6" t="b">
        <v>1</v>
      </c>
      <c r="Q73" s="6" t="b">
        <v>1</v>
      </c>
      <c r="R73" s="6" t="b">
        <v>1</v>
      </c>
      <c r="S73" s="6" t="b">
        <v>1</v>
      </c>
      <c r="T73" s="6" t="b">
        <v>0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12 dari 31 (39%)</v>
      </c>
    </row>
    <row r="74" ht="22.5" customHeight="1">
      <c r="A74" s="10">
        <v>73.0</v>
      </c>
      <c r="B74" s="11"/>
      <c r="C74" s="20">
        <v>57958.0</v>
      </c>
      <c r="D74" s="12" t="s">
        <v>68</v>
      </c>
      <c r="E74" s="12" t="s">
        <v>109</v>
      </c>
      <c r="G74" s="6" t="b">
        <v>1</v>
      </c>
      <c r="H74" s="6" t="b">
        <v>1</v>
      </c>
      <c r="I74" s="6" t="b">
        <v>0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1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0</v>
      </c>
      <c r="AJ74" s="6" t="b">
        <v>0</v>
      </c>
      <c r="AK74" s="6" t="b">
        <v>0</v>
      </c>
      <c r="AL74" s="9" t="str">
        <f t="shared" si="1"/>
        <v>13 dari 31 (42%)</v>
      </c>
    </row>
    <row r="75" ht="22.5" customHeight="1">
      <c r="A75" s="10">
        <v>74.0</v>
      </c>
      <c r="B75" s="11"/>
      <c r="C75" s="20">
        <v>50222.0</v>
      </c>
      <c r="D75" s="12" t="s">
        <v>63</v>
      </c>
      <c r="E75" s="12" t="s">
        <v>112</v>
      </c>
      <c r="F75" s="13"/>
      <c r="G75" s="6" t="b">
        <v>1</v>
      </c>
      <c r="H75" s="6" t="b">
        <v>1</v>
      </c>
      <c r="I75" s="6" t="b">
        <v>1</v>
      </c>
      <c r="J75" s="6" t="b">
        <v>1</v>
      </c>
      <c r="K75" s="6" t="b">
        <v>1</v>
      </c>
      <c r="L75" s="6" t="b">
        <v>1</v>
      </c>
      <c r="M75" s="6" t="b">
        <v>1</v>
      </c>
      <c r="N75" s="6" t="b">
        <v>1</v>
      </c>
      <c r="O75" s="6" t="b">
        <v>1</v>
      </c>
      <c r="P75" s="6" t="b">
        <v>1</v>
      </c>
      <c r="Q75" s="6" t="b">
        <v>1</v>
      </c>
      <c r="R75" s="6" t="b">
        <v>1</v>
      </c>
      <c r="S75" s="6" t="b">
        <v>1</v>
      </c>
      <c r="T75" s="6" t="b">
        <v>0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13 dari 31 (42%)</v>
      </c>
    </row>
    <row r="76" ht="22.5" customHeight="1">
      <c r="A76" s="2">
        <v>75.0</v>
      </c>
      <c r="B76" s="11"/>
      <c r="C76" s="20">
        <v>54936.0</v>
      </c>
      <c r="D76" s="12" t="s">
        <v>63</v>
      </c>
      <c r="E76" s="12" t="s">
        <v>112</v>
      </c>
      <c r="F76" s="13"/>
      <c r="G76" s="6" t="b">
        <v>1</v>
      </c>
      <c r="H76" s="6" t="b">
        <v>1</v>
      </c>
      <c r="I76" s="6" t="b">
        <v>1</v>
      </c>
      <c r="J76" s="6" t="b">
        <v>1</v>
      </c>
      <c r="K76" s="6" t="b">
        <v>1</v>
      </c>
      <c r="L76" s="6" t="b">
        <v>1</v>
      </c>
      <c r="M76" s="6" t="b">
        <v>1</v>
      </c>
      <c r="N76" s="6" t="b">
        <v>1</v>
      </c>
      <c r="O76" s="6" t="b">
        <v>1</v>
      </c>
      <c r="P76" s="6" t="b">
        <v>1</v>
      </c>
      <c r="Q76" s="6" t="b">
        <v>1</v>
      </c>
      <c r="R76" s="6" t="b">
        <v>1</v>
      </c>
      <c r="S76" s="6" t="b">
        <v>1</v>
      </c>
      <c r="T76" s="6" t="b">
        <v>0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0</v>
      </c>
      <c r="AJ76" s="6" t="b">
        <v>0</v>
      </c>
      <c r="AK76" s="6" t="b">
        <v>0</v>
      </c>
      <c r="AL76" s="9" t="str">
        <f t="shared" si="1"/>
        <v>13 dari 31 (42%)</v>
      </c>
    </row>
    <row r="77" ht="22.5" customHeight="1">
      <c r="A77" s="10">
        <v>76.0</v>
      </c>
      <c r="B77" s="11"/>
      <c r="C77" s="22">
        <v>55122.0</v>
      </c>
      <c r="D77" s="12" t="s">
        <v>63</v>
      </c>
      <c r="E77" s="12" t="s">
        <v>112</v>
      </c>
      <c r="F77" s="13"/>
      <c r="G77" s="6" t="b">
        <v>1</v>
      </c>
      <c r="H77" s="6" t="b">
        <v>1</v>
      </c>
      <c r="I77" s="6" t="b">
        <v>1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13 dari 31 (42%)</v>
      </c>
    </row>
    <row r="78" ht="22.5" customHeight="1">
      <c r="A78" s="61">
        <v>77.0</v>
      </c>
      <c r="B78" s="62"/>
      <c r="C78" s="32">
        <v>52729.0</v>
      </c>
      <c r="D78" s="51" t="s">
        <v>63</v>
      </c>
      <c r="E78" s="51" t="s">
        <v>112</v>
      </c>
      <c r="F78" s="53"/>
      <c r="G78" s="35" t="b">
        <v>0</v>
      </c>
      <c r="H78" s="35" t="b">
        <v>0</v>
      </c>
      <c r="I78" s="35" t="b">
        <v>0</v>
      </c>
      <c r="J78" s="35" t="b">
        <v>0</v>
      </c>
      <c r="K78" s="35" t="b">
        <v>0</v>
      </c>
      <c r="L78" s="35" t="b">
        <v>0</v>
      </c>
      <c r="M78" s="35" t="b">
        <v>0</v>
      </c>
      <c r="N78" s="35" t="b">
        <v>0</v>
      </c>
      <c r="O78" s="35" t="b">
        <v>0</v>
      </c>
      <c r="P78" s="35" t="b">
        <v>0</v>
      </c>
      <c r="Q78" s="35" t="b">
        <v>0</v>
      </c>
      <c r="R78" s="35" t="b">
        <v>0</v>
      </c>
      <c r="S78" s="35" t="b">
        <v>0</v>
      </c>
      <c r="T78" s="35" t="b">
        <v>0</v>
      </c>
      <c r="U78" s="35" t="b">
        <v>0</v>
      </c>
      <c r="V78" s="35" t="b">
        <v>0</v>
      </c>
      <c r="W78" s="35" t="b">
        <v>0</v>
      </c>
      <c r="X78" s="35" t="b">
        <v>0</v>
      </c>
      <c r="Y78" s="35" t="b">
        <v>0</v>
      </c>
      <c r="Z78" s="35" t="b">
        <v>0</v>
      </c>
      <c r="AA78" s="35" t="b">
        <v>0</v>
      </c>
      <c r="AB78" s="35" t="b">
        <v>0</v>
      </c>
      <c r="AC78" s="35" t="b">
        <v>0</v>
      </c>
      <c r="AD78" s="35" t="b">
        <v>0</v>
      </c>
      <c r="AE78" s="35" t="b">
        <v>0</v>
      </c>
      <c r="AF78" s="35" t="b">
        <v>0</v>
      </c>
      <c r="AG78" s="35" t="b">
        <v>0</v>
      </c>
      <c r="AH78" s="35" t="b">
        <v>0</v>
      </c>
      <c r="AI78" s="35" t="b">
        <v>0</v>
      </c>
      <c r="AJ78" s="35" t="b">
        <v>0</v>
      </c>
      <c r="AK78" s="35" t="b">
        <v>0</v>
      </c>
      <c r="AL78" s="64" t="str">
        <f t="shared" si="1"/>
        <v>0 dari 31 (0%)</v>
      </c>
    </row>
    <row r="79" ht="22.5" customHeight="1">
      <c r="A79" s="2">
        <v>78.0</v>
      </c>
      <c r="B79" s="11"/>
      <c r="C79" s="22">
        <v>33889.0</v>
      </c>
      <c r="D79" s="12" t="s">
        <v>63</v>
      </c>
      <c r="E79" s="12" t="s">
        <v>112</v>
      </c>
      <c r="F79" s="13"/>
      <c r="G79" s="6" t="b">
        <v>1</v>
      </c>
      <c r="H79" s="6" t="b">
        <v>1</v>
      </c>
      <c r="I79" s="6" t="b">
        <v>1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0</v>
      </c>
      <c r="S79" s="6" t="b">
        <v>1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12 dari 31 (39%)</v>
      </c>
    </row>
    <row r="80" ht="22.5" customHeight="1">
      <c r="A80" s="10">
        <v>79.0</v>
      </c>
      <c r="B80" s="11"/>
      <c r="C80" s="22">
        <v>59430.0</v>
      </c>
      <c r="D80" s="12" t="s">
        <v>63</v>
      </c>
      <c r="E80" s="12" t="s">
        <v>112</v>
      </c>
      <c r="F80" s="15" t="s">
        <v>50</v>
      </c>
      <c r="G80" s="6" t="b">
        <v>1</v>
      </c>
      <c r="H80" s="6" t="b">
        <v>0</v>
      </c>
      <c r="I80" s="6" t="b">
        <v>0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0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0</v>
      </c>
      <c r="AJ80" s="6" t="b">
        <v>0</v>
      </c>
      <c r="AK80" s="6" t="b">
        <v>0</v>
      </c>
      <c r="AL80" s="9" t="str">
        <f t="shared" si="1"/>
        <v>11 dari 31 (35%)</v>
      </c>
    </row>
    <row r="81" ht="22.5" customHeight="1">
      <c r="A81" s="10">
        <v>80.0</v>
      </c>
      <c r="B81" s="11"/>
      <c r="C81" s="22">
        <v>60809.0</v>
      </c>
      <c r="D81" s="12" t="s">
        <v>63</v>
      </c>
      <c r="E81" s="12" t="s">
        <v>112</v>
      </c>
      <c r="F81" s="15" t="s">
        <v>50</v>
      </c>
      <c r="G81" s="6" t="b">
        <v>1</v>
      </c>
      <c r="H81" s="6" t="b">
        <v>0</v>
      </c>
      <c r="I81" s="6" t="b">
        <v>0</v>
      </c>
      <c r="J81" s="6" t="b">
        <v>1</v>
      </c>
      <c r="K81" s="6" t="b">
        <v>1</v>
      </c>
      <c r="L81" s="6" t="b">
        <v>1</v>
      </c>
      <c r="M81" s="6" t="b">
        <v>1</v>
      </c>
      <c r="N81" s="6" t="b">
        <v>1</v>
      </c>
      <c r="O81" s="6" t="b">
        <v>1</v>
      </c>
      <c r="P81" s="6" t="b">
        <v>1</v>
      </c>
      <c r="Q81" s="6" t="b">
        <v>1</v>
      </c>
      <c r="R81" s="6" t="b">
        <v>0</v>
      </c>
      <c r="S81" s="6" t="b">
        <v>1</v>
      </c>
      <c r="T81" s="6" t="b">
        <v>0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10 dari 31 (32%)</v>
      </c>
    </row>
    <row r="82" ht="22.5" customHeight="1">
      <c r="A82" s="2">
        <v>81.0</v>
      </c>
      <c r="B82" s="11"/>
      <c r="C82" s="20">
        <v>54095.0</v>
      </c>
      <c r="D82" s="12" t="s">
        <v>112</v>
      </c>
      <c r="E82" s="12" t="s">
        <v>63</v>
      </c>
      <c r="F82" s="13"/>
      <c r="G82" s="6" t="b">
        <v>1</v>
      </c>
      <c r="H82" s="6" t="b">
        <v>1</v>
      </c>
      <c r="I82" s="6" t="b">
        <v>1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0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0</v>
      </c>
      <c r="AJ82" s="6" t="b">
        <v>0</v>
      </c>
      <c r="AK82" s="6" t="b">
        <v>0</v>
      </c>
      <c r="AL82" s="9" t="str">
        <f t="shared" si="1"/>
        <v>13 dari 31 (42%)</v>
      </c>
    </row>
    <row r="83" ht="22.5" customHeight="1">
      <c r="A83" s="10">
        <v>82.0</v>
      </c>
      <c r="B83" s="11"/>
      <c r="C83" s="20">
        <v>33926.0</v>
      </c>
      <c r="D83" s="12" t="s">
        <v>133</v>
      </c>
      <c r="E83" s="12" t="s">
        <v>98</v>
      </c>
      <c r="F83" s="15" t="s">
        <v>50</v>
      </c>
      <c r="G83" s="6" t="b">
        <v>1</v>
      </c>
      <c r="H83" s="6" t="b">
        <v>0</v>
      </c>
      <c r="I83" s="6" t="b">
        <v>0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1</v>
      </c>
      <c r="S83" s="6" t="b">
        <v>1</v>
      </c>
      <c r="T83" s="6" t="b">
        <v>0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0</v>
      </c>
      <c r="AJ83" s="6" t="b">
        <v>0</v>
      </c>
      <c r="AK83" s="6" t="b">
        <v>0</v>
      </c>
      <c r="AL83" s="9" t="str">
        <f t="shared" si="1"/>
        <v>11 dari 31 (35%)</v>
      </c>
    </row>
    <row r="84" ht="22.5" customHeight="1">
      <c r="A84" s="10">
        <v>83.0</v>
      </c>
      <c r="B84" s="11"/>
      <c r="C84" s="20">
        <v>14088.0</v>
      </c>
      <c r="D84" s="12" t="s">
        <v>112</v>
      </c>
      <c r="E84" s="12" t="s">
        <v>63</v>
      </c>
      <c r="F84" s="15" t="s">
        <v>50</v>
      </c>
      <c r="G84" s="6" t="b">
        <v>1</v>
      </c>
      <c r="H84" s="6" t="b">
        <v>0</v>
      </c>
      <c r="I84" s="6" t="b">
        <v>0</v>
      </c>
      <c r="J84" s="6" t="b">
        <v>1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0</v>
      </c>
      <c r="P84" s="6" t="b">
        <v>1</v>
      </c>
      <c r="Q84" s="6" t="b">
        <v>1</v>
      </c>
      <c r="R84" s="6" t="b">
        <v>1</v>
      </c>
      <c r="S84" s="6" t="b">
        <v>1</v>
      </c>
      <c r="T84" s="6" t="b">
        <v>0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10 dari 31 (32%)</v>
      </c>
    </row>
    <row r="85" ht="22.5" customHeight="1">
      <c r="A85" s="2">
        <v>84.0</v>
      </c>
      <c r="B85" s="11"/>
      <c r="C85" s="20">
        <v>57348.0</v>
      </c>
      <c r="D85" s="12" t="s">
        <v>57</v>
      </c>
      <c r="E85" s="12" t="s">
        <v>39</v>
      </c>
      <c r="F85" s="13"/>
      <c r="G85" s="6" t="b">
        <v>1</v>
      </c>
      <c r="H85" s="6" t="b">
        <v>1</v>
      </c>
      <c r="I85" s="6" t="b">
        <v>1</v>
      </c>
      <c r="J85" s="6" t="b">
        <v>1</v>
      </c>
      <c r="K85" s="6" t="b">
        <v>1</v>
      </c>
      <c r="L85" s="6" t="b">
        <v>1</v>
      </c>
      <c r="M85" s="6" t="b">
        <v>1</v>
      </c>
      <c r="N85" s="6" t="b">
        <v>1</v>
      </c>
      <c r="O85" s="6" t="b">
        <v>1</v>
      </c>
      <c r="P85" s="6" t="b">
        <v>1</v>
      </c>
      <c r="Q85" s="6" t="b">
        <v>1</v>
      </c>
      <c r="R85" s="6" t="b">
        <v>1</v>
      </c>
      <c r="S85" s="6" t="b">
        <v>1</v>
      </c>
      <c r="T85" s="6" t="b">
        <v>1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0</v>
      </c>
      <c r="AJ85" s="6" t="b">
        <v>0</v>
      </c>
      <c r="AK85" s="6" t="b">
        <v>0</v>
      </c>
      <c r="AL85" s="9" t="str">
        <f t="shared" si="1"/>
        <v>14 dari 31 (45%)</v>
      </c>
    </row>
    <row r="86" ht="22.5" customHeight="1">
      <c r="A86" s="10">
        <v>85.0</v>
      </c>
      <c r="B86" s="11"/>
      <c r="C86" s="20">
        <v>30317.0</v>
      </c>
      <c r="D86" s="12" t="s">
        <v>154</v>
      </c>
      <c r="E86" s="12" t="s">
        <v>80</v>
      </c>
      <c r="F86" s="13"/>
      <c r="G86" s="6" t="b">
        <v>1</v>
      </c>
      <c r="H86" s="6" t="b">
        <v>1</v>
      </c>
      <c r="I86" s="6" t="b">
        <v>0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13 dari 31 (42%)</v>
      </c>
    </row>
    <row r="87" ht="22.5" customHeight="1">
      <c r="A87" s="10">
        <v>86.0</v>
      </c>
      <c r="B87" s="11"/>
      <c r="C87" s="22">
        <v>61178.0</v>
      </c>
      <c r="D87" s="12" t="s">
        <v>65</v>
      </c>
      <c r="E87" s="12" t="s">
        <v>51</v>
      </c>
      <c r="F87" s="15" t="s">
        <v>50</v>
      </c>
      <c r="G87" s="6" t="b">
        <v>1</v>
      </c>
      <c r="H87" s="6" t="b">
        <v>0</v>
      </c>
      <c r="I87" s="6" t="b">
        <v>0</v>
      </c>
      <c r="J87" s="6" t="b">
        <v>0</v>
      </c>
      <c r="K87" s="6" t="b">
        <v>1</v>
      </c>
      <c r="L87" s="6" t="b">
        <v>1</v>
      </c>
      <c r="M87" s="6" t="b">
        <v>1</v>
      </c>
      <c r="N87" s="6" t="b">
        <v>1</v>
      </c>
      <c r="O87" s="6" t="b">
        <v>1</v>
      </c>
      <c r="P87" s="6" t="b">
        <v>0</v>
      </c>
      <c r="Q87" s="6" t="b">
        <v>0</v>
      </c>
      <c r="R87" s="6" t="b">
        <v>1</v>
      </c>
      <c r="S87" s="6" t="b">
        <v>1</v>
      </c>
      <c r="T87" s="6" t="b">
        <v>0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8 dari 31 (26%)</v>
      </c>
    </row>
    <row r="88" ht="22.5" customHeight="1">
      <c r="A88" s="30">
        <v>87.0</v>
      </c>
      <c r="B88" s="62"/>
      <c r="C88" s="32">
        <v>58249.0</v>
      </c>
      <c r="D88" s="51" t="s">
        <v>154</v>
      </c>
      <c r="E88" s="51" t="s">
        <v>80</v>
      </c>
      <c r="F88" s="53"/>
      <c r="G88" s="35" t="b">
        <v>0</v>
      </c>
      <c r="H88" s="35" t="b">
        <v>0</v>
      </c>
      <c r="I88" s="35" t="b">
        <v>0</v>
      </c>
      <c r="J88" s="35" t="b">
        <v>0</v>
      </c>
      <c r="K88" s="35" t="b">
        <v>0</v>
      </c>
      <c r="L88" s="35" t="b">
        <v>0</v>
      </c>
      <c r="M88" s="35" t="b">
        <v>0</v>
      </c>
      <c r="N88" s="35" t="b">
        <v>0</v>
      </c>
      <c r="O88" s="35" t="b">
        <v>0</v>
      </c>
      <c r="P88" s="35" t="b">
        <v>0</v>
      </c>
      <c r="Q88" s="35" t="b">
        <v>0</v>
      </c>
      <c r="R88" s="35" t="b">
        <v>0</v>
      </c>
      <c r="S88" s="35" t="b">
        <v>0</v>
      </c>
      <c r="T88" s="35" t="b">
        <v>0</v>
      </c>
      <c r="U88" s="35" t="b">
        <v>0</v>
      </c>
      <c r="V88" s="35" t="b">
        <v>0</v>
      </c>
      <c r="W88" s="35" t="b">
        <v>0</v>
      </c>
      <c r="X88" s="35" t="b">
        <v>0</v>
      </c>
      <c r="Y88" s="35" t="b">
        <v>0</v>
      </c>
      <c r="Z88" s="35" t="b">
        <v>0</v>
      </c>
      <c r="AA88" s="35" t="b">
        <v>0</v>
      </c>
      <c r="AB88" s="35" t="b">
        <v>0</v>
      </c>
      <c r="AC88" s="35" t="b">
        <v>0</v>
      </c>
      <c r="AD88" s="35" t="b">
        <v>0</v>
      </c>
      <c r="AE88" s="35" t="b">
        <v>0</v>
      </c>
      <c r="AF88" s="35" t="b">
        <v>0</v>
      </c>
      <c r="AG88" s="35" t="b">
        <v>0</v>
      </c>
      <c r="AH88" s="35" t="b">
        <v>0</v>
      </c>
      <c r="AI88" s="35" t="b">
        <v>0</v>
      </c>
      <c r="AJ88" s="35" t="b">
        <v>0</v>
      </c>
      <c r="AK88" s="35" t="b">
        <v>0</v>
      </c>
      <c r="AL88" s="38" t="str">
        <f t="shared" si="1"/>
        <v>0 dari 31 (0%)</v>
      </c>
    </row>
    <row r="89" ht="22.5" customHeight="1">
      <c r="A89" s="10">
        <v>88.0</v>
      </c>
      <c r="B89" s="11"/>
      <c r="C89" s="22">
        <v>60486.0</v>
      </c>
      <c r="D89" s="12" t="s">
        <v>174</v>
      </c>
      <c r="E89" s="12" t="s">
        <v>54</v>
      </c>
      <c r="F89" s="15" t="s">
        <v>50</v>
      </c>
      <c r="G89" s="6" t="b">
        <v>1</v>
      </c>
      <c r="H89" s="6" t="b">
        <v>0</v>
      </c>
      <c r="I89" s="6" t="b">
        <v>0</v>
      </c>
      <c r="J89" s="6" t="b">
        <v>0</v>
      </c>
      <c r="K89" s="6" t="b">
        <v>1</v>
      </c>
      <c r="L89" s="6" t="b">
        <v>1</v>
      </c>
      <c r="M89" s="6" t="b">
        <v>1</v>
      </c>
      <c r="N89" s="6" t="b">
        <v>1</v>
      </c>
      <c r="O89" s="6" t="b">
        <v>1</v>
      </c>
      <c r="P89" s="6" t="b">
        <v>1</v>
      </c>
      <c r="Q89" s="6" t="b">
        <v>1</v>
      </c>
      <c r="R89" s="6" t="b">
        <v>1</v>
      </c>
      <c r="S89" s="6" t="b">
        <v>1</v>
      </c>
      <c r="T89" s="6" t="b">
        <v>0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10 dari 31 (32%)</v>
      </c>
    </row>
    <row r="90" ht="22.5" customHeight="1">
      <c r="A90" s="10">
        <v>89.0</v>
      </c>
      <c r="B90" s="11"/>
      <c r="C90" s="22">
        <v>27883.0</v>
      </c>
      <c r="D90" s="12" t="s">
        <v>155</v>
      </c>
      <c r="E90" s="12" t="s">
        <v>54</v>
      </c>
      <c r="F90" s="15" t="s">
        <v>50</v>
      </c>
      <c r="G90" s="6" t="b">
        <v>1</v>
      </c>
      <c r="H90" s="6" t="b">
        <v>0</v>
      </c>
      <c r="I90" s="6" t="b">
        <v>0</v>
      </c>
      <c r="J90" s="6" t="b">
        <v>0</v>
      </c>
      <c r="K90" s="6" t="b">
        <v>1</v>
      </c>
      <c r="L90" s="6" t="b">
        <v>1</v>
      </c>
      <c r="M90" s="6" t="b">
        <v>1</v>
      </c>
      <c r="N90" s="6" t="b">
        <v>1</v>
      </c>
      <c r="O90" s="6" t="b">
        <v>1</v>
      </c>
      <c r="P90" s="6" t="b">
        <v>1</v>
      </c>
      <c r="Q90" s="6" t="b">
        <v>1</v>
      </c>
      <c r="R90" s="6" t="b">
        <v>1</v>
      </c>
      <c r="S90" s="6" t="b">
        <v>1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10 dari 31 (32%)</v>
      </c>
    </row>
    <row r="91" ht="22.5" customHeight="1">
      <c r="A91" s="2">
        <v>90.0</v>
      </c>
      <c r="B91" s="11"/>
      <c r="C91" s="22">
        <v>60967.0</v>
      </c>
      <c r="D91" s="12" t="s">
        <v>155</v>
      </c>
      <c r="E91" s="12" t="s">
        <v>68</v>
      </c>
      <c r="F91" s="13"/>
      <c r="G91" s="6" t="b">
        <v>1</v>
      </c>
      <c r="H91" s="6" t="b">
        <v>1</v>
      </c>
      <c r="I91" s="6" t="b">
        <v>1</v>
      </c>
      <c r="J91" s="6" t="b">
        <v>1</v>
      </c>
      <c r="K91" s="6" t="b">
        <v>1</v>
      </c>
      <c r="L91" s="6" t="b">
        <v>1</v>
      </c>
      <c r="M91" s="6" t="b">
        <v>1</v>
      </c>
      <c r="N91" s="6" t="b">
        <v>1</v>
      </c>
      <c r="O91" s="6" t="b">
        <v>1</v>
      </c>
      <c r="P91" s="6" t="b">
        <v>1</v>
      </c>
      <c r="Q91" s="6" t="b">
        <v>1</v>
      </c>
      <c r="R91" s="6" t="b">
        <v>1</v>
      </c>
      <c r="S91" s="6" t="b">
        <v>1</v>
      </c>
      <c r="T91" s="6" t="b">
        <v>1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1</v>
      </c>
      <c r="AJ91" s="6" t="b">
        <v>0</v>
      </c>
      <c r="AK91" s="6" t="b">
        <v>0</v>
      </c>
      <c r="AL91" s="9" t="str">
        <f t="shared" si="1"/>
        <v>15 dari 31 (48%)</v>
      </c>
    </row>
    <row r="92" ht="22.5" customHeight="1">
      <c r="A92" s="10">
        <v>91.0</v>
      </c>
      <c r="B92" s="11"/>
      <c r="C92" s="20">
        <v>60786.0</v>
      </c>
      <c r="D92" s="12" t="s">
        <v>155</v>
      </c>
      <c r="E92" s="12" t="s">
        <v>68</v>
      </c>
      <c r="F92" s="13"/>
      <c r="G92" s="6" t="b">
        <v>1</v>
      </c>
      <c r="H92" s="6" t="b">
        <v>1</v>
      </c>
      <c r="I92" s="6" t="b">
        <v>1</v>
      </c>
      <c r="J92" s="6" t="b">
        <v>1</v>
      </c>
      <c r="K92" s="6" t="b">
        <v>1</v>
      </c>
      <c r="L92" s="6" t="b">
        <v>1</v>
      </c>
      <c r="M92" s="6" t="b">
        <v>1</v>
      </c>
      <c r="N92" s="6" t="b">
        <v>1</v>
      </c>
      <c r="O92" s="6" t="b">
        <v>1</v>
      </c>
      <c r="P92" s="6" t="b">
        <v>1</v>
      </c>
      <c r="Q92" s="6" t="b">
        <v>1</v>
      </c>
      <c r="R92" s="6" t="b">
        <v>1</v>
      </c>
      <c r="S92" s="6" t="b">
        <v>1</v>
      </c>
      <c r="T92" s="6" t="b">
        <v>1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1</v>
      </c>
      <c r="AJ92" s="6" t="b">
        <v>0</v>
      </c>
      <c r="AK92" s="6" t="b">
        <v>0</v>
      </c>
      <c r="AL92" s="9" t="str">
        <f t="shared" si="1"/>
        <v>15 dari 31 (48%)</v>
      </c>
    </row>
    <row r="93" ht="22.5" customHeight="1">
      <c r="A93" s="10">
        <v>92.0</v>
      </c>
      <c r="B93" s="11"/>
      <c r="C93" s="20">
        <v>60995.0</v>
      </c>
      <c r="D93" s="12" t="s">
        <v>155</v>
      </c>
      <c r="E93" s="12" t="s">
        <v>68</v>
      </c>
      <c r="F93" s="13"/>
      <c r="G93" s="6" t="b">
        <v>1</v>
      </c>
      <c r="H93" s="6" t="b">
        <v>1</v>
      </c>
      <c r="I93" s="6" t="b">
        <v>1</v>
      </c>
      <c r="J93" s="6" t="b">
        <v>1</v>
      </c>
      <c r="K93" s="6" t="b">
        <v>1</v>
      </c>
      <c r="L93" s="6" t="b">
        <v>1</v>
      </c>
      <c r="M93" s="6" t="b">
        <v>1</v>
      </c>
      <c r="N93" s="6" t="b">
        <v>1</v>
      </c>
      <c r="O93" s="6" t="b">
        <v>1</v>
      </c>
      <c r="P93" s="6" t="b">
        <v>1</v>
      </c>
      <c r="Q93" s="6" t="b">
        <v>1</v>
      </c>
      <c r="R93" s="6" t="b">
        <v>1</v>
      </c>
      <c r="S93" s="6" t="b">
        <v>1</v>
      </c>
      <c r="T93" s="6" t="b">
        <v>1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1</v>
      </c>
      <c r="AJ93" s="6" t="b">
        <v>0</v>
      </c>
      <c r="AK93" s="6" t="b">
        <v>0</v>
      </c>
      <c r="AL93" s="17" t="str">
        <f t="shared" si="1"/>
        <v>15 dari 31 (48%)</v>
      </c>
    </row>
    <row r="94" ht="22.5" customHeight="1">
      <c r="A94" s="2">
        <v>93.0</v>
      </c>
      <c r="B94" s="11"/>
      <c r="C94" s="20">
        <v>60961.0</v>
      </c>
      <c r="D94" s="12" t="s">
        <v>155</v>
      </c>
      <c r="E94" s="12" t="s">
        <v>68</v>
      </c>
      <c r="F94" s="13"/>
      <c r="G94" s="6" t="b">
        <v>1</v>
      </c>
      <c r="H94" s="6" t="b">
        <v>1</v>
      </c>
      <c r="I94" s="6" t="b">
        <v>1</v>
      </c>
      <c r="J94" s="6" t="b">
        <v>1</v>
      </c>
      <c r="K94" s="6" t="b">
        <v>1</v>
      </c>
      <c r="L94" s="6" t="b">
        <v>1</v>
      </c>
      <c r="M94" s="6" t="b">
        <v>1</v>
      </c>
      <c r="N94" s="6" t="b">
        <v>1</v>
      </c>
      <c r="O94" s="6" t="b">
        <v>1</v>
      </c>
      <c r="P94" s="6" t="b">
        <v>1</v>
      </c>
      <c r="Q94" s="6" t="b">
        <v>1</v>
      </c>
      <c r="R94" s="6" t="b">
        <v>1</v>
      </c>
      <c r="S94" s="6" t="b">
        <v>1</v>
      </c>
      <c r="T94" s="6" t="b">
        <v>1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1</v>
      </c>
      <c r="AJ94" s="6" t="b">
        <v>0</v>
      </c>
      <c r="AK94" s="6" t="b">
        <v>0</v>
      </c>
      <c r="AL94" s="9" t="str">
        <f t="shared" si="1"/>
        <v>15 dari 31 (48%)</v>
      </c>
    </row>
    <row r="95" ht="22.5" customHeight="1">
      <c r="A95" s="10">
        <v>94.0</v>
      </c>
      <c r="B95" s="11"/>
      <c r="C95" s="20">
        <v>55874.0</v>
      </c>
      <c r="D95" s="12" t="s">
        <v>131</v>
      </c>
      <c r="E95" s="12" t="s">
        <v>98</v>
      </c>
      <c r="F95" s="13"/>
      <c r="G95" s="6" t="b">
        <v>1</v>
      </c>
      <c r="H95" s="6" t="b">
        <v>1</v>
      </c>
      <c r="I95" s="6" t="b">
        <v>0</v>
      </c>
      <c r="J95" s="6" t="b">
        <v>1</v>
      </c>
      <c r="K95" s="6" t="b">
        <v>1</v>
      </c>
      <c r="L95" s="6" t="b">
        <v>1</v>
      </c>
      <c r="M95" s="6" t="b">
        <v>1</v>
      </c>
      <c r="N95" s="6" t="b">
        <v>1</v>
      </c>
      <c r="O95" s="6" t="b">
        <v>1</v>
      </c>
      <c r="P95" s="6" t="b">
        <v>1</v>
      </c>
      <c r="Q95" s="6" t="b">
        <v>1</v>
      </c>
      <c r="R95" s="6" t="b">
        <v>1</v>
      </c>
      <c r="S95" s="6" t="b">
        <v>1</v>
      </c>
      <c r="T95" s="6" t="b">
        <v>1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0</v>
      </c>
      <c r="AJ95" s="6" t="b">
        <v>0</v>
      </c>
      <c r="AK95" s="6" t="b">
        <v>0</v>
      </c>
      <c r="AL95" s="9" t="str">
        <f t="shared" si="1"/>
        <v>13 dari 31 (42%)</v>
      </c>
    </row>
    <row r="96" ht="22.5" customHeight="1">
      <c r="A96" s="10">
        <v>95.0</v>
      </c>
      <c r="B96" s="11"/>
      <c r="C96" s="20">
        <v>55668.0</v>
      </c>
      <c r="D96" s="12" t="s">
        <v>131</v>
      </c>
      <c r="E96" s="12" t="s">
        <v>98</v>
      </c>
      <c r="F96" s="15" t="s">
        <v>50</v>
      </c>
      <c r="G96" s="6" t="b">
        <v>1</v>
      </c>
      <c r="H96" s="6" t="b">
        <v>0</v>
      </c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  <c r="P96" s="6" t="b">
        <v>0</v>
      </c>
      <c r="Q96" s="6" t="b">
        <v>0</v>
      </c>
      <c r="R96" s="6" t="b">
        <v>0</v>
      </c>
      <c r="S96" s="6" t="b">
        <v>0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1 dari 31 (3%)</v>
      </c>
    </row>
    <row r="97" ht="22.5" customHeight="1">
      <c r="A97" s="2">
        <v>96.0</v>
      </c>
      <c r="B97" s="11"/>
      <c r="C97" s="22">
        <v>57891.0</v>
      </c>
      <c r="D97" s="12" t="s">
        <v>154</v>
      </c>
      <c r="E97" s="12" t="s">
        <v>80</v>
      </c>
      <c r="F97" s="13"/>
      <c r="G97" s="6" t="b">
        <v>1</v>
      </c>
      <c r="H97" s="6" t="b">
        <v>1</v>
      </c>
      <c r="I97" s="6" t="b">
        <v>0</v>
      </c>
      <c r="J97" s="6" t="b">
        <v>1</v>
      </c>
      <c r="K97" s="6" t="b">
        <v>1</v>
      </c>
      <c r="L97" s="6" t="b">
        <v>1</v>
      </c>
      <c r="M97" s="6" t="b">
        <v>1</v>
      </c>
      <c r="N97" s="6" t="b">
        <v>1</v>
      </c>
      <c r="O97" s="6" t="b">
        <v>1</v>
      </c>
      <c r="P97" s="6" t="b">
        <v>1</v>
      </c>
      <c r="Q97" s="6" t="b">
        <v>1</v>
      </c>
      <c r="R97" s="6" t="b">
        <v>1</v>
      </c>
      <c r="S97" s="6" t="b">
        <v>1</v>
      </c>
      <c r="T97" s="6" t="b">
        <v>1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0</v>
      </c>
      <c r="AJ97" s="6" t="b">
        <v>0</v>
      </c>
      <c r="AK97" s="6" t="b">
        <v>0</v>
      </c>
      <c r="AL97" s="9" t="str">
        <f t="shared" si="1"/>
        <v>13 dari 31 (42%)</v>
      </c>
    </row>
    <row r="98" ht="22.5" customHeight="1">
      <c r="A98" s="10">
        <v>97.0</v>
      </c>
      <c r="B98" s="11"/>
      <c r="C98" s="22">
        <v>57372.0</v>
      </c>
      <c r="D98" s="12" t="s">
        <v>154</v>
      </c>
      <c r="E98" s="12" t="s">
        <v>80</v>
      </c>
      <c r="F98" s="13"/>
      <c r="G98" s="6" t="b">
        <v>1</v>
      </c>
      <c r="H98" s="6" t="b">
        <v>1</v>
      </c>
      <c r="I98" s="6" t="b">
        <v>0</v>
      </c>
      <c r="J98" s="6" t="b">
        <v>1</v>
      </c>
      <c r="K98" s="6" t="b">
        <v>1</v>
      </c>
      <c r="L98" s="6" t="b">
        <v>1</v>
      </c>
      <c r="M98" s="6" t="b">
        <v>1</v>
      </c>
      <c r="N98" s="6" t="b">
        <v>1</v>
      </c>
      <c r="O98" s="6" t="b">
        <v>1</v>
      </c>
      <c r="P98" s="6" t="b">
        <v>1</v>
      </c>
      <c r="Q98" s="6" t="b">
        <v>1</v>
      </c>
      <c r="R98" s="6" t="b">
        <v>1</v>
      </c>
      <c r="S98" s="6" t="b">
        <v>1</v>
      </c>
      <c r="T98" s="6" t="b">
        <v>1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1</v>
      </c>
      <c r="AJ98" s="6" t="b">
        <v>0</v>
      </c>
      <c r="AK98" s="6" t="b">
        <v>0</v>
      </c>
      <c r="AL98" s="9" t="str">
        <f t="shared" si="1"/>
        <v>14 dari 31 (45%)</v>
      </c>
    </row>
    <row r="99" ht="22.5" customHeight="1">
      <c r="A99" s="10">
        <v>98.0</v>
      </c>
      <c r="B99" s="11"/>
      <c r="C99" s="22">
        <v>57361.0</v>
      </c>
      <c r="D99" s="12" t="s">
        <v>116</v>
      </c>
      <c r="E99" s="12" t="s">
        <v>80</v>
      </c>
      <c r="F99" s="13"/>
      <c r="G99" s="6" t="b">
        <v>1</v>
      </c>
      <c r="H99" s="6" t="b">
        <v>1</v>
      </c>
      <c r="I99" s="6" t="b">
        <v>0</v>
      </c>
      <c r="J99" s="6" t="b">
        <v>1</v>
      </c>
      <c r="K99" s="6" t="b">
        <v>1</v>
      </c>
      <c r="L99" s="6" t="b">
        <v>1</v>
      </c>
      <c r="M99" s="6" t="b">
        <v>1</v>
      </c>
      <c r="N99" s="6" t="b">
        <v>1</v>
      </c>
      <c r="O99" s="6" t="b">
        <v>1</v>
      </c>
      <c r="P99" s="6" t="b">
        <v>1</v>
      </c>
      <c r="Q99" s="6" t="b">
        <v>1</v>
      </c>
      <c r="R99" s="6" t="b">
        <v>1</v>
      </c>
      <c r="S99" s="6" t="b">
        <v>1</v>
      </c>
      <c r="T99" s="6" t="b">
        <v>1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13 dari 31 (42%)</v>
      </c>
    </row>
    <row r="100" ht="22.5" customHeight="1">
      <c r="A100" s="30">
        <v>99.0</v>
      </c>
      <c r="B100" s="62"/>
      <c r="C100" s="32">
        <v>57151.0</v>
      </c>
      <c r="D100" s="51" t="s">
        <v>116</v>
      </c>
      <c r="E100" s="51" t="s">
        <v>80</v>
      </c>
      <c r="F100" s="53"/>
      <c r="G100" s="35" t="b">
        <v>0</v>
      </c>
      <c r="H100" s="35" t="b">
        <v>0</v>
      </c>
      <c r="I100" s="35" t="b">
        <v>0</v>
      </c>
      <c r="J100" s="35" t="b">
        <v>0</v>
      </c>
      <c r="K100" s="35" t="b">
        <v>0</v>
      </c>
      <c r="L100" s="35" t="b">
        <v>0</v>
      </c>
      <c r="M100" s="35" t="b">
        <v>0</v>
      </c>
      <c r="N100" s="35" t="b">
        <v>0</v>
      </c>
      <c r="O100" s="35" t="b">
        <v>0</v>
      </c>
      <c r="P100" s="35" t="b">
        <v>0</v>
      </c>
      <c r="Q100" s="35" t="b">
        <v>0</v>
      </c>
      <c r="R100" s="35" t="b">
        <v>0</v>
      </c>
      <c r="S100" s="35" t="b">
        <v>0</v>
      </c>
      <c r="T100" s="35" t="b">
        <v>0</v>
      </c>
      <c r="U100" s="35" t="b">
        <v>0</v>
      </c>
      <c r="V100" s="35" t="b">
        <v>0</v>
      </c>
      <c r="W100" s="35" t="b">
        <v>0</v>
      </c>
      <c r="X100" s="35" t="b">
        <v>0</v>
      </c>
      <c r="Y100" s="35" t="b">
        <v>0</v>
      </c>
      <c r="Z100" s="35" t="b">
        <v>0</v>
      </c>
      <c r="AA100" s="35" t="b">
        <v>0</v>
      </c>
      <c r="AB100" s="35" t="b">
        <v>0</v>
      </c>
      <c r="AC100" s="35" t="b">
        <v>0</v>
      </c>
      <c r="AD100" s="35" t="b">
        <v>0</v>
      </c>
      <c r="AE100" s="35" t="b">
        <v>0</v>
      </c>
      <c r="AF100" s="35" t="b">
        <v>0</v>
      </c>
      <c r="AG100" s="35" t="b">
        <v>0</v>
      </c>
      <c r="AH100" s="35" t="b">
        <v>0</v>
      </c>
      <c r="AI100" s="35" t="b">
        <v>0</v>
      </c>
      <c r="AJ100" s="35" t="b">
        <v>0</v>
      </c>
      <c r="AK100" s="35" t="b">
        <v>0</v>
      </c>
      <c r="AL100" s="38" t="str">
        <f t="shared" si="1"/>
        <v>0 dari 31 (0%)</v>
      </c>
    </row>
    <row r="101" ht="22.5" customHeight="1">
      <c r="A101" s="10">
        <v>100.0</v>
      </c>
      <c r="B101" s="11"/>
      <c r="C101" s="22">
        <v>31442.0</v>
      </c>
      <c r="D101" s="12" t="s">
        <v>116</v>
      </c>
      <c r="E101" s="12" t="s">
        <v>80</v>
      </c>
      <c r="F101" s="13"/>
      <c r="G101" s="6" t="b">
        <v>1</v>
      </c>
      <c r="H101" s="6" t="b">
        <v>1</v>
      </c>
      <c r="I101" s="6" t="b">
        <v>0</v>
      </c>
      <c r="J101" s="6" t="b">
        <v>1</v>
      </c>
      <c r="K101" s="6" t="b">
        <v>1</v>
      </c>
      <c r="L101" s="6" t="b">
        <v>1</v>
      </c>
      <c r="M101" s="6" t="b">
        <v>1</v>
      </c>
      <c r="N101" s="6" t="b">
        <v>1</v>
      </c>
      <c r="O101" s="6" t="b">
        <v>1</v>
      </c>
      <c r="P101" s="6" t="b">
        <v>1</v>
      </c>
      <c r="Q101" s="6" t="b">
        <v>1</v>
      </c>
      <c r="R101" s="6" t="b">
        <v>1</v>
      </c>
      <c r="S101" s="6" t="b">
        <v>1</v>
      </c>
      <c r="T101" s="6" t="b">
        <v>1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0</v>
      </c>
      <c r="AJ101" s="6" t="b">
        <v>0</v>
      </c>
      <c r="AK101" s="6" t="b">
        <v>0</v>
      </c>
      <c r="AL101" s="9" t="str">
        <f t="shared" si="1"/>
        <v>13 dari 31 (42%)</v>
      </c>
    </row>
    <row r="102" ht="22.5" customHeight="1">
      <c r="A102" s="10">
        <v>101.0</v>
      </c>
      <c r="B102" s="11"/>
      <c r="C102" s="20">
        <v>57746.0</v>
      </c>
      <c r="D102" s="12" t="s">
        <v>80</v>
      </c>
      <c r="E102" s="12" t="s">
        <v>116</v>
      </c>
      <c r="F102" s="13"/>
      <c r="G102" s="6" t="b">
        <v>1</v>
      </c>
      <c r="H102" s="6" t="b">
        <v>1</v>
      </c>
      <c r="I102" s="6" t="b">
        <v>0</v>
      </c>
      <c r="J102" s="6" t="b">
        <v>1</v>
      </c>
      <c r="K102" s="6" t="b">
        <v>1</v>
      </c>
      <c r="L102" s="6" t="b">
        <v>1</v>
      </c>
      <c r="M102" s="6" t="b">
        <v>1</v>
      </c>
      <c r="N102" s="6" t="b">
        <v>1</v>
      </c>
      <c r="O102" s="6" t="b">
        <v>1</v>
      </c>
      <c r="P102" s="6" t="b">
        <v>1</v>
      </c>
      <c r="Q102" s="6" t="b">
        <v>1</v>
      </c>
      <c r="R102" s="6" t="b">
        <v>1</v>
      </c>
      <c r="S102" s="6" t="b">
        <v>1</v>
      </c>
      <c r="T102" s="6" t="b">
        <v>1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0</v>
      </c>
      <c r="AJ102" s="6" t="b">
        <v>0</v>
      </c>
      <c r="AK102" s="6" t="b">
        <v>0</v>
      </c>
      <c r="AL102" s="17" t="str">
        <f t="shared" si="1"/>
        <v>13 dari 31 (42%)</v>
      </c>
    </row>
    <row r="103" ht="22.5" customHeight="1">
      <c r="A103" s="2">
        <v>102.0</v>
      </c>
      <c r="B103" s="11"/>
      <c r="C103" s="20">
        <v>61324.0</v>
      </c>
      <c r="D103" s="12" t="s">
        <v>141</v>
      </c>
      <c r="E103" s="12" t="s">
        <v>131</v>
      </c>
      <c r="F103" s="15" t="s">
        <v>50</v>
      </c>
      <c r="G103" s="6" t="b">
        <v>1</v>
      </c>
      <c r="H103" s="6" t="b">
        <v>0</v>
      </c>
      <c r="I103" s="6" t="b">
        <v>0</v>
      </c>
      <c r="J103" s="6" t="b">
        <v>0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  <c r="P103" s="6" t="b">
        <v>0</v>
      </c>
      <c r="Q103" s="6" t="b">
        <v>0</v>
      </c>
      <c r="R103" s="6" t="b">
        <v>0</v>
      </c>
      <c r="S103" s="6" t="b">
        <v>0</v>
      </c>
      <c r="T103" s="6" t="b">
        <v>0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1</v>
      </c>
      <c r="AA103" s="6" t="b">
        <v>1</v>
      </c>
      <c r="AB103" s="6" t="b">
        <v>1</v>
      </c>
      <c r="AC103" s="6" t="b">
        <v>1</v>
      </c>
      <c r="AD103" s="6" t="b">
        <v>1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6 dari 31 (19%)</v>
      </c>
    </row>
    <row r="104" ht="22.5" customHeight="1">
      <c r="A104" s="10">
        <v>103.0</v>
      </c>
      <c r="B104" s="11"/>
      <c r="C104" s="20">
        <v>61325.0</v>
      </c>
      <c r="D104" s="12" t="s">
        <v>51</v>
      </c>
      <c r="E104" s="12" t="s">
        <v>52</v>
      </c>
      <c r="F104" s="15" t="s">
        <v>50</v>
      </c>
      <c r="G104" s="6" t="b">
        <v>1</v>
      </c>
      <c r="H104" s="6" t="b">
        <v>0</v>
      </c>
      <c r="I104" s="6" t="b">
        <v>0</v>
      </c>
      <c r="J104" s="6" t="b">
        <v>1</v>
      </c>
      <c r="K104" s="6" t="b">
        <v>1</v>
      </c>
      <c r="L104" s="6" t="b">
        <v>1</v>
      </c>
      <c r="M104" s="6" t="b">
        <v>1</v>
      </c>
      <c r="N104" s="6" t="b">
        <v>1</v>
      </c>
      <c r="O104" s="6" t="b">
        <v>1</v>
      </c>
      <c r="P104" s="6" t="b">
        <v>1</v>
      </c>
      <c r="Q104" s="6" t="b">
        <v>1</v>
      </c>
      <c r="R104" s="6" t="b">
        <v>1</v>
      </c>
      <c r="S104" s="6" t="b">
        <v>1</v>
      </c>
      <c r="T104" s="6" t="b">
        <v>0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1</v>
      </c>
      <c r="AJ104" s="6" t="b">
        <v>0</v>
      </c>
      <c r="AK104" s="6" t="b">
        <v>0</v>
      </c>
      <c r="AL104" s="9" t="str">
        <f t="shared" si="1"/>
        <v>12 dari 31 (39%)</v>
      </c>
    </row>
    <row r="105" ht="22.5" customHeight="1">
      <c r="A105" s="10">
        <v>104.0</v>
      </c>
      <c r="B105" s="11"/>
      <c r="C105" s="20">
        <v>61183.0</v>
      </c>
      <c r="D105" s="12" t="s">
        <v>51</v>
      </c>
      <c r="E105" s="12" t="s">
        <v>65</v>
      </c>
      <c r="F105" s="15" t="s">
        <v>50</v>
      </c>
      <c r="G105" s="6" t="b">
        <v>1</v>
      </c>
      <c r="H105" s="6" t="b">
        <v>0</v>
      </c>
      <c r="I105" s="6" t="b">
        <v>0</v>
      </c>
      <c r="J105" s="6" t="b">
        <v>0</v>
      </c>
      <c r="K105" s="6" t="b">
        <v>1</v>
      </c>
      <c r="L105" s="6" t="b">
        <v>1</v>
      </c>
      <c r="M105" s="6" t="b">
        <v>1</v>
      </c>
      <c r="N105" s="6" t="b">
        <v>0</v>
      </c>
      <c r="O105" s="6" t="b">
        <v>0</v>
      </c>
      <c r="P105" s="6" t="b">
        <v>1</v>
      </c>
      <c r="Q105" s="6" t="b">
        <v>1</v>
      </c>
      <c r="R105" s="6" t="b">
        <v>1</v>
      </c>
      <c r="S105" s="6" t="b">
        <v>1</v>
      </c>
      <c r="T105" s="6" t="b">
        <v>0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17" t="str">
        <f t="shared" si="1"/>
        <v>8 dari 31 (26%)</v>
      </c>
    </row>
    <row r="106" ht="22.5" customHeight="1">
      <c r="A106" s="2">
        <v>105.0</v>
      </c>
      <c r="B106" s="11"/>
      <c r="C106" s="22">
        <v>50529.0</v>
      </c>
      <c r="D106" s="12" t="s">
        <v>63</v>
      </c>
      <c r="E106" s="12" t="s">
        <v>175</v>
      </c>
      <c r="F106" s="13"/>
      <c r="G106" s="6" t="b">
        <v>1</v>
      </c>
      <c r="H106" s="6" t="b">
        <v>1</v>
      </c>
      <c r="I106" s="6" t="b">
        <v>1</v>
      </c>
      <c r="J106" s="6" t="b">
        <v>1</v>
      </c>
      <c r="K106" s="6" t="b">
        <v>1</v>
      </c>
      <c r="L106" s="6" t="b">
        <v>1</v>
      </c>
      <c r="M106" s="6" t="b">
        <v>1</v>
      </c>
      <c r="N106" s="6" t="b">
        <v>1</v>
      </c>
      <c r="O106" s="6" t="b">
        <v>1</v>
      </c>
      <c r="P106" s="6" t="b">
        <v>1</v>
      </c>
      <c r="Q106" s="6" t="b">
        <v>1</v>
      </c>
      <c r="R106" s="6" t="b">
        <v>1</v>
      </c>
      <c r="S106" s="6" t="b">
        <v>1</v>
      </c>
      <c r="T106" s="6" t="b">
        <v>1</v>
      </c>
      <c r="U106" s="6" t="b">
        <v>0</v>
      </c>
      <c r="V106" s="6" t="b">
        <v>0</v>
      </c>
      <c r="W106" s="6" t="b">
        <v>1</v>
      </c>
      <c r="X106" s="6" t="b">
        <v>1</v>
      </c>
      <c r="Y106" s="6" t="b">
        <v>1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0</v>
      </c>
      <c r="AJ106" s="6" t="b">
        <v>0</v>
      </c>
      <c r="AK106" s="6" t="b">
        <v>0</v>
      </c>
      <c r="AL106" s="9" t="str">
        <f t="shared" si="1"/>
        <v>17 dari 31 (55%)</v>
      </c>
    </row>
    <row r="107" ht="22.5" customHeight="1">
      <c r="A107" s="10">
        <v>106.0</v>
      </c>
      <c r="B107" s="11"/>
      <c r="C107" s="22">
        <v>60160.0</v>
      </c>
      <c r="D107" s="12" t="s">
        <v>39</v>
      </c>
      <c r="E107" s="12" t="s">
        <v>57</v>
      </c>
      <c r="F107" s="13"/>
      <c r="G107" s="6" t="b">
        <v>1</v>
      </c>
      <c r="H107" s="6" t="b">
        <v>1</v>
      </c>
      <c r="I107" s="6" t="b">
        <v>0</v>
      </c>
      <c r="J107" s="6" t="b">
        <v>1</v>
      </c>
      <c r="K107" s="6" t="b">
        <v>1</v>
      </c>
      <c r="L107" s="6" t="b">
        <v>1</v>
      </c>
      <c r="M107" s="6" t="b">
        <v>1</v>
      </c>
      <c r="N107" s="6" t="b">
        <v>1</v>
      </c>
      <c r="O107" s="6" t="b">
        <v>1</v>
      </c>
      <c r="P107" s="6" t="b">
        <v>1</v>
      </c>
      <c r="Q107" s="6" t="b">
        <v>1</v>
      </c>
      <c r="R107" s="6" t="b">
        <v>1</v>
      </c>
      <c r="S107" s="6" t="b">
        <v>1</v>
      </c>
      <c r="T107" s="6" t="b">
        <v>1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1</v>
      </c>
      <c r="AJ107" s="6" t="b">
        <v>0</v>
      </c>
      <c r="AK107" s="6" t="b">
        <v>0</v>
      </c>
      <c r="AL107" s="9" t="str">
        <f t="shared" si="1"/>
        <v>14 dari 31 (45%)</v>
      </c>
    </row>
    <row r="108" ht="22.5" customHeight="1">
      <c r="A108" s="10">
        <v>107.0</v>
      </c>
      <c r="B108" s="11"/>
      <c r="C108" s="22">
        <v>61326.0</v>
      </c>
      <c r="D108" s="12" t="s">
        <v>141</v>
      </c>
      <c r="E108" s="12" t="s">
        <v>176</v>
      </c>
      <c r="F108" s="15" t="s">
        <v>50</v>
      </c>
      <c r="G108" s="6" t="b">
        <v>1</v>
      </c>
      <c r="H108" s="6" t="b">
        <v>0</v>
      </c>
      <c r="I108" s="6" t="b">
        <v>0</v>
      </c>
      <c r="J108" s="6" t="b">
        <v>0</v>
      </c>
      <c r="K108" s="6" t="b">
        <v>0</v>
      </c>
      <c r="L108" s="6" t="b">
        <v>0</v>
      </c>
      <c r="M108" s="6" t="b">
        <v>0</v>
      </c>
      <c r="N108" s="6" t="b">
        <v>0</v>
      </c>
      <c r="O108" s="6" t="b">
        <v>0</v>
      </c>
      <c r="P108" s="6" t="b">
        <v>0</v>
      </c>
      <c r="Q108" s="6" t="b">
        <v>0</v>
      </c>
      <c r="R108" s="6" t="b">
        <v>0</v>
      </c>
      <c r="S108" s="6" t="b">
        <v>0</v>
      </c>
      <c r="T108" s="6" t="b">
        <v>0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0</v>
      </c>
      <c r="AJ108" s="6" t="b">
        <v>0</v>
      </c>
      <c r="AK108" s="6" t="b">
        <v>0</v>
      </c>
      <c r="AL108" s="17" t="str">
        <f t="shared" si="1"/>
        <v>1 dari 31 (3%)</v>
      </c>
    </row>
    <row r="109" ht="22.5" customHeight="1">
      <c r="A109" s="2">
        <v>108.0</v>
      </c>
      <c r="B109" s="11"/>
      <c r="C109" s="22">
        <v>60785.0</v>
      </c>
      <c r="D109" s="12" t="s">
        <v>68</v>
      </c>
      <c r="E109" s="12" t="s">
        <v>174</v>
      </c>
      <c r="F109" s="13"/>
      <c r="G109" s="6" t="b">
        <v>1</v>
      </c>
      <c r="H109" s="6" t="b">
        <v>1</v>
      </c>
      <c r="I109" s="6" t="b">
        <v>1</v>
      </c>
      <c r="J109" s="6" t="b">
        <v>1</v>
      </c>
      <c r="K109" s="6" t="b">
        <v>1</v>
      </c>
      <c r="L109" s="6" t="b">
        <v>1</v>
      </c>
      <c r="M109" s="6" t="b">
        <v>1</v>
      </c>
      <c r="N109" s="6" t="b">
        <v>1</v>
      </c>
      <c r="O109" s="6" t="b">
        <v>1</v>
      </c>
      <c r="P109" s="6" t="b">
        <v>1</v>
      </c>
      <c r="Q109" s="6" t="b">
        <v>1</v>
      </c>
      <c r="R109" s="6" t="b">
        <v>1</v>
      </c>
      <c r="S109" s="6" t="b">
        <v>1</v>
      </c>
      <c r="T109" s="6" t="b">
        <v>1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1</v>
      </c>
      <c r="AJ109" s="6" t="b">
        <v>0</v>
      </c>
      <c r="AK109" s="6" t="b">
        <v>0</v>
      </c>
      <c r="AL109" s="9" t="str">
        <f t="shared" si="1"/>
        <v>15 dari 31 (48%)</v>
      </c>
    </row>
    <row r="110" ht="22.5" customHeight="1">
      <c r="A110" s="10">
        <v>109.0</v>
      </c>
      <c r="B110" s="11"/>
      <c r="C110" s="22">
        <v>59933.0</v>
      </c>
      <c r="D110" s="12" t="s">
        <v>68</v>
      </c>
      <c r="E110" s="12" t="s">
        <v>174</v>
      </c>
      <c r="F110" s="13"/>
      <c r="G110" s="6" t="b">
        <v>1</v>
      </c>
      <c r="H110" s="6" t="b">
        <v>1</v>
      </c>
      <c r="I110" s="6" t="b">
        <v>0</v>
      </c>
      <c r="J110" s="6" t="b">
        <v>1</v>
      </c>
      <c r="K110" s="6" t="b">
        <v>1</v>
      </c>
      <c r="L110" s="6" t="b">
        <v>1</v>
      </c>
      <c r="M110" s="6" t="b">
        <v>1</v>
      </c>
      <c r="N110" s="6" t="b">
        <v>1</v>
      </c>
      <c r="O110" s="6" t="b">
        <v>1</v>
      </c>
      <c r="P110" s="6" t="b">
        <v>1</v>
      </c>
      <c r="Q110" s="6" t="b">
        <v>1</v>
      </c>
      <c r="R110" s="6" t="b">
        <v>1</v>
      </c>
      <c r="S110" s="6" t="b">
        <v>1</v>
      </c>
      <c r="T110" s="6" t="b">
        <v>1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1</v>
      </c>
      <c r="AJ110" s="6" t="b">
        <v>0</v>
      </c>
      <c r="AK110" s="6" t="b">
        <v>0</v>
      </c>
      <c r="AL110" s="9" t="str">
        <f t="shared" si="1"/>
        <v>14 dari 31 (45%)</v>
      </c>
    </row>
    <row r="111" ht="22.5" customHeight="1">
      <c r="A111" s="82">
        <v>110.0</v>
      </c>
      <c r="B111" s="83"/>
      <c r="C111" s="84">
        <v>61134.0</v>
      </c>
      <c r="D111" s="85" t="s">
        <v>98</v>
      </c>
      <c r="E111" s="85" t="s">
        <v>133</v>
      </c>
      <c r="F111" s="86" t="s">
        <v>67</v>
      </c>
      <c r="G111" s="87" t="b">
        <v>0</v>
      </c>
      <c r="H111" s="87" t="b">
        <v>0</v>
      </c>
      <c r="I111" s="87" t="b">
        <v>0</v>
      </c>
      <c r="J111" s="87" t="b">
        <v>0</v>
      </c>
      <c r="K111" s="87" t="b">
        <v>0</v>
      </c>
      <c r="L111" s="87" t="b">
        <v>0</v>
      </c>
      <c r="M111" s="87" t="b">
        <v>0</v>
      </c>
      <c r="N111" s="87" t="b">
        <v>0</v>
      </c>
      <c r="O111" s="87" t="b">
        <v>0</v>
      </c>
      <c r="P111" s="87" t="b">
        <v>0</v>
      </c>
      <c r="Q111" s="87" t="b">
        <v>0</v>
      </c>
      <c r="R111" s="87" t="b">
        <v>0</v>
      </c>
      <c r="S111" s="87" t="b">
        <v>0</v>
      </c>
      <c r="T111" s="87" t="b">
        <v>0</v>
      </c>
      <c r="U111" s="87" t="b">
        <v>0</v>
      </c>
      <c r="V111" s="87" t="b">
        <v>0</v>
      </c>
      <c r="W111" s="87" t="b">
        <v>0</v>
      </c>
      <c r="X111" s="87" t="b">
        <v>0</v>
      </c>
      <c r="Y111" s="87" t="b">
        <v>0</v>
      </c>
      <c r="Z111" s="87" t="b">
        <v>0</v>
      </c>
      <c r="AA111" s="87" t="b">
        <v>0</v>
      </c>
      <c r="AB111" s="87" t="b">
        <v>0</v>
      </c>
      <c r="AC111" s="87" t="b">
        <v>0</v>
      </c>
      <c r="AD111" s="87" t="b">
        <v>0</v>
      </c>
      <c r="AE111" s="87" t="b">
        <v>0</v>
      </c>
      <c r="AF111" s="87" t="b">
        <v>0</v>
      </c>
      <c r="AG111" s="87" t="b">
        <v>0</v>
      </c>
      <c r="AH111" s="87" t="b">
        <v>0</v>
      </c>
      <c r="AI111" s="87" t="b">
        <v>0</v>
      </c>
      <c r="AJ111" s="87" t="b">
        <v>0</v>
      </c>
      <c r="AK111" s="87" t="b">
        <v>0</v>
      </c>
      <c r="AL111" s="88" t="str">
        <f t="shared" si="1"/>
        <v>0 dari 31 (0%)</v>
      </c>
    </row>
    <row r="112" ht="22.5" customHeight="1">
      <c r="A112" s="2">
        <v>111.0</v>
      </c>
      <c r="B112" s="11"/>
      <c r="C112" s="20">
        <v>57112.0</v>
      </c>
      <c r="D112" s="12" t="s">
        <v>131</v>
      </c>
      <c r="E112" s="12" t="s">
        <v>98</v>
      </c>
      <c r="F112" s="15" t="s">
        <v>50</v>
      </c>
      <c r="G112" s="6" t="b">
        <v>1</v>
      </c>
      <c r="H112" s="6" t="b">
        <v>0</v>
      </c>
      <c r="I112" s="6" t="b">
        <v>0</v>
      </c>
      <c r="J112" s="6" t="b">
        <v>0</v>
      </c>
      <c r="K112" s="6" t="b">
        <v>0</v>
      </c>
      <c r="L112" s="6" t="b">
        <v>0</v>
      </c>
      <c r="M112" s="6" t="b">
        <v>0</v>
      </c>
      <c r="N112" s="6" t="b">
        <v>0</v>
      </c>
      <c r="O112" s="6" t="b">
        <v>0</v>
      </c>
      <c r="P112" s="6" t="b">
        <v>0</v>
      </c>
      <c r="Q112" s="6" t="b">
        <v>0</v>
      </c>
      <c r="R112" s="6" t="b">
        <v>0</v>
      </c>
      <c r="S112" s="6" t="b">
        <v>0</v>
      </c>
      <c r="T112" s="6" t="b">
        <v>0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0</v>
      </c>
      <c r="AJ112" s="6" t="b">
        <v>0</v>
      </c>
      <c r="AK112" s="6" t="b">
        <v>0</v>
      </c>
      <c r="AL112" s="9" t="str">
        <f t="shared" si="1"/>
        <v>1 dari 31 (3%)</v>
      </c>
    </row>
    <row r="113" ht="22.5" customHeight="1">
      <c r="A113" s="10">
        <v>112.0</v>
      </c>
      <c r="B113" s="11"/>
      <c r="C113" s="20">
        <v>39853.0</v>
      </c>
      <c r="D113" s="12" t="s">
        <v>131</v>
      </c>
      <c r="E113" s="12" t="s">
        <v>98</v>
      </c>
      <c r="F113" s="13"/>
      <c r="G113" s="6" t="b">
        <v>1</v>
      </c>
      <c r="H113" s="6" t="b">
        <v>1</v>
      </c>
      <c r="I113" s="6" t="b">
        <v>0</v>
      </c>
      <c r="J113" s="6" t="b">
        <v>1</v>
      </c>
      <c r="K113" s="6" t="b">
        <v>1</v>
      </c>
      <c r="L113" s="6" t="b">
        <v>1</v>
      </c>
      <c r="M113" s="6" t="b">
        <v>1</v>
      </c>
      <c r="N113" s="6" t="b">
        <v>1</v>
      </c>
      <c r="O113" s="6" t="b">
        <v>1</v>
      </c>
      <c r="P113" s="6" t="b">
        <v>1</v>
      </c>
      <c r="Q113" s="6" t="b">
        <v>1</v>
      </c>
      <c r="R113" s="6" t="b">
        <v>1</v>
      </c>
      <c r="S113" s="6" t="b">
        <v>1</v>
      </c>
      <c r="T113" s="6" t="b">
        <v>1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0</v>
      </c>
      <c r="AJ113" s="6" t="b">
        <v>0</v>
      </c>
      <c r="AK113" s="6" t="b">
        <v>0</v>
      </c>
      <c r="AL113" s="9" t="str">
        <f t="shared" si="1"/>
        <v>13 dari 31 (42%)</v>
      </c>
    </row>
    <row r="114" ht="22.5" customHeight="1">
      <c r="A114" s="10">
        <v>113.0</v>
      </c>
      <c r="B114" s="11"/>
      <c r="C114" s="20">
        <v>60909.0</v>
      </c>
      <c r="D114" s="12" t="s">
        <v>131</v>
      </c>
      <c r="E114" s="12" t="s">
        <v>98</v>
      </c>
      <c r="F114" s="15" t="s">
        <v>50</v>
      </c>
      <c r="G114" s="6" t="b">
        <v>1</v>
      </c>
      <c r="H114" s="6" t="b">
        <v>0</v>
      </c>
      <c r="I114" s="6" t="b">
        <v>0</v>
      </c>
      <c r="J114" s="6" t="b">
        <v>0</v>
      </c>
      <c r="K114" s="6" t="b">
        <v>0</v>
      </c>
      <c r="L114" s="6" t="b">
        <v>0</v>
      </c>
      <c r="M114" s="6" t="b">
        <v>0</v>
      </c>
      <c r="N114" s="6" t="b">
        <v>0</v>
      </c>
      <c r="O114" s="6" t="b">
        <v>0</v>
      </c>
      <c r="P114" s="6" t="b">
        <v>0</v>
      </c>
      <c r="Q114" s="6" t="b">
        <v>0</v>
      </c>
      <c r="R114" s="6" t="b">
        <v>0</v>
      </c>
      <c r="S114" s="6" t="b">
        <v>0</v>
      </c>
      <c r="T114" s="6" t="b">
        <v>0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0</v>
      </c>
      <c r="AJ114" s="6" t="b">
        <v>0</v>
      </c>
      <c r="AK114" s="6" t="b">
        <v>0</v>
      </c>
      <c r="AL114" s="17" t="str">
        <f t="shared" si="1"/>
        <v>1 dari 31 (3%)</v>
      </c>
    </row>
    <row r="115" ht="22.5" customHeight="1">
      <c r="A115" s="2">
        <v>114.0</v>
      </c>
      <c r="B115" s="11"/>
      <c r="C115" s="20">
        <v>57369.0</v>
      </c>
      <c r="D115" s="12" t="s">
        <v>116</v>
      </c>
      <c r="E115" s="12" t="s">
        <v>80</v>
      </c>
      <c r="F115" s="13"/>
      <c r="G115" s="6" t="b">
        <v>1</v>
      </c>
      <c r="H115" s="6" t="b">
        <v>1</v>
      </c>
      <c r="I115" s="6" t="b">
        <v>0</v>
      </c>
      <c r="J115" s="6" t="b">
        <v>1</v>
      </c>
      <c r="K115" s="6" t="b">
        <v>1</v>
      </c>
      <c r="L115" s="6" t="b">
        <v>1</v>
      </c>
      <c r="M115" s="6" t="b">
        <v>1</v>
      </c>
      <c r="N115" s="6" t="b">
        <v>1</v>
      </c>
      <c r="O115" s="6" t="b">
        <v>1</v>
      </c>
      <c r="P115" s="6" t="b">
        <v>1</v>
      </c>
      <c r="Q115" s="6" t="b">
        <v>1</v>
      </c>
      <c r="R115" s="6" t="b">
        <v>1</v>
      </c>
      <c r="S115" s="6" t="b">
        <v>1</v>
      </c>
      <c r="T115" s="6" t="b">
        <v>1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13 dari 31 (42%)</v>
      </c>
    </row>
    <row r="116" ht="22.5" customHeight="1">
      <c r="A116" s="10">
        <v>115.0</v>
      </c>
      <c r="B116" s="11"/>
      <c r="C116" s="20">
        <v>58252.0</v>
      </c>
      <c r="D116" s="12" t="s">
        <v>116</v>
      </c>
      <c r="E116" s="12" t="s">
        <v>80</v>
      </c>
      <c r="F116" s="13"/>
      <c r="G116" s="6" t="b">
        <v>1</v>
      </c>
      <c r="H116" s="6" t="b">
        <v>1</v>
      </c>
      <c r="I116" s="6" t="b">
        <v>0</v>
      </c>
      <c r="J116" s="6" t="b">
        <v>1</v>
      </c>
      <c r="K116" s="6" t="b">
        <v>1</v>
      </c>
      <c r="L116" s="6" t="b">
        <v>1</v>
      </c>
      <c r="M116" s="6" t="b">
        <v>1</v>
      </c>
      <c r="N116" s="6" t="b">
        <v>1</v>
      </c>
      <c r="O116" s="6" t="b">
        <v>1</v>
      </c>
      <c r="P116" s="6" t="b">
        <v>1</v>
      </c>
      <c r="Q116" s="6" t="b">
        <v>1</v>
      </c>
      <c r="R116" s="6" t="b">
        <v>1</v>
      </c>
      <c r="S116" s="6" t="b">
        <v>1</v>
      </c>
      <c r="T116" s="6" t="b">
        <v>1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1</v>
      </c>
      <c r="AJ116" s="6" t="b">
        <v>0</v>
      </c>
      <c r="AK116" s="6" t="b">
        <v>0</v>
      </c>
      <c r="AL116" s="9" t="str">
        <f t="shared" si="1"/>
        <v>14 dari 31 (45%)</v>
      </c>
    </row>
    <row r="117" ht="22.5" customHeight="1">
      <c r="A117" s="82">
        <v>116.0</v>
      </c>
      <c r="B117" s="83"/>
      <c r="C117" s="84">
        <v>56296.0</v>
      </c>
      <c r="D117" s="85" t="s">
        <v>131</v>
      </c>
      <c r="E117" s="85" t="s">
        <v>98</v>
      </c>
      <c r="F117" s="86" t="s">
        <v>67</v>
      </c>
      <c r="G117" s="87" t="b">
        <v>0</v>
      </c>
      <c r="H117" s="87" t="b">
        <v>0</v>
      </c>
      <c r="I117" s="87" t="b">
        <v>0</v>
      </c>
      <c r="J117" s="87" t="b">
        <v>0</v>
      </c>
      <c r="K117" s="87" t="b">
        <v>0</v>
      </c>
      <c r="L117" s="87" t="b">
        <v>0</v>
      </c>
      <c r="M117" s="87" t="b">
        <v>0</v>
      </c>
      <c r="N117" s="87" t="b">
        <v>0</v>
      </c>
      <c r="O117" s="87" t="b">
        <v>0</v>
      </c>
      <c r="P117" s="87" t="b">
        <v>0</v>
      </c>
      <c r="Q117" s="87" t="b">
        <v>0</v>
      </c>
      <c r="R117" s="87" t="b">
        <v>0</v>
      </c>
      <c r="S117" s="87" t="b">
        <v>0</v>
      </c>
      <c r="T117" s="87" t="b">
        <v>0</v>
      </c>
      <c r="U117" s="87" t="b">
        <v>0</v>
      </c>
      <c r="V117" s="87" t="b">
        <v>0</v>
      </c>
      <c r="W117" s="87" t="b">
        <v>0</v>
      </c>
      <c r="X117" s="87" t="b">
        <v>0</v>
      </c>
      <c r="Y117" s="87" t="b">
        <v>0</v>
      </c>
      <c r="Z117" s="87" t="b">
        <v>0</v>
      </c>
      <c r="AA117" s="87" t="b">
        <v>0</v>
      </c>
      <c r="AB117" s="87" t="b">
        <v>0</v>
      </c>
      <c r="AC117" s="87" t="b">
        <v>0</v>
      </c>
      <c r="AD117" s="87" t="b">
        <v>0</v>
      </c>
      <c r="AE117" s="87" t="b">
        <v>0</v>
      </c>
      <c r="AF117" s="87" t="b">
        <v>0</v>
      </c>
      <c r="AG117" s="87" t="b">
        <v>0</v>
      </c>
      <c r="AH117" s="87" t="b">
        <v>0</v>
      </c>
      <c r="AI117" s="87" t="b">
        <v>0</v>
      </c>
      <c r="AJ117" s="87" t="b">
        <v>0</v>
      </c>
      <c r="AK117" s="87" t="b">
        <v>0</v>
      </c>
      <c r="AL117" s="88" t="str">
        <f t="shared" si="1"/>
        <v>0 dari 31 (0%)</v>
      </c>
    </row>
    <row r="118" ht="22.5" customHeight="1">
      <c r="A118" s="2">
        <v>117.0</v>
      </c>
      <c r="B118" s="11"/>
      <c r="C118" s="22">
        <v>61328.0</v>
      </c>
      <c r="D118" s="12" t="s">
        <v>131</v>
      </c>
      <c r="E118" s="12" t="s">
        <v>141</v>
      </c>
      <c r="F118" s="15" t="s">
        <v>50</v>
      </c>
      <c r="G118" s="6" t="b">
        <v>1</v>
      </c>
      <c r="H118" s="6" t="b">
        <v>0</v>
      </c>
      <c r="I118" s="6" t="b">
        <v>0</v>
      </c>
      <c r="J118" s="6" t="b">
        <v>0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  <c r="P118" s="6" t="b">
        <v>0</v>
      </c>
      <c r="Q118" s="6" t="b">
        <v>0</v>
      </c>
      <c r="R118" s="6" t="b">
        <v>0</v>
      </c>
      <c r="S118" s="6" t="b">
        <v>0</v>
      </c>
      <c r="T118" s="6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0</v>
      </c>
      <c r="AJ118" s="6" t="b">
        <v>0</v>
      </c>
      <c r="AK118" s="6" t="b">
        <v>0</v>
      </c>
      <c r="AL118" s="9" t="str">
        <f t="shared" si="1"/>
        <v>1 dari 31 (3%)</v>
      </c>
    </row>
    <row r="119" ht="22.5" customHeight="1">
      <c r="A119" s="61">
        <v>118.0</v>
      </c>
      <c r="B119" s="62"/>
      <c r="C119" s="32">
        <v>61327.0</v>
      </c>
      <c r="D119" s="51" t="s">
        <v>57</v>
      </c>
      <c r="E119" s="51" t="s">
        <v>39</v>
      </c>
      <c r="F119" s="53"/>
      <c r="G119" s="35" t="b">
        <v>0</v>
      </c>
      <c r="H119" s="35" t="b">
        <v>0</v>
      </c>
      <c r="I119" s="35" t="b">
        <v>0</v>
      </c>
      <c r="J119" s="35" t="b">
        <v>0</v>
      </c>
      <c r="K119" s="35" t="b">
        <v>0</v>
      </c>
      <c r="L119" s="35" t="b">
        <v>0</v>
      </c>
      <c r="M119" s="35" t="b">
        <v>0</v>
      </c>
      <c r="N119" s="35" t="b">
        <v>0</v>
      </c>
      <c r="O119" s="35" t="b">
        <v>0</v>
      </c>
      <c r="P119" s="35" t="b">
        <v>0</v>
      </c>
      <c r="Q119" s="35" t="b">
        <v>0</v>
      </c>
      <c r="R119" s="35" t="b">
        <v>0</v>
      </c>
      <c r="S119" s="35" t="b">
        <v>0</v>
      </c>
      <c r="T119" s="35" t="b">
        <v>0</v>
      </c>
      <c r="U119" s="35" t="b">
        <v>0</v>
      </c>
      <c r="V119" s="35" t="b">
        <v>0</v>
      </c>
      <c r="W119" s="35" t="b">
        <v>0</v>
      </c>
      <c r="X119" s="35" t="b">
        <v>0</v>
      </c>
      <c r="Y119" s="35" t="b">
        <v>0</v>
      </c>
      <c r="Z119" s="35" t="b">
        <v>0</v>
      </c>
      <c r="AA119" s="35" t="b">
        <v>0</v>
      </c>
      <c r="AB119" s="35" t="b">
        <v>0</v>
      </c>
      <c r="AC119" s="35" t="b">
        <v>0</v>
      </c>
      <c r="AD119" s="35" t="b">
        <v>0</v>
      </c>
      <c r="AE119" s="35" t="b">
        <v>0</v>
      </c>
      <c r="AF119" s="35" t="b">
        <v>0</v>
      </c>
      <c r="AG119" s="35" t="b">
        <v>0</v>
      </c>
      <c r="AH119" s="35" t="b">
        <v>0</v>
      </c>
      <c r="AI119" s="35" t="b">
        <v>0</v>
      </c>
      <c r="AJ119" s="35" t="b">
        <v>0</v>
      </c>
      <c r="AK119" s="35" t="b">
        <v>0</v>
      </c>
      <c r="AL119" s="38" t="str">
        <f t="shared" si="1"/>
        <v>0 dari 31 (0%)</v>
      </c>
    </row>
    <row r="120" ht="22.5" customHeight="1">
      <c r="A120" s="10">
        <v>119.0</v>
      </c>
      <c r="B120" s="11"/>
      <c r="C120" s="65">
        <v>61330.0</v>
      </c>
      <c r="D120" s="12" t="s">
        <v>131</v>
      </c>
      <c r="E120" s="12" t="s">
        <v>98</v>
      </c>
      <c r="F120" s="13"/>
      <c r="G120" s="6" t="b">
        <v>1</v>
      </c>
      <c r="H120" s="6" t="b">
        <v>1</v>
      </c>
      <c r="I120" s="6" t="b">
        <v>0</v>
      </c>
      <c r="J120" s="6" t="b">
        <v>1</v>
      </c>
      <c r="K120" s="6" t="b">
        <v>1</v>
      </c>
      <c r="L120" s="6" t="b">
        <v>1</v>
      </c>
      <c r="M120" s="6" t="b">
        <v>1</v>
      </c>
      <c r="N120" s="6" t="b">
        <v>1</v>
      </c>
      <c r="O120" s="6" t="b">
        <v>1</v>
      </c>
      <c r="P120" s="6" t="b">
        <v>1</v>
      </c>
      <c r="Q120" s="6" t="b">
        <v>1</v>
      </c>
      <c r="R120" s="6" t="b">
        <v>1</v>
      </c>
      <c r="S120" s="6" t="b">
        <v>1</v>
      </c>
      <c r="T120" s="6" t="b">
        <v>1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0</v>
      </c>
      <c r="AJ120" s="6" t="b">
        <v>0</v>
      </c>
      <c r="AK120" s="6" t="b">
        <v>0</v>
      </c>
      <c r="AL120" s="17" t="str">
        <f t="shared" si="1"/>
        <v>13 dari 31 (42%)</v>
      </c>
    </row>
    <row r="121" ht="22.5" customHeight="1">
      <c r="A121" s="2">
        <v>120.0</v>
      </c>
      <c r="B121" s="11"/>
      <c r="C121" s="22">
        <v>61147.0</v>
      </c>
      <c r="D121" s="12" t="s">
        <v>177</v>
      </c>
      <c r="E121" s="12" t="s">
        <v>39</v>
      </c>
      <c r="F121" s="13"/>
      <c r="G121" s="6" t="b">
        <v>1</v>
      </c>
      <c r="H121" s="6" t="b">
        <v>1</v>
      </c>
      <c r="I121" s="6" t="b">
        <v>1</v>
      </c>
      <c r="J121" s="6" t="b">
        <v>1</v>
      </c>
      <c r="K121" s="6" t="b">
        <v>1</v>
      </c>
      <c r="L121" s="6" t="b">
        <v>1</v>
      </c>
      <c r="M121" s="6" t="b">
        <v>1</v>
      </c>
      <c r="N121" s="6" t="b">
        <v>1</v>
      </c>
      <c r="O121" s="6" t="b">
        <v>1</v>
      </c>
      <c r="P121" s="6" t="b">
        <v>1</v>
      </c>
      <c r="Q121" s="6" t="b">
        <v>1</v>
      </c>
      <c r="R121" s="6" t="b">
        <v>1</v>
      </c>
      <c r="S121" s="6" t="b">
        <v>1</v>
      </c>
      <c r="T121" s="6" t="b">
        <v>1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1</v>
      </c>
      <c r="AJ121" s="6" t="b">
        <v>0</v>
      </c>
      <c r="AK121" s="6" t="b">
        <v>0</v>
      </c>
      <c r="AL121" s="9" t="str">
        <f t="shared" si="1"/>
        <v>15 dari 31 (48%)</v>
      </c>
    </row>
    <row r="122" ht="22.5" customHeight="1">
      <c r="A122" s="10">
        <v>121.0</v>
      </c>
      <c r="B122" s="11"/>
      <c r="C122" s="20">
        <v>61329.0</v>
      </c>
      <c r="D122" s="12" t="s">
        <v>144</v>
      </c>
      <c r="E122" s="12" t="s">
        <v>145</v>
      </c>
      <c r="F122" s="14" t="s">
        <v>50</v>
      </c>
      <c r="G122" s="6" t="b">
        <v>1</v>
      </c>
      <c r="H122" s="6" t="b">
        <v>0</v>
      </c>
      <c r="I122" s="6" t="b">
        <v>0</v>
      </c>
      <c r="J122" s="6" t="b">
        <v>1</v>
      </c>
      <c r="K122" s="6" t="b">
        <v>1</v>
      </c>
      <c r="L122" s="6" t="b">
        <v>1</v>
      </c>
      <c r="M122" s="6" t="b">
        <v>1</v>
      </c>
      <c r="N122" s="6" t="b">
        <v>1</v>
      </c>
      <c r="O122" s="6" t="b">
        <v>1</v>
      </c>
      <c r="P122" s="6" t="b">
        <v>1</v>
      </c>
      <c r="Q122" s="6" t="b">
        <v>1</v>
      </c>
      <c r="R122" s="6" t="b">
        <v>1</v>
      </c>
      <c r="S122" s="6" t="b">
        <v>1</v>
      </c>
      <c r="T122" s="6" t="b">
        <v>0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1</v>
      </c>
      <c r="AJ122" s="6" t="b">
        <v>0</v>
      </c>
      <c r="AK122" s="6" t="b">
        <v>0</v>
      </c>
      <c r="AL122" s="9" t="str">
        <f t="shared" si="1"/>
        <v>12 dari 31 (39%)</v>
      </c>
    </row>
    <row r="123" ht="22.5" customHeight="1">
      <c r="A123" s="10">
        <v>122.0</v>
      </c>
      <c r="B123" s="11"/>
      <c r="C123" s="20">
        <v>60063.0</v>
      </c>
      <c r="D123" s="12" t="s">
        <v>41</v>
      </c>
      <c r="E123" s="12" t="s">
        <v>48</v>
      </c>
      <c r="F123" s="14" t="s">
        <v>50</v>
      </c>
      <c r="G123" s="6" t="b">
        <v>1</v>
      </c>
      <c r="H123" s="6" t="b">
        <v>0</v>
      </c>
      <c r="I123" s="6" t="b">
        <v>0</v>
      </c>
      <c r="J123" s="6" t="b">
        <v>1</v>
      </c>
      <c r="K123" s="6" t="b">
        <v>1</v>
      </c>
      <c r="L123" s="6" t="b">
        <v>1</v>
      </c>
      <c r="M123" s="6" t="b">
        <v>1</v>
      </c>
      <c r="N123" s="6" t="b">
        <v>1</v>
      </c>
      <c r="O123" s="6" t="b">
        <v>1</v>
      </c>
      <c r="P123" s="6" t="b">
        <v>1</v>
      </c>
      <c r="Q123" s="6" t="b">
        <v>1</v>
      </c>
      <c r="R123" s="6" t="b">
        <v>1</v>
      </c>
      <c r="S123" s="6" t="b">
        <v>1</v>
      </c>
      <c r="T123" s="6" t="b">
        <v>0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0</v>
      </c>
      <c r="AJ123" s="6" t="b">
        <v>0</v>
      </c>
      <c r="AK123" s="6" t="b">
        <v>0</v>
      </c>
      <c r="AL123" s="17" t="str">
        <f t="shared" si="1"/>
        <v>11 dari 31 (35%)</v>
      </c>
    </row>
    <row r="124" ht="22.5" customHeight="1">
      <c r="A124" s="2">
        <v>123.0</v>
      </c>
      <c r="B124" s="11"/>
      <c r="C124" s="20">
        <v>61331.0</v>
      </c>
      <c r="D124" s="12" t="s">
        <v>141</v>
      </c>
      <c r="E124" s="12" t="s">
        <v>131</v>
      </c>
      <c r="F124" s="14" t="s">
        <v>50</v>
      </c>
      <c r="G124" s="6" t="b">
        <v>1</v>
      </c>
      <c r="H124" s="6" t="b">
        <v>0</v>
      </c>
      <c r="I124" s="6" t="b">
        <v>0</v>
      </c>
      <c r="J124" s="6" t="b">
        <v>1</v>
      </c>
      <c r="K124" s="6" t="b">
        <v>1</v>
      </c>
      <c r="L124" s="6" t="b">
        <v>1</v>
      </c>
      <c r="M124" s="6" t="b">
        <v>1</v>
      </c>
      <c r="N124" s="6" t="b">
        <v>1</v>
      </c>
      <c r="O124" s="6" t="b">
        <v>1</v>
      </c>
      <c r="P124" s="6" t="b">
        <v>1</v>
      </c>
      <c r="Q124" s="6" t="b">
        <v>1</v>
      </c>
      <c r="R124" s="6" t="b">
        <v>1</v>
      </c>
      <c r="S124" s="6" t="b">
        <v>1</v>
      </c>
      <c r="T124" s="6" t="b">
        <v>0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0</v>
      </c>
      <c r="AJ124" s="6" t="b">
        <v>0</v>
      </c>
      <c r="AK124" s="6" t="b">
        <v>0</v>
      </c>
      <c r="AL124" s="9" t="str">
        <f t="shared" si="1"/>
        <v>11 dari 31 (35%)</v>
      </c>
    </row>
    <row r="125" ht="22.5" customHeight="1">
      <c r="A125" s="10">
        <v>124.0</v>
      </c>
      <c r="B125" s="11"/>
      <c r="C125" s="20">
        <v>61332.0</v>
      </c>
      <c r="D125" s="12" t="s">
        <v>51</v>
      </c>
      <c r="E125" s="12" t="s">
        <v>52</v>
      </c>
      <c r="F125" s="14" t="s">
        <v>50</v>
      </c>
      <c r="G125" s="6" t="b">
        <v>1</v>
      </c>
      <c r="H125" s="6" t="b">
        <v>0</v>
      </c>
      <c r="I125" s="6" t="b">
        <v>0</v>
      </c>
      <c r="J125" s="6" t="b">
        <v>1</v>
      </c>
      <c r="K125" s="6" t="b">
        <v>1</v>
      </c>
      <c r="L125" s="6" t="b">
        <v>1</v>
      </c>
      <c r="M125" s="6" t="b">
        <v>1</v>
      </c>
      <c r="N125" s="6" t="b">
        <v>1</v>
      </c>
      <c r="O125" s="6" t="b">
        <v>1</v>
      </c>
      <c r="P125" s="6" t="b">
        <v>1</v>
      </c>
      <c r="Q125" s="6" t="b">
        <v>1</v>
      </c>
      <c r="R125" s="6" t="b">
        <v>1</v>
      </c>
      <c r="S125" s="6" t="b">
        <v>1</v>
      </c>
      <c r="T125" s="6" t="b">
        <v>0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1</v>
      </c>
      <c r="AA125" s="6" t="b">
        <v>1</v>
      </c>
      <c r="AB125" s="6" t="b">
        <v>1</v>
      </c>
      <c r="AC125" s="6" t="b">
        <v>1</v>
      </c>
      <c r="AD125" s="6" t="b">
        <v>1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1</v>
      </c>
      <c r="AJ125" s="6" t="b">
        <v>0</v>
      </c>
      <c r="AK125" s="6" t="b">
        <v>0</v>
      </c>
      <c r="AL125" s="9" t="str">
        <f t="shared" si="1"/>
        <v>17 dari 31 (55%)</v>
      </c>
    </row>
    <row r="126" ht="22.5" customHeight="1">
      <c r="A126" s="10">
        <v>125.0</v>
      </c>
      <c r="B126" s="11"/>
      <c r="C126" s="20">
        <v>49940.0</v>
      </c>
      <c r="D126" s="12" t="s">
        <v>98</v>
      </c>
      <c r="E126" s="12" t="s">
        <v>131</v>
      </c>
      <c r="F126" s="14" t="s">
        <v>50</v>
      </c>
      <c r="G126" s="6" t="b">
        <v>1</v>
      </c>
      <c r="H126" s="6" t="b">
        <v>0</v>
      </c>
      <c r="I126" s="6" t="b">
        <v>0</v>
      </c>
      <c r="J126" s="6" t="b">
        <v>1</v>
      </c>
      <c r="K126" s="6" t="b">
        <v>1</v>
      </c>
      <c r="L126" s="6" t="b">
        <v>1</v>
      </c>
      <c r="M126" s="6" t="b">
        <v>1</v>
      </c>
      <c r="N126" s="6" t="b">
        <v>1</v>
      </c>
      <c r="O126" s="6" t="b">
        <v>1</v>
      </c>
      <c r="P126" s="6" t="b">
        <v>1</v>
      </c>
      <c r="Q126" s="6" t="b">
        <v>1</v>
      </c>
      <c r="R126" s="6" t="b">
        <v>1</v>
      </c>
      <c r="S126" s="6" t="b">
        <v>1</v>
      </c>
      <c r="T126" s="6" t="b">
        <v>0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0</v>
      </c>
      <c r="AJ126" s="6" t="b">
        <v>0</v>
      </c>
      <c r="AK126" s="6" t="b">
        <v>0</v>
      </c>
      <c r="AL126" s="17" t="str">
        <f t="shared" si="1"/>
        <v>11 dari 31 (35%)</v>
      </c>
    </row>
    <row r="127" ht="22.5" customHeight="1">
      <c r="A127" s="2">
        <v>126.0</v>
      </c>
      <c r="B127" s="11"/>
      <c r="C127" s="22">
        <v>45037.0</v>
      </c>
      <c r="D127" s="12" t="s">
        <v>98</v>
      </c>
      <c r="E127" s="12" t="s">
        <v>133</v>
      </c>
      <c r="F127" s="14" t="s">
        <v>50</v>
      </c>
      <c r="G127" s="6" t="b">
        <v>1</v>
      </c>
      <c r="H127" s="6" t="b">
        <v>0</v>
      </c>
      <c r="I127" s="6" t="b">
        <v>0</v>
      </c>
      <c r="J127" s="6" t="b">
        <v>1</v>
      </c>
      <c r="K127" s="6" t="b">
        <v>1</v>
      </c>
      <c r="L127" s="6" t="b">
        <v>1</v>
      </c>
      <c r="M127" s="6" t="b">
        <v>1</v>
      </c>
      <c r="N127" s="6" t="b">
        <v>1</v>
      </c>
      <c r="O127" s="6" t="b">
        <v>1</v>
      </c>
      <c r="P127" s="6" t="b">
        <v>1</v>
      </c>
      <c r="Q127" s="6" t="b">
        <v>1</v>
      </c>
      <c r="R127" s="6" t="b">
        <v>1</v>
      </c>
      <c r="S127" s="6" t="b">
        <v>1</v>
      </c>
      <c r="T127" s="6" t="b">
        <v>0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0</v>
      </c>
      <c r="AJ127" s="6" t="b">
        <v>0</v>
      </c>
      <c r="AK127" s="6" t="b">
        <v>0</v>
      </c>
      <c r="AL127" s="9" t="str">
        <f t="shared" si="1"/>
        <v>11 dari 31 (35%)</v>
      </c>
    </row>
    <row r="128" ht="22.5" customHeight="1">
      <c r="A128" s="10">
        <v>127.0</v>
      </c>
      <c r="B128" s="11"/>
      <c r="C128" s="22">
        <v>61333.0</v>
      </c>
      <c r="D128" s="56" t="s">
        <v>141</v>
      </c>
      <c r="E128" s="56" t="s">
        <v>86</v>
      </c>
      <c r="F128" s="14" t="s">
        <v>50</v>
      </c>
      <c r="G128" s="6" t="b">
        <v>1</v>
      </c>
      <c r="H128" s="6" t="b">
        <v>0</v>
      </c>
      <c r="I128" s="6" t="b">
        <v>0</v>
      </c>
      <c r="J128" s="6" t="b">
        <v>1</v>
      </c>
      <c r="K128" s="6" t="b">
        <v>1</v>
      </c>
      <c r="L128" s="6" t="b">
        <v>1</v>
      </c>
      <c r="M128" s="6" t="b">
        <v>1</v>
      </c>
      <c r="N128" s="6" t="b">
        <v>1</v>
      </c>
      <c r="O128" s="6" t="b">
        <v>1</v>
      </c>
      <c r="P128" s="6" t="b">
        <v>1</v>
      </c>
      <c r="Q128" s="6" t="b">
        <v>1</v>
      </c>
      <c r="R128" s="6" t="b">
        <v>1</v>
      </c>
      <c r="S128" s="6" t="b">
        <v>1</v>
      </c>
      <c r="T128" s="6" t="b">
        <v>0</v>
      </c>
      <c r="U128" s="6" t="b">
        <v>0</v>
      </c>
      <c r="V128" s="6" t="b">
        <v>0</v>
      </c>
      <c r="W128" s="6" t="b">
        <v>0</v>
      </c>
      <c r="X128" s="6" t="b">
        <v>0</v>
      </c>
      <c r="Y128" s="6" t="b">
        <v>0</v>
      </c>
      <c r="Z128" s="6" t="b">
        <v>0</v>
      </c>
      <c r="AA128" s="6" t="b">
        <v>0</v>
      </c>
      <c r="AB128" s="6" t="b">
        <v>0</v>
      </c>
      <c r="AC128" s="6" t="b">
        <v>0</v>
      </c>
      <c r="AD128" s="6" t="b">
        <v>0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1</v>
      </c>
      <c r="AJ128" s="6" t="b">
        <v>0</v>
      </c>
      <c r="AK128" s="6" t="b">
        <v>0</v>
      </c>
      <c r="AL128" s="9" t="str">
        <f t="shared" si="1"/>
        <v>12 dari 31 (39%)</v>
      </c>
    </row>
    <row r="129" ht="22.5" customHeight="1">
      <c r="A129" s="109">
        <v>128.0</v>
      </c>
      <c r="B129" s="110"/>
      <c r="C129" s="111">
        <v>60888.0</v>
      </c>
      <c r="D129" s="103" t="s">
        <v>63</v>
      </c>
      <c r="E129" s="103" t="s">
        <v>64</v>
      </c>
      <c r="F129" s="104"/>
      <c r="G129" s="105" t="b">
        <v>1</v>
      </c>
      <c r="H129" s="105" t="b">
        <v>1</v>
      </c>
      <c r="I129" s="105" t="b">
        <v>1</v>
      </c>
      <c r="J129" s="105" t="b">
        <v>1</v>
      </c>
      <c r="K129" s="105" t="b">
        <v>1</v>
      </c>
      <c r="L129" s="105" t="b">
        <v>1</v>
      </c>
      <c r="M129" s="105" t="b">
        <v>1</v>
      </c>
      <c r="N129" s="105" t="b">
        <v>1</v>
      </c>
      <c r="O129" s="105" t="b">
        <v>1</v>
      </c>
      <c r="P129" s="105" t="b">
        <v>1</v>
      </c>
      <c r="Q129" s="105" t="b">
        <v>1</v>
      </c>
      <c r="R129" s="105" t="b">
        <v>1</v>
      </c>
      <c r="S129" s="105" t="b">
        <v>1</v>
      </c>
      <c r="T129" s="105" t="b">
        <v>0</v>
      </c>
      <c r="U129" s="105" t="b">
        <v>0</v>
      </c>
      <c r="V129" s="105" t="b">
        <v>0</v>
      </c>
      <c r="W129" s="105" t="b">
        <v>0</v>
      </c>
      <c r="X129" s="105" t="b">
        <v>0</v>
      </c>
      <c r="Y129" s="105" t="b">
        <v>0</v>
      </c>
      <c r="Z129" s="105" t="b">
        <v>0</v>
      </c>
      <c r="AA129" s="105" t="b">
        <v>0</v>
      </c>
      <c r="AB129" s="105" t="b">
        <v>0</v>
      </c>
      <c r="AC129" s="105" t="b">
        <v>0</v>
      </c>
      <c r="AD129" s="105" t="b">
        <v>0</v>
      </c>
      <c r="AE129" s="105" t="b">
        <v>0</v>
      </c>
      <c r="AF129" s="105" t="b">
        <v>0</v>
      </c>
      <c r="AG129" s="105" t="b">
        <v>0</v>
      </c>
      <c r="AH129" s="105" t="b">
        <v>0</v>
      </c>
      <c r="AI129" s="105" t="b">
        <v>1</v>
      </c>
      <c r="AJ129" s="105" t="b">
        <v>0</v>
      </c>
      <c r="AK129" s="105" t="b">
        <v>0</v>
      </c>
      <c r="AL129" s="127" t="str">
        <f t="shared" si="1"/>
        <v>14 dari 31 (45%)</v>
      </c>
    </row>
    <row r="130" ht="22.5" customHeight="1">
      <c r="A130" s="2">
        <v>129.0</v>
      </c>
      <c r="B130" s="11"/>
      <c r="C130" s="22">
        <v>61335.0</v>
      </c>
      <c r="D130" s="12" t="s">
        <v>141</v>
      </c>
      <c r="E130" s="12" t="s">
        <v>133</v>
      </c>
      <c r="F130" s="14" t="s">
        <v>50</v>
      </c>
      <c r="G130" s="6" t="b">
        <v>1</v>
      </c>
      <c r="H130" s="6" t="b">
        <v>0</v>
      </c>
      <c r="I130" s="6" t="b">
        <v>0</v>
      </c>
      <c r="J130" s="6" t="b">
        <v>1</v>
      </c>
      <c r="K130" s="6" t="b">
        <v>1</v>
      </c>
      <c r="L130" s="6" t="b">
        <v>1</v>
      </c>
      <c r="M130" s="6" t="b">
        <v>1</v>
      </c>
      <c r="N130" s="6" t="b">
        <v>1</v>
      </c>
      <c r="O130" s="6" t="b">
        <v>1</v>
      </c>
      <c r="P130" s="6" t="b">
        <v>1</v>
      </c>
      <c r="Q130" s="6" t="b">
        <v>1</v>
      </c>
      <c r="R130" s="6" t="b">
        <v>1</v>
      </c>
      <c r="S130" s="6" t="b">
        <v>1</v>
      </c>
      <c r="T130" s="6" t="b">
        <v>0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0</v>
      </c>
      <c r="AJ130" s="6" t="b">
        <v>0</v>
      </c>
      <c r="AK130" s="6" t="b">
        <v>0</v>
      </c>
      <c r="AL130" s="9" t="str">
        <f t="shared" si="1"/>
        <v>11 dari 31 (35%)</v>
      </c>
    </row>
    <row r="131" ht="22.5" customHeight="1">
      <c r="A131" s="10">
        <v>130.0</v>
      </c>
      <c r="B131" s="11"/>
      <c r="C131" s="22">
        <v>59626.0</v>
      </c>
      <c r="D131" s="12" t="s">
        <v>68</v>
      </c>
      <c r="E131" s="12" t="s">
        <v>155</v>
      </c>
      <c r="F131" s="13"/>
      <c r="G131" s="6" t="b">
        <v>1</v>
      </c>
      <c r="H131" s="6" t="b">
        <v>1</v>
      </c>
      <c r="I131" s="6" t="b">
        <v>1</v>
      </c>
      <c r="J131" s="6" t="b">
        <v>1</v>
      </c>
      <c r="K131" s="6" t="b">
        <v>1</v>
      </c>
      <c r="L131" s="6" t="b">
        <v>1</v>
      </c>
      <c r="M131" s="6" t="b">
        <v>1</v>
      </c>
      <c r="N131" s="6" t="b">
        <v>1</v>
      </c>
      <c r="O131" s="6" t="b">
        <v>1</v>
      </c>
      <c r="P131" s="6" t="b">
        <v>1</v>
      </c>
      <c r="Q131" s="6" t="b">
        <v>1</v>
      </c>
      <c r="R131" s="6" t="b">
        <v>1</v>
      </c>
      <c r="S131" s="6" t="b">
        <v>1</v>
      </c>
      <c r="T131" s="6" t="b">
        <v>1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1</v>
      </c>
      <c r="AJ131" s="6" t="b">
        <v>0</v>
      </c>
      <c r="AK131" s="6" t="b">
        <v>0</v>
      </c>
      <c r="AL131" s="9" t="str">
        <f t="shared" si="1"/>
        <v>15 dari 31 (48%)</v>
      </c>
    </row>
    <row r="132" ht="22.5" customHeight="1">
      <c r="A132" s="10">
        <v>131.0</v>
      </c>
      <c r="B132" s="11"/>
      <c r="C132" s="20">
        <v>54503.0</v>
      </c>
      <c r="D132" s="12" t="s">
        <v>145</v>
      </c>
      <c r="E132" s="12" t="s">
        <v>74</v>
      </c>
      <c r="F132" s="15" t="s">
        <v>50</v>
      </c>
      <c r="G132" s="6" t="b">
        <v>1</v>
      </c>
      <c r="H132" s="6" t="b">
        <v>1</v>
      </c>
      <c r="I132" s="6" t="b">
        <v>0</v>
      </c>
      <c r="J132" s="6" t="b">
        <v>0</v>
      </c>
      <c r="K132" s="6" t="b">
        <v>0</v>
      </c>
      <c r="L132" s="6" t="b">
        <v>0</v>
      </c>
      <c r="M132" s="6" t="b">
        <v>0</v>
      </c>
      <c r="N132" s="6" t="b">
        <v>0</v>
      </c>
      <c r="O132" s="6" t="b">
        <v>0</v>
      </c>
      <c r="P132" s="6" t="b">
        <v>0</v>
      </c>
      <c r="Q132" s="6" t="b">
        <v>0</v>
      </c>
      <c r="R132" s="6" t="b">
        <v>0</v>
      </c>
      <c r="S132" s="6" t="b">
        <v>0</v>
      </c>
      <c r="T132" s="6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17" t="str">
        <f t="shared" si="1"/>
        <v>2 dari 31 (6%)</v>
      </c>
    </row>
    <row r="133" ht="22.5" customHeight="1">
      <c r="A133" s="2">
        <v>132.0</v>
      </c>
      <c r="B133" s="11"/>
      <c r="C133" s="20">
        <v>58141.0</v>
      </c>
      <c r="D133" s="12" t="s">
        <v>133</v>
      </c>
      <c r="E133" s="12" t="s">
        <v>98</v>
      </c>
      <c r="F133" s="15" t="s">
        <v>50</v>
      </c>
      <c r="G133" s="6" t="b">
        <v>1</v>
      </c>
      <c r="H133" s="6" t="b">
        <v>1</v>
      </c>
      <c r="I133" s="6" t="b">
        <v>0</v>
      </c>
      <c r="J133" s="6" t="b">
        <v>0</v>
      </c>
      <c r="K133" s="6" t="b">
        <v>0</v>
      </c>
      <c r="L133" s="6" t="b">
        <v>0</v>
      </c>
      <c r="M133" s="6" t="b">
        <v>0</v>
      </c>
      <c r="N133" s="6" t="b">
        <v>0</v>
      </c>
      <c r="O133" s="6" t="b">
        <v>0</v>
      </c>
      <c r="P133" s="6" t="b">
        <v>0</v>
      </c>
      <c r="Q133" s="6" t="b">
        <v>0</v>
      </c>
      <c r="R133" s="6" t="b">
        <v>0</v>
      </c>
      <c r="S133" s="6" t="b">
        <v>0</v>
      </c>
      <c r="T133" s="6" t="b">
        <v>0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0</v>
      </c>
      <c r="AJ133" s="6" t="b">
        <v>0</v>
      </c>
      <c r="AK133" s="6" t="b">
        <v>0</v>
      </c>
      <c r="AL133" s="9" t="str">
        <f t="shared" si="1"/>
        <v>2 dari 31 (6%)</v>
      </c>
    </row>
    <row r="134" ht="22.5" customHeight="1">
      <c r="A134" s="10">
        <v>133.0</v>
      </c>
      <c r="B134" s="11"/>
      <c r="C134" s="20">
        <v>57050.0</v>
      </c>
      <c r="D134" s="12" t="s">
        <v>133</v>
      </c>
      <c r="E134" s="12" t="s">
        <v>98</v>
      </c>
      <c r="F134" s="15" t="s">
        <v>50</v>
      </c>
      <c r="G134" s="6" t="b">
        <v>1</v>
      </c>
      <c r="H134" s="6" t="b">
        <v>1</v>
      </c>
      <c r="I134" s="6" t="b">
        <v>0</v>
      </c>
      <c r="J134" s="6" t="b">
        <v>0</v>
      </c>
      <c r="K134" s="6" t="b">
        <v>0</v>
      </c>
      <c r="L134" s="6" t="b">
        <v>0</v>
      </c>
      <c r="M134" s="6" t="b">
        <v>0</v>
      </c>
      <c r="N134" s="6" t="b">
        <v>0</v>
      </c>
      <c r="O134" s="6" t="b">
        <v>0</v>
      </c>
      <c r="P134" s="6" t="b">
        <v>0</v>
      </c>
      <c r="Q134" s="6" t="b">
        <v>0</v>
      </c>
      <c r="R134" s="6" t="b">
        <v>0</v>
      </c>
      <c r="S134" s="6" t="b">
        <v>0</v>
      </c>
      <c r="T134" s="6" t="b">
        <v>0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1</v>
      </c>
      <c r="AJ134" s="6" t="b">
        <v>0</v>
      </c>
      <c r="AK134" s="6" t="b">
        <v>0</v>
      </c>
      <c r="AL134" s="9" t="str">
        <f t="shared" si="1"/>
        <v>3 dari 31 (10%)</v>
      </c>
    </row>
    <row r="135" ht="22.5" customHeight="1">
      <c r="A135" s="10">
        <v>134.0</v>
      </c>
      <c r="B135" s="11"/>
      <c r="C135" s="20">
        <v>61336.0</v>
      </c>
      <c r="D135" s="12" t="s">
        <v>64</v>
      </c>
      <c r="E135" s="12" t="s">
        <v>63</v>
      </c>
      <c r="F135" s="13"/>
      <c r="G135" s="6" t="b">
        <v>1</v>
      </c>
      <c r="H135" s="6" t="b">
        <v>1</v>
      </c>
      <c r="I135" s="6" t="b">
        <v>1</v>
      </c>
      <c r="J135" s="6" t="b">
        <v>1</v>
      </c>
      <c r="K135" s="6" t="b">
        <v>1</v>
      </c>
      <c r="L135" s="6" t="b">
        <v>1</v>
      </c>
      <c r="M135" s="6" t="b">
        <v>1</v>
      </c>
      <c r="N135" s="6" t="b">
        <v>1</v>
      </c>
      <c r="O135" s="6" t="b">
        <v>1</v>
      </c>
      <c r="P135" s="6" t="b">
        <v>1</v>
      </c>
      <c r="Q135" s="6" t="b">
        <v>1</v>
      </c>
      <c r="R135" s="6" t="b">
        <v>1</v>
      </c>
      <c r="S135" s="6" t="b">
        <v>1</v>
      </c>
      <c r="T135" s="6" t="b">
        <v>1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0</v>
      </c>
      <c r="AJ135" s="6" t="b">
        <v>0</v>
      </c>
      <c r="AK135" s="6" t="b">
        <v>0</v>
      </c>
      <c r="AL135" s="17" t="str">
        <f t="shared" si="1"/>
        <v>14 dari 31 (45%)</v>
      </c>
    </row>
    <row r="136" ht="22.5" customHeight="1">
      <c r="A136" s="2">
        <v>135.0</v>
      </c>
      <c r="B136" s="11"/>
      <c r="C136" s="20">
        <v>61334.0</v>
      </c>
      <c r="D136" s="12" t="s">
        <v>91</v>
      </c>
      <c r="E136" s="12" t="s">
        <v>141</v>
      </c>
      <c r="F136" s="86" t="s">
        <v>105</v>
      </c>
      <c r="G136" s="6" t="b">
        <v>1</v>
      </c>
      <c r="H136" s="6" t="b">
        <v>0</v>
      </c>
      <c r="I136" s="6" t="b">
        <v>0</v>
      </c>
      <c r="J136" s="6" t="b">
        <v>0</v>
      </c>
      <c r="K136" s="6" t="b">
        <v>0</v>
      </c>
      <c r="L136" s="6" t="b">
        <v>0</v>
      </c>
      <c r="M136" s="6" t="b">
        <v>0</v>
      </c>
      <c r="N136" s="6" t="b">
        <v>0</v>
      </c>
      <c r="O136" s="6" t="b">
        <v>0</v>
      </c>
      <c r="P136" s="6" t="b">
        <v>0</v>
      </c>
      <c r="Q136" s="6" t="b">
        <v>0</v>
      </c>
      <c r="R136" s="6" t="b">
        <v>0</v>
      </c>
      <c r="S136" s="6" t="b">
        <v>0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1</v>
      </c>
      <c r="AJ136" s="6" t="b">
        <v>0</v>
      </c>
      <c r="AK136" s="6" t="b">
        <v>0</v>
      </c>
      <c r="AL136" s="9" t="str">
        <f t="shared" si="1"/>
        <v>2 dari 31 (6%)</v>
      </c>
    </row>
    <row r="137" ht="22.5" customHeight="1">
      <c r="A137" s="10">
        <v>136.0</v>
      </c>
      <c r="B137" s="11"/>
      <c r="C137" s="22">
        <v>59881.0</v>
      </c>
      <c r="D137" s="12" t="s">
        <v>64</v>
      </c>
      <c r="E137" s="12" t="s">
        <v>63</v>
      </c>
      <c r="F137" s="13"/>
      <c r="G137" s="6" t="b">
        <v>1</v>
      </c>
      <c r="H137" s="6" t="b">
        <v>1</v>
      </c>
      <c r="I137" s="6" t="b">
        <v>1</v>
      </c>
      <c r="J137" s="6" t="b">
        <v>1</v>
      </c>
      <c r="K137" s="6" t="b">
        <v>1</v>
      </c>
      <c r="L137" s="6" t="b">
        <v>1</v>
      </c>
      <c r="M137" s="6" t="b">
        <v>1</v>
      </c>
      <c r="N137" s="6" t="b">
        <v>1</v>
      </c>
      <c r="O137" s="6" t="b">
        <v>1</v>
      </c>
      <c r="P137" s="6" t="b">
        <v>1</v>
      </c>
      <c r="Q137" s="6" t="b">
        <v>1</v>
      </c>
      <c r="R137" s="6" t="b">
        <v>1</v>
      </c>
      <c r="S137" s="6" t="b">
        <v>1</v>
      </c>
      <c r="T137" s="6" t="b">
        <v>1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0</v>
      </c>
      <c r="AJ137" s="6" t="b">
        <v>0</v>
      </c>
      <c r="AK137" s="6" t="b">
        <v>0</v>
      </c>
      <c r="AL137" s="9" t="str">
        <f t="shared" si="1"/>
        <v>14 dari 31 (45%)</v>
      </c>
    </row>
    <row r="138" ht="22.5" customHeight="1">
      <c r="A138" s="10">
        <v>137.0</v>
      </c>
      <c r="B138" s="11"/>
      <c r="C138" s="22">
        <v>50167.0</v>
      </c>
      <c r="D138" s="12" t="s">
        <v>131</v>
      </c>
      <c r="E138" s="12" t="s">
        <v>98</v>
      </c>
      <c r="F138" s="15" t="s">
        <v>50</v>
      </c>
      <c r="G138" s="6" t="b">
        <v>1</v>
      </c>
      <c r="H138" s="6" t="b">
        <v>1</v>
      </c>
      <c r="I138" s="6" t="b">
        <v>0</v>
      </c>
      <c r="J138" s="6" t="b">
        <v>0</v>
      </c>
      <c r="K138" s="6" t="b">
        <v>0</v>
      </c>
      <c r="L138" s="6" t="b">
        <v>0</v>
      </c>
      <c r="M138" s="6" t="b">
        <v>0</v>
      </c>
      <c r="N138" s="6" t="b">
        <v>0</v>
      </c>
      <c r="O138" s="6" t="b">
        <v>0</v>
      </c>
      <c r="P138" s="6" t="b">
        <v>0</v>
      </c>
      <c r="Q138" s="6" t="b">
        <v>0</v>
      </c>
      <c r="R138" s="6" t="b">
        <v>0</v>
      </c>
      <c r="S138" s="6" t="b">
        <v>0</v>
      </c>
      <c r="T138" s="6" t="b">
        <v>0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1</v>
      </c>
      <c r="AJ138" s="6" t="b">
        <v>0</v>
      </c>
      <c r="AK138" s="6" t="b">
        <v>0</v>
      </c>
      <c r="AL138" s="17" t="str">
        <f t="shared" si="1"/>
        <v>3 dari 31 (10%)</v>
      </c>
    </row>
    <row r="139" ht="22.5" customHeight="1">
      <c r="A139" s="2">
        <v>138.0</v>
      </c>
      <c r="B139" s="11"/>
      <c r="C139" s="22">
        <v>61337.0</v>
      </c>
      <c r="D139" s="12" t="s">
        <v>119</v>
      </c>
      <c r="E139" s="12" t="s">
        <v>51</v>
      </c>
      <c r="F139" s="15" t="s">
        <v>50</v>
      </c>
      <c r="G139" s="6" t="b">
        <v>1</v>
      </c>
      <c r="H139" s="6" t="b">
        <v>1</v>
      </c>
      <c r="I139" s="6" t="b">
        <v>0</v>
      </c>
      <c r="J139" s="6" t="b">
        <v>1</v>
      </c>
      <c r="K139" s="6" t="b">
        <v>1</v>
      </c>
      <c r="L139" s="6" t="b">
        <v>1</v>
      </c>
      <c r="M139" s="6" t="b">
        <v>1</v>
      </c>
      <c r="N139" s="6" t="b">
        <v>1</v>
      </c>
      <c r="O139" s="6" t="b">
        <v>1</v>
      </c>
      <c r="P139" s="6" t="b">
        <v>1</v>
      </c>
      <c r="Q139" s="6" t="b">
        <v>1</v>
      </c>
      <c r="R139" s="6" t="b">
        <v>1</v>
      </c>
      <c r="S139" s="6" t="b">
        <v>1</v>
      </c>
      <c r="T139" s="6" t="b">
        <v>0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1</v>
      </c>
      <c r="AJ139" s="6" t="b">
        <v>0</v>
      </c>
      <c r="AK139" s="6" t="b">
        <v>0</v>
      </c>
      <c r="AL139" s="9" t="str">
        <f t="shared" si="1"/>
        <v>13 dari 31 (42%)</v>
      </c>
    </row>
    <row r="140" ht="22.5" customHeight="1">
      <c r="A140" s="10">
        <v>139.0</v>
      </c>
      <c r="B140" s="11"/>
      <c r="C140" s="22">
        <v>61043.0</v>
      </c>
      <c r="D140" s="12" t="s">
        <v>57</v>
      </c>
      <c r="E140" s="12" t="s">
        <v>39</v>
      </c>
      <c r="F140" s="13"/>
      <c r="G140" s="6" t="b">
        <v>1</v>
      </c>
      <c r="H140" s="6" t="b">
        <v>1</v>
      </c>
      <c r="I140" s="6" t="b">
        <v>1</v>
      </c>
      <c r="J140" s="6" t="b">
        <v>1</v>
      </c>
      <c r="K140" s="6" t="b">
        <v>1</v>
      </c>
      <c r="L140" s="6" t="b">
        <v>1</v>
      </c>
      <c r="M140" s="6" t="b">
        <v>1</v>
      </c>
      <c r="N140" s="6" t="b">
        <v>1</v>
      </c>
      <c r="O140" s="6" t="b">
        <v>1</v>
      </c>
      <c r="P140" s="6" t="b">
        <v>1</v>
      </c>
      <c r="Q140" s="6" t="b">
        <v>1</v>
      </c>
      <c r="R140" s="6" t="b">
        <v>1</v>
      </c>
      <c r="S140" s="6" t="b">
        <v>1</v>
      </c>
      <c r="T140" s="6" t="b">
        <v>1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0</v>
      </c>
      <c r="AJ140" s="6" t="b">
        <v>0</v>
      </c>
      <c r="AK140" s="6" t="b">
        <v>0</v>
      </c>
      <c r="AL140" s="9" t="str">
        <f t="shared" si="1"/>
        <v>14 dari 31 (45%)</v>
      </c>
    </row>
    <row r="141" ht="22.5" customHeight="1">
      <c r="A141" s="10">
        <v>140.0</v>
      </c>
      <c r="B141" s="11"/>
      <c r="C141" s="22">
        <v>57056.0</v>
      </c>
      <c r="D141" s="12" t="s">
        <v>131</v>
      </c>
      <c r="E141" s="12" t="s">
        <v>98</v>
      </c>
      <c r="F141" s="15" t="s">
        <v>50</v>
      </c>
      <c r="G141" s="6" t="b">
        <v>1</v>
      </c>
      <c r="H141" s="6" t="b">
        <v>1</v>
      </c>
      <c r="I141" s="6" t="b">
        <v>0</v>
      </c>
      <c r="J141" s="6" t="b">
        <v>0</v>
      </c>
      <c r="K141" s="6" t="b">
        <v>0</v>
      </c>
      <c r="L141" s="6" t="b">
        <v>0</v>
      </c>
      <c r="M141" s="6" t="b">
        <v>0</v>
      </c>
      <c r="N141" s="6" t="b">
        <v>0</v>
      </c>
      <c r="O141" s="6" t="b">
        <v>0</v>
      </c>
      <c r="P141" s="6" t="b">
        <v>0</v>
      </c>
      <c r="Q141" s="6" t="b">
        <v>0</v>
      </c>
      <c r="R141" s="6" t="b">
        <v>0</v>
      </c>
      <c r="S141" s="6" t="b">
        <v>0</v>
      </c>
      <c r="T141" s="6" t="b">
        <v>0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0</v>
      </c>
      <c r="AJ141" s="6" t="b">
        <v>0</v>
      </c>
      <c r="AK141" s="6" t="b">
        <v>0</v>
      </c>
      <c r="AL141" s="17" t="str">
        <f t="shared" si="1"/>
        <v>2 dari 31 (6%)</v>
      </c>
    </row>
    <row r="142" ht="22.5" customHeight="1">
      <c r="A142" s="2">
        <v>141.0</v>
      </c>
      <c r="B142" s="11"/>
      <c r="C142" s="20">
        <v>48050.0</v>
      </c>
      <c r="D142" s="12" t="s">
        <v>133</v>
      </c>
      <c r="E142" s="12" t="s">
        <v>98</v>
      </c>
      <c r="F142" s="14" t="s">
        <v>50</v>
      </c>
      <c r="G142" s="6" t="b">
        <v>1</v>
      </c>
      <c r="H142" s="6" t="b">
        <v>0</v>
      </c>
      <c r="I142" s="6" t="b">
        <v>0</v>
      </c>
      <c r="J142" s="6" t="b">
        <v>0</v>
      </c>
      <c r="K142" s="6" t="b">
        <v>0</v>
      </c>
      <c r="L142" s="6" t="b">
        <v>0</v>
      </c>
      <c r="M142" s="6" t="b">
        <v>0</v>
      </c>
      <c r="N142" s="6" t="b">
        <v>0</v>
      </c>
      <c r="O142" s="6" t="b">
        <v>0</v>
      </c>
      <c r="P142" s="6" t="b">
        <v>0</v>
      </c>
      <c r="Q142" s="6" t="b">
        <v>0</v>
      </c>
      <c r="R142" s="6" t="b">
        <v>0</v>
      </c>
      <c r="S142" s="6" t="b">
        <v>0</v>
      </c>
      <c r="T142" s="6" t="b">
        <v>0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0</v>
      </c>
      <c r="AJ142" s="6" t="b">
        <v>0</v>
      </c>
      <c r="AK142" s="6" t="b">
        <v>0</v>
      </c>
      <c r="AL142" s="9" t="str">
        <f t="shared" si="1"/>
        <v>1 dari 31 (3%)</v>
      </c>
    </row>
    <row r="143" ht="22.5" customHeight="1">
      <c r="A143" s="10">
        <v>142.0</v>
      </c>
      <c r="B143" s="11"/>
      <c r="C143" s="20">
        <v>60432.0</v>
      </c>
      <c r="D143" s="12" t="s">
        <v>119</v>
      </c>
      <c r="E143" s="12" t="s">
        <v>51</v>
      </c>
      <c r="F143" s="14" t="s">
        <v>50</v>
      </c>
      <c r="G143" s="6" t="b">
        <v>1</v>
      </c>
      <c r="H143" s="6" t="b">
        <v>0</v>
      </c>
      <c r="I143" s="6" t="b">
        <v>0</v>
      </c>
      <c r="J143" s="6" t="b">
        <v>0</v>
      </c>
      <c r="K143" s="6" t="b">
        <v>0</v>
      </c>
      <c r="L143" s="6" t="b">
        <v>0</v>
      </c>
      <c r="M143" s="6" t="b">
        <v>0</v>
      </c>
      <c r="N143" s="6" t="b">
        <v>0</v>
      </c>
      <c r="O143" s="6" t="b">
        <v>0</v>
      </c>
      <c r="P143" s="6" t="b">
        <v>0</v>
      </c>
      <c r="Q143" s="6" t="b">
        <v>0</v>
      </c>
      <c r="R143" s="6" t="b">
        <v>0</v>
      </c>
      <c r="S143" s="6" t="b">
        <v>0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0</v>
      </c>
      <c r="AJ143" s="6" t="b">
        <v>0</v>
      </c>
      <c r="AK143" s="6" t="b">
        <v>0</v>
      </c>
      <c r="AL143" s="9" t="str">
        <f t="shared" si="1"/>
        <v>1 dari 31 (3%)</v>
      </c>
    </row>
    <row r="144" ht="22.5" customHeight="1">
      <c r="A144" s="10">
        <v>143.0</v>
      </c>
      <c r="B144" s="11"/>
      <c r="C144" s="20">
        <v>56138.0</v>
      </c>
      <c r="D144" s="12" t="s">
        <v>75</v>
      </c>
      <c r="E144" s="12" t="s">
        <v>74</v>
      </c>
      <c r="F144" s="14" t="s">
        <v>50</v>
      </c>
      <c r="G144" s="6" t="b">
        <v>1</v>
      </c>
      <c r="H144" s="6" t="b">
        <v>0</v>
      </c>
      <c r="I144" s="6" t="b">
        <v>0</v>
      </c>
      <c r="J144" s="6" t="b">
        <v>0</v>
      </c>
      <c r="K144" s="6" t="b">
        <v>0</v>
      </c>
      <c r="L144" s="6" t="b">
        <v>0</v>
      </c>
      <c r="M144" s="6" t="b">
        <v>0</v>
      </c>
      <c r="N144" s="6" t="b">
        <v>0</v>
      </c>
      <c r="O144" s="6" t="b">
        <v>0</v>
      </c>
      <c r="P144" s="6" t="b">
        <v>0</v>
      </c>
      <c r="Q144" s="6" t="b">
        <v>0</v>
      </c>
      <c r="R144" s="6" t="b">
        <v>0</v>
      </c>
      <c r="S144" s="6" t="b">
        <v>0</v>
      </c>
      <c r="T144" s="6" t="b">
        <v>0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0</v>
      </c>
      <c r="AJ144" s="6" t="b">
        <v>0</v>
      </c>
      <c r="AK144" s="6" t="b">
        <v>0</v>
      </c>
      <c r="AL144" s="17" t="str">
        <f t="shared" si="1"/>
        <v>1 dari 31 (3%)</v>
      </c>
    </row>
    <row r="145" ht="22.5" customHeight="1">
      <c r="A145" s="2">
        <v>144.0</v>
      </c>
      <c r="B145" s="11"/>
      <c r="C145" s="20">
        <v>51396.0</v>
      </c>
      <c r="D145" s="12" t="s">
        <v>109</v>
      </c>
      <c r="E145" s="12" t="s">
        <v>68</v>
      </c>
      <c r="F145" s="13"/>
      <c r="G145" s="6" t="b">
        <v>1</v>
      </c>
      <c r="H145" s="6" t="b">
        <v>1</v>
      </c>
      <c r="I145" s="6" t="b">
        <v>1</v>
      </c>
      <c r="J145" s="6" t="b">
        <v>1</v>
      </c>
      <c r="K145" s="6" t="b">
        <v>1</v>
      </c>
      <c r="L145" s="6" t="b">
        <v>1</v>
      </c>
      <c r="M145" s="6" t="b">
        <v>1</v>
      </c>
      <c r="N145" s="6" t="b">
        <v>1</v>
      </c>
      <c r="O145" s="6" t="b">
        <v>1</v>
      </c>
      <c r="P145" s="6" t="b">
        <v>1</v>
      </c>
      <c r="Q145" s="6" t="b">
        <v>1</v>
      </c>
      <c r="R145" s="6" t="b">
        <v>1</v>
      </c>
      <c r="S145" s="6" t="b">
        <v>1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1</v>
      </c>
      <c r="AJ145" s="6" t="b">
        <v>0</v>
      </c>
      <c r="AK145" s="6" t="b">
        <v>0</v>
      </c>
      <c r="AL145" s="9" t="str">
        <f t="shared" si="1"/>
        <v>14 dari 31 (45%)</v>
      </c>
    </row>
    <row r="146" ht="22.5" customHeight="1">
      <c r="A146" s="10">
        <v>145.0</v>
      </c>
      <c r="B146" s="11"/>
      <c r="C146" s="20">
        <v>60121.0</v>
      </c>
      <c r="D146" s="12" t="s">
        <v>109</v>
      </c>
      <c r="E146" s="12" t="s">
        <v>68</v>
      </c>
      <c r="F146" s="13"/>
      <c r="G146" s="6" t="b">
        <v>1</v>
      </c>
      <c r="H146" s="6" t="b">
        <v>1</v>
      </c>
      <c r="I146" s="6" t="b">
        <v>1</v>
      </c>
      <c r="J146" s="6" t="b">
        <v>1</v>
      </c>
      <c r="K146" s="6" t="b">
        <v>1</v>
      </c>
      <c r="L146" s="6" t="b">
        <v>1</v>
      </c>
      <c r="M146" s="6" t="b">
        <v>1</v>
      </c>
      <c r="N146" s="6" t="b">
        <v>1</v>
      </c>
      <c r="O146" s="6" t="b">
        <v>1</v>
      </c>
      <c r="P146" s="6" t="b">
        <v>1</v>
      </c>
      <c r="Q146" s="6" t="b">
        <v>1</v>
      </c>
      <c r="R146" s="6" t="b">
        <v>1</v>
      </c>
      <c r="S146" s="6" t="b">
        <v>1</v>
      </c>
      <c r="T146" s="6" t="b">
        <v>1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1</v>
      </c>
      <c r="AJ146" s="6" t="b">
        <v>0</v>
      </c>
      <c r="AK146" s="6" t="b">
        <v>0</v>
      </c>
      <c r="AL146" s="9" t="str">
        <f t="shared" si="1"/>
        <v>15 dari 31 (48%)</v>
      </c>
    </row>
    <row r="147" ht="22.5" customHeight="1">
      <c r="A147" s="10">
        <v>146.0</v>
      </c>
      <c r="B147" s="11"/>
      <c r="C147" s="22">
        <v>61339.0</v>
      </c>
      <c r="D147" s="12" t="s">
        <v>119</v>
      </c>
      <c r="E147" s="12" t="s">
        <v>51</v>
      </c>
      <c r="F147" s="14" t="s">
        <v>50</v>
      </c>
      <c r="G147" s="6" t="b">
        <v>1</v>
      </c>
      <c r="H147" s="6" t="b">
        <v>0</v>
      </c>
      <c r="I147" s="6" t="b">
        <v>0</v>
      </c>
      <c r="J147" s="6" t="b">
        <v>1</v>
      </c>
      <c r="K147" s="6" t="b">
        <v>1</v>
      </c>
      <c r="L147" s="6" t="b">
        <v>1</v>
      </c>
      <c r="M147" s="6" t="b">
        <v>1</v>
      </c>
      <c r="N147" s="6" t="b">
        <v>1</v>
      </c>
      <c r="O147" s="6" t="b">
        <v>1</v>
      </c>
      <c r="P147" s="6" t="b">
        <v>1</v>
      </c>
      <c r="Q147" s="6" t="b">
        <v>1</v>
      </c>
      <c r="R147" s="6" t="b">
        <v>1</v>
      </c>
      <c r="S147" s="6" t="b">
        <v>1</v>
      </c>
      <c r="T147" s="6" t="b">
        <v>0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1</v>
      </c>
      <c r="AJ147" s="6" t="b">
        <v>0</v>
      </c>
      <c r="AK147" s="6" t="b">
        <v>0</v>
      </c>
      <c r="AL147" s="17" t="str">
        <f t="shared" si="1"/>
        <v>12 dari 31 (39%)</v>
      </c>
    </row>
    <row r="148" ht="22.5" customHeight="1">
      <c r="A148" s="2">
        <v>147.0</v>
      </c>
      <c r="B148" s="11"/>
      <c r="C148" s="22">
        <v>61340.0</v>
      </c>
      <c r="D148" s="12" t="s">
        <v>128</v>
      </c>
      <c r="E148" s="12" t="s">
        <v>89</v>
      </c>
      <c r="F148" s="14" t="s">
        <v>50</v>
      </c>
      <c r="G148" s="6" t="b">
        <v>1</v>
      </c>
      <c r="H148" s="6" t="b">
        <v>0</v>
      </c>
      <c r="I148" s="6" t="b">
        <v>0</v>
      </c>
      <c r="J148" s="6" t="b">
        <v>1</v>
      </c>
      <c r="K148" s="6" t="b">
        <v>1</v>
      </c>
      <c r="L148" s="6" t="b">
        <v>1</v>
      </c>
      <c r="M148" s="6" t="b">
        <v>1</v>
      </c>
      <c r="N148" s="6" t="b">
        <v>1</v>
      </c>
      <c r="O148" s="6" t="b">
        <v>1</v>
      </c>
      <c r="P148" s="6" t="b">
        <v>1</v>
      </c>
      <c r="Q148" s="6" t="b">
        <v>1</v>
      </c>
      <c r="R148" s="6" t="b">
        <v>1</v>
      </c>
      <c r="S148" s="6" t="b">
        <v>1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1</v>
      </c>
      <c r="AA148" s="6" t="b">
        <v>1</v>
      </c>
      <c r="AB148" s="6" t="b">
        <v>1</v>
      </c>
      <c r="AC148" s="6" t="b">
        <v>1</v>
      </c>
      <c r="AD148" s="6" t="b">
        <v>1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1</v>
      </c>
      <c r="AJ148" s="6" t="b">
        <v>0</v>
      </c>
      <c r="AK148" s="6" t="b">
        <v>0</v>
      </c>
      <c r="AL148" s="9" t="str">
        <f t="shared" si="1"/>
        <v>17 dari 31 (55%)</v>
      </c>
    </row>
    <row r="149" ht="22.5" customHeight="1">
      <c r="A149" s="10">
        <v>148.0</v>
      </c>
      <c r="B149" s="11"/>
      <c r="C149" s="22">
        <v>61152.0</v>
      </c>
      <c r="D149" s="12" t="s">
        <v>48</v>
      </c>
      <c r="E149" s="12" t="s">
        <v>41</v>
      </c>
      <c r="F149" s="14" t="s">
        <v>50</v>
      </c>
      <c r="G149" s="6" t="b">
        <v>1</v>
      </c>
      <c r="H149" s="6" t="b">
        <v>0</v>
      </c>
      <c r="I149" s="6" t="b">
        <v>0</v>
      </c>
      <c r="J149" s="6" t="b">
        <v>0</v>
      </c>
      <c r="K149" s="6" t="b">
        <v>0</v>
      </c>
      <c r="L149" s="6" t="b">
        <v>0</v>
      </c>
      <c r="M149" s="6" t="b">
        <v>0</v>
      </c>
      <c r="N149" s="6" t="b">
        <v>0</v>
      </c>
      <c r="O149" s="6" t="b">
        <v>0</v>
      </c>
      <c r="P149" s="6" t="b">
        <v>0</v>
      </c>
      <c r="Q149" s="6" t="b">
        <v>0</v>
      </c>
      <c r="R149" s="6" t="b">
        <v>0</v>
      </c>
      <c r="S149" s="6" t="b">
        <v>0</v>
      </c>
      <c r="T149" s="6" t="b">
        <v>0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0</v>
      </c>
      <c r="AJ149" s="6" t="b">
        <v>0</v>
      </c>
      <c r="AK149" s="6" t="b">
        <v>0</v>
      </c>
      <c r="AL149" s="9" t="str">
        <f t="shared" si="1"/>
        <v>1 dari 31 (3%)</v>
      </c>
    </row>
    <row r="150" ht="22.5" customHeight="1">
      <c r="A150" s="10">
        <v>149.0</v>
      </c>
      <c r="B150" s="11"/>
      <c r="C150" s="22">
        <v>52867.0</v>
      </c>
      <c r="D150" s="12" t="s">
        <v>43</v>
      </c>
      <c r="E150" s="12" t="s">
        <v>40</v>
      </c>
      <c r="F150" s="13"/>
      <c r="G150" s="6" t="b">
        <v>1</v>
      </c>
      <c r="H150" s="6" t="b">
        <v>1</v>
      </c>
      <c r="I150" s="6" t="b">
        <v>1</v>
      </c>
      <c r="J150" s="6" t="b">
        <v>1</v>
      </c>
      <c r="K150" s="6" t="b">
        <v>1</v>
      </c>
      <c r="L150" s="6" t="b">
        <v>1</v>
      </c>
      <c r="M150" s="6" t="b">
        <v>1</v>
      </c>
      <c r="N150" s="6" t="b">
        <v>1</v>
      </c>
      <c r="O150" s="6" t="b">
        <v>1</v>
      </c>
      <c r="P150" s="6" t="b">
        <v>1</v>
      </c>
      <c r="Q150" s="6" t="b">
        <v>1</v>
      </c>
      <c r="R150" s="6" t="b">
        <v>1</v>
      </c>
      <c r="S150" s="6" t="b">
        <v>1</v>
      </c>
      <c r="T150" s="6" t="b">
        <v>1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1</v>
      </c>
      <c r="AJ150" s="6" t="b">
        <v>0</v>
      </c>
      <c r="AK150" s="6" t="b">
        <v>0</v>
      </c>
      <c r="AL150" s="17" t="str">
        <f t="shared" si="1"/>
        <v>15 dari 31 (48%)</v>
      </c>
    </row>
    <row r="151" ht="22.5" customHeight="1">
      <c r="A151" s="2">
        <v>150.0</v>
      </c>
      <c r="B151" s="11"/>
      <c r="C151" s="22">
        <v>51483.0</v>
      </c>
      <c r="D151" s="12" t="s">
        <v>112</v>
      </c>
      <c r="E151" s="12" t="s">
        <v>63</v>
      </c>
      <c r="F151" s="13"/>
      <c r="G151" s="6" t="b">
        <v>1</v>
      </c>
      <c r="H151" s="6" t="b">
        <v>1</v>
      </c>
      <c r="I151" s="6" t="b">
        <v>1</v>
      </c>
      <c r="J151" s="6" t="b">
        <v>1</v>
      </c>
      <c r="K151" s="6" t="b">
        <v>1</v>
      </c>
      <c r="L151" s="6" t="b">
        <v>1</v>
      </c>
      <c r="M151" s="6" t="b">
        <v>1</v>
      </c>
      <c r="N151" s="6" t="b">
        <v>1</v>
      </c>
      <c r="O151" s="6" t="b">
        <v>1</v>
      </c>
      <c r="P151" s="6" t="b">
        <v>1</v>
      </c>
      <c r="Q151" s="6" t="b">
        <v>1</v>
      </c>
      <c r="R151" s="6" t="b">
        <v>1</v>
      </c>
      <c r="S151" s="6" t="b">
        <v>1</v>
      </c>
      <c r="T151" s="6" t="b">
        <v>0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0</v>
      </c>
      <c r="AF151" s="6" t="b">
        <v>0</v>
      </c>
      <c r="AG151" s="6" t="b">
        <v>0</v>
      </c>
      <c r="AH151" s="6" t="b">
        <v>0</v>
      </c>
      <c r="AI151" s="6" t="b">
        <v>1</v>
      </c>
      <c r="AJ151" s="6" t="b">
        <v>0</v>
      </c>
      <c r="AK151" s="6" t="b">
        <v>0</v>
      </c>
      <c r="AL151" s="9" t="str">
        <f t="shared" si="1"/>
        <v>14 dari 31 (45%)</v>
      </c>
    </row>
    <row r="152" ht="22.5" customHeight="1">
      <c r="A152" s="10">
        <v>151.0</v>
      </c>
      <c r="B152" s="11"/>
      <c r="C152" s="20">
        <v>61341.0</v>
      </c>
      <c r="D152" s="12" t="s">
        <v>64</v>
      </c>
      <c r="E152" s="12" t="s">
        <v>63</v>
      </c>
      <c r="F152" s="13"/>
      <c r="G152" s="6" t="b">
        <v>1</v>
      </c>
      <c r="H152" s="6" t="b">
        <v>1</v>
      </c>
      <c r="I152" s="6" t="b">
        <v>1</v>
      </c>
      <c r="J152" s="6" t="b">
        <v>1</v>
      </c>
      <c r="K152" s="6" t="b">
        <v>1</v>
      </c>
      <c r="L152" s="6" t="b">
        <v>1</v>
      </c>
      <c r="M152" s="6" t="b">
        <v>1</v>
      </c>
      <c r="N152" s="6" t="b">
        <v>1</v>
      </c>
      <c r="O152" s="6" t="b">
        <v>1</v>
      </c>
      <c r="P152" s="6" t="b">
        <v>1</v>
      </c>
      <c r="Q152" s="6" t="b">
        <v>1</v>
      </c>
      <c r="R152" s="6" t="b">
        <v>1</v>
      </c>
      <c r="S152" s="6" t="b">
        <v>1</v>
      </c>
      <c r="T152" s="6" t="b">
        <v>0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0</v>
      </c>
      <c r="Z152" s="6" t="b">
        <v>0</v>
      </c>
      <c r="AA152" s="6" t="b">
        <v>0</v>
      </c>
      <c r="AB152" s="6" t="b">
        <v>0</v>
      </c>
      <c r="AC152" s="6" t="b">
        <v>0</v>
      </c>
      <c r="AD152" s="6" t="b">
        <v>0</v>
      </c>
      <c r="AE152" s="6" t="b">
        <v>0</v>
      </c>
      <c r="AF152" s="6" t="b">
        <v>0</v>
      </c>
      <c r="AG152" s="6" t="b">
        <v>0</v>
      </c>
      <c r="AH152" s="6" t="b">
        <v>0</v>
      </c>
      <c r="AI152" s="6" t="b">
        <v>1</v>
      </c>
      <c r="AJ152" s="6" t="b">
        <v>0</v>
      </c>
      <c r="AK152" s="6" t="b">
        <v>0</v>
      </c>
      <c r="AL152" s="9" t="str">
        <f t="shared" si="1"/>
        <v>14 dari 31 (45%)</v>
      </c>
    </row>
    <row r="153" ht="22.5" customHeight="1">
      <c r="A153" s="10">
        <v>152.0</v>
      </c>
      <c r="B153" s="11"/>
      <c r="C153" s="20">
        <v>60601.0</v>
      </c>
      <c r="D153" s="12" t="s">
        <v>64</v>
      </c>
      <c r="E153" s="12" t="s">
        <v>63</v>
      </c>
      <c r="F153" s="13"/>
      <c r="G153" s="112" t="b">
        <v>1</v>
      </c>
      <c r="H153" s="112" t="b">
        <v>1</v>
      </c>
      <c r="I153" s="112" t="b">
        <v>1</v>
      </c>
      <c r="J153" s="112" t="b">
        <v>1</v>
      </c>
      <c r="K153" s="112" t="b">
        <v>1</v>
      </c>
      <c r="L153" s="112" t="b">
        <v>1</v>
      </c>
      <c r="M153" s="112" t="b">
        <v>1</v>
      </c>
      <c r="N153" s="112" t="b">
        <v>1</v>
      </c>
      <c r="O153" s="112" t="b">
        <v>1</v>
      </c>
      <c r="P153" s="112" t="b">
        <v>1</v>
      </c>
      <c r="Q153" s="112" t="b">
        <v>1</v>
      </c>
      <c r="R153" s="112" t="b">
        <v>0</v>
      </c>
      <c r="S153" s="112" t="b">
        <v>1</v>
      </c>
      <c r="T153" s="112" t="b">
        <v>0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0</v>
      </c>
      <c r="AA153" s="112" t="b">
        <v>0</v>
      </c>
      <c r="AB153" s="112" t="b">
        <v>0</v>
      </c>
      <c r="AC153" s="112" t="b">
        <v>0</v>
      </c>
      <c r="AD153" s="112" t="b">
        <v>0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1</v>
      </c>
      <c r="AJ153" s="112" t="b">
        <v>0</v>
      </c>
      <c r="AK153" s="112" t="b">
        <v>0</v>
      </c>
      <c r="AL153" s="113" t="str">
        <f t="shared" si="1"/>
        <v>13 dari 31 (42%)</v>
      </c>
    </row>
    <row r="154" ht="22.5" customHeight="1">
      <c r="A154" s="2">
        <v>153.0</v>
      </c>
      <c r="B154" s="11"/>
      <c r="C154" s="20">
        <v>57198.0</v>
      </c>
      <c r="D154" s="12" t="s">
        <v>112</v>
      </c>
      <c r="E154" s="12" t="s">
        <v>63</v>
      </c>
      <c r="F154" s="135"/>
      <c r="G154" s="114" t="b">
        <v>1</v>
      </c>
      <c r="H154" s="114" t="b">
        <v>1</v>
      </c>
      <c r="I154" s="114" t="b">
        <v>1</v>
      </c>
      <c r="J154" s="114" t="b">
        <v>1</v>
      </c>
      <c r="K154" s="114" t="b">
        <v>1</v>
      </c>
      <c r="L154" s="114" t="b">
        <v>1</v>
      </c>
      <c r="M154" s="114" t="b">
        <v>1</v>
      </c>
      <c r="N154" s="114" t="b">
        <v>1</v>
      </c>
      <c r="O154" s="114" t="b">
        <v>1</v>
      </c>
      <c r="P154" s="114" t="b">
        <v>1</v>
      </c>
      <c r="Q154" s="114" t="b">
        <v>1</v>
      </c>
      <c r="R154" s="114" t="b">
        <v>1</v>
      </c>
      <c r="S154" s="114" t="b">
        <v>1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1</v>
      </c>
      <c r="AJ154" s="114" t="b">
        <v>0</v>
      </c>
      <c r="AK154" s="114" t="b">
        <v>0</v>
      </c>
      <c r="AL154" s="115" t="str">
        <f t="shared" si="1"/>
        <v>14 dari 31 (45%)</v>
      </c>
    </row>
    <row r="155" ht="22.5" customHeight="1">
      <c r="A155" s="10">
        <v>154.0</v>
      </c>
      <c r="B155" s="11"/>
      <c r="C155" s="20">
        <v>45037.0</v>
      </c>
      <c r="D155" s="12" t="s">
        <v>131</v>
      </c>
      <c r="E155" s="12" t="s">
        <v>98</v>
      </c>
      <c r="F155" s="15" t="s">
        <v>50</v>
      </c>
      <c r="G155" s="114" t="b">
        <v>1</v>
      </c>
      <c r="H155" s="114" t="b">
        <v>0</v>
      </c>
      <c r="I155" s="114" t="b">
        <v>0</v>
      </c>
      <c r="J155" s="114" t="b">
        <v>0</v>
      </c>
      <c r="K155" s="114" t="b">
        <v>0</v>
      </c>
      <c r="L155" s="114" t="b">
        <v>0</v>
      </c>
      <c r="M155" s="114" t="b">
        <v>0</v>
      </c>
      <c r="N155" s="114" t="b">
        <v>0</v>
      </c>
      <c r="O155" s="114" t="b">
        <v>0</v>
      </c>
      <c r="P155" s="114" t="b">
        <v>0</v>
      </c>
      <c r="Q155" s="114" t="b">
        <v>0</v>
      </c>
      <c r="R155" s="114" t="b">
        <v>0</v>
      </c>
      <c r="S155" s="114" t="b">
        <v>0</v>
      </c>
      <c r="T155" s="114" t="b">
        <v>0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5" t="str">
        <f t="shared" si="1"/>
        <v>1 dari 31 (3%)</v>
      </c>
    </row>
    <row r="156" ht="22.5" customHeight="1">
      <c r="A156" s="10">
        <v>155.0</v>
      </c>
      <c r="B156" s="11"/>
      <c r="C156" s="20">
        <v>55737.0</v>
      </c>
      <c r="D156" s="12" t="s">
        <v>131</v>
      </c>
      <c r="E156" s="12" t="s">
        <v>98</v>
      </c>
      <c r="F156" s="15" t="s">
        <v>50</v>
      </c>
      <c r="G156" s="114" t="b">
        <v>1</v>
      </c>
      <c r="H156" s="114" t="b">
        <v>0</v>
      </c>
      <c r="I156" s="114" t="b">
        <v>0</v>
      </c>
      <c r="J156" s="114" t="b">
        <v>0</v>
      </c>
      <c r="K156" s="114" t="b">
        <v>0</v>
      </c>
      <c r="L156" s="114" t="b">
        <v>0</v>
      </c>
      <c r="M156" s="114" t="b">
        <v>0</v>
      </c>
      <c r="N156" s="114" t="b">
        <v>0</v>
      </c>
      <c r="O156" s="114" t="b">
        <v>0</v>
      </c>
      <c r="P156" s="114" t="b">
        <v>0</v>
      </c>
      <c r="Q156" s="114" t="b">
        <v>0</v>
      </c>
      <c r="R156" s="114" t="b">
        <v>0</v>
      </c>
      <c r="S156" s="114" t="b">
        <v>0</v>
      </c>
      <c r="T156" s="114" t="b">
        <v>0</v>
      </c>
      <c r="U156" s="114" t="b">
        <v>0</v>
      </c>
      <c r="V156" s="114" t="b">
        <v>0</v>
      </c>
      <c r="W156" s="114" t="b">
        <v>0</v>
      </c>
      <c r="X156" s="114" t="b">
        <v>0</v>
      </c>
      <c r="Y156" s="114" t="b">
        <v>0</v>
      </c>
      <c r="Z156" s="114" t="b">
        <v>1</v>
      </c>
      <c r="AA156" s="114" t="b">
        <v>1</v>
      </c>
      <c r="AB156" s="114" t="b">
        <v>0</v>
      </c>
      <c r="AC156" s="114" t="b">
        <v>0</v>
      </c>
      <c r="AD156" s="114" t="b">
        <v>1</v>
      </c>
      <c r="AE156" s="114" t="b">
        <v>0</v>
      </c>
      <c r="AF156" s="114" t="b">
        <v>0</v>
      </c>
      <c r="AG156" s="114" t="b">
        <v>0</v>
      </c>
      <c r="AH156" s="114" t="b">
        <v>0</v>
      </c>
      <c r="AI156" s="114" t="b">
        <v>0</v>
      </c>
      <c r="AJ156" s="114" t="b">
        <v>0</v>
      </c>
      <c r="AK156" s="114" t="b">
        <v>0</v>
      </c>
      <c r="AL156" s="115" t="str">
        <f t="shared" si="1"/>
        <v>4 dari 31 (13%)</v>
      </c>
    </row>
    <row r="157" ht="22.5" customHeight="1">
      <c r="A157" s="92">
        <v>156.0</v>
      </c>
      <c r="B157" s="83"/>
      <c r="C157" s="84">
        <v>61338.0</v>
      </c>
      <c r="D157" s="85" t="s">
        <v>91</v>
      </c>
      <c r="E157" s="85" t="s">
        <v>141</v>
      </c>
      <c r="F157" s="86" t="s">
        <v>67</v>
      </c>
      <c r="G157" s="116" t="b">
        <v>0</v>
      </c>
      <c r="H157" s="116" t="b">
        <v>0</v>
      </c>
      <c r="I157" s="116" t="b">
        <v>0</v>
      </c>
      <c r="J157" s="116" t="b">
        <v>0</v>
      </c>
      <c r="K157" s="116" t="b">
        <v>0</v>
      </c>
      <c r="L157" s="116" t="b">
        <v>0</v>
      </c>
      <c r="M157" s="116" t="b">
        <v>0</v>
      </c>
      <c r="N157" s="116" t="b">
        <v>0</v>
      </c>
      <c r="O157" s="116" t="b">
        <v>0</v>
      </c>
      <c r="P157" s="116" t="b">
        <v>0</v>
      </c>
      <c r="Q157" s="116" t="b">
        <v>0</v>
      </c>
      <c r="R157" s="116" t="b">
        <v>0</v>
      </c>
      <c r="S157" s="116" t="b">
        <v>0</v>
      </c>
      <c r="T157" s="116" t="b">
        <v>0</v>
      </c>
      <c r="U157" s="116" t="b">
        <v>0</v>
      </c>
      <c r="V157" s="116" t="b">
        <v>0</v>
      </c>
      <c r="W157" s="116" t="b">
        <v>0</v>
      </c>
      <c r="X157" s="116" t="b">
        <v>0</v>
      </c>
      <c r="Y157" s="116" t="b">
        <v>0</v>
      </c>
      <c r="Z157" s="116" t="b">
        <v>0</v>
      </c>
      <c r="AA157" s="116" t="b">
        <v>0</v>
      </c>
      <c r="AB157" s="116" t="b">
        <v>0</v>
      </c>
      <c r="AC157" s="116" t="b">
        <v>0</v>
      </c>
      <c r="AD157" s="116" t="b">
        <v>0</v>
      </c>
      <c r="AE157" s="116" t="b">
        <v>0</v>
      </c>
      <c r="AF157" s="116" t="b">
        <v>0</v>
      </c>
      <c r="AG157" s="116" t="b">
        <v>0</v>
      </c>
      <c r="AH157" s="116" t="b">
        <v>0</v>
      </c>
      <c r="AI157" s="116" t="b">
        <v>0</v>
      </c>
      <c r="AJ157" s="116" t="b">
        <v>0</v>
      </c>
      <c r="AK157" s="116" t="b">
        <v>0</v>
      </c>
      <c r="AL157" s="117" t="str">
        <f t="shared" si="1"/>
        <v>0 dari 31 (0%)</v>
      </c>
    </row>
    <row r="158" ht="22.5" customHeight="1">
      <c r="A158" s="10">
        <v>157.0</v>
      </c>
      <c r="B158" s="11"/>
      <c r="C158" s="22">
        <v>41420.0</v>
      </c>
      <c r="D158" s="12" t="s">
        <v>95</v>
      </c>
      <c r="E158" s="12" t="s">
        <v>89</v>
      </c>
      <c r="F158" s="15" t="s">
        <v>50</v>
      </c>
      <c r="G158" s="114" t="b">
        <v>1</v>
      </c>
      <c r="H158" s="114" t="b">
        <v>0</v>
      </c>
      <c r="I158" s="114" t="b">
        <v>0</v>
      </c>
      <c r="J158" s="114" t="b">
        <v>0</v>
      </c>
      <c r="K158" s="114" t="b">
        <v>0</v>
      </c>
      <c r="L158" s="114" t="b">
        <v>0</v>
      </c>
      <c r="M158" s="114" t="b">
        <v>0</v>
      </c>
      <c r="N158" s="114" t="b">
        <v>0</v>
      </c>
      <c r="O158" s="114" t="b">
        <v>0</v>
      </c>
      <c r="P158" s="114" t="b">
        <v>0</v>
      </c>
      <c r="Q158" s="114" t="b">
        <v>0</v>
      </c>
      <c r="R158" s="114" t="b">
        <v>0</v>
      </c>
      <c r="S158" s="114" t="b">
        <v>0</v>
      </c>
      <c r="T158" s="114" t="b">
        <v>0</v>
      </c>
      <c r="U158" s="114" t="b">
        <v>0</v>
      </c>
      <c r="V158" s="114" t="b">
        <v>0</v>
      </c>
      <c r="W158" s="114" t="b">
        <v>0</v>
      </c>
      <c r="X158" s="114" t="b">
        <v>0</v>
      </c>
      <c r="Y158" s="114" t="b">
        <v>0</v>
      </c>
      <c r="Z158" s="114" t="b">
        <v>0</v>
      </c>
      <c r="AA158" s="114" t="b">
        <v>0</v>
      </c>
      <c r="AB158" s="114" t="b">
        <v>0</v>
      </c>
      <c r="AC158" s="114" t="b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 t="b">
        <v>0</v>
      </c>
      <c r="AI158" s="114" t="b">
        <v>0</v>
      </c>
      <c r="AJ158" s="114" t="b">
        <v>0</v>
      </c>
      <c r="AK158" s="114" t="b">
        <v>0</v>
      </c>
      <c r="AL158" s="115" t="str">
        <f t="shared" si="1"/>
        <v>1 dari 31 (3%)</v>
      </c>
    </row>
    <row r="159" ht="22.5" customHeight="1">
      <c r="A159" s="10">
        <v>158.0</v>
      </c>
      <c r="B159" s="11"/>
      <c r="C159" s="22">
        <v>61186.0</v>
      </c>
      <c r="D159" s="12" t="s">
        <v>131</v>
      </c>
      <c r="E159" s="12" t="s">
        <v>98</v>
      </c>
      <c r="F159" s="15" t="s">
        <v>50</v>
      </c>
      <c r="G159" s="114" t="b">
        <v>1</v>
      </c>
      <c r="H159" s="114" t="b">
        <v>0</v>
      </c>
      <c r="I159" s="114" t="b">
        <v>0</v>
      </c>
      <c r="J159" s="114" t="b">
        <v>0</v>
      </c>
      <c r="K159" s="114" t="b">
        <v>0</v>
      </c>
      <c r="L159" s="114" t="b">
        <v>0</v>
      </c>
      <c r="M159" s="114" t="b">
        <v>0</v>
      </c>
      <c r="N159" s="114" t="b">
        <v>0</v>
      </c>
      <c r="O159" s="114" t="b">
        <v>0</v>
      </c>
      <c r="P159" s="114" t="b">
        <v>0</v>
      </c>
      <c r="Q159" s="114" t="b">
        <v>0</v>
      </c>
      <c r="R159" s="114" t="b">
        <v>0</v>
      </c>
      <c r="S159" s="114" t="b">
        <v>0</v>
      </c>
      <c r="T159" s="114" t="b">
        <v>0</v>
      </c>
      <c r="U159" s="114" t="b">
        <v>0</v>
      </c>
      <c r="V159" s="114" t="b">
        <v>0</v>
      </c>
      <c r="W159" s="114" t="b">
        <v>0</v>
      </c>
      <c r="X159" s="114" t="b">
        <v>0</v>
      </c>
      <c r="Y159" s="114" t="b">
        <v>0</v>
      </c>
      <c r="Z159" s="114" t="b">
        <v>0</v>
      </c>
      <c r="AA159" s="114" t="b">
        <v>0</v>
      </c>
      <c r="AB159" s="114" t="b">
        <v>0</v>
      </c>
      <c r="AC159" s="114" t="b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 t="b">
        <v>0</v>
      </c>
      <c r="AI159" s="114" t="b">
        <v>0</v>
      </c>
      <c r="AJ159" s="114" t="b">
        <v>0</v>
      </c>
      <c r="AK159" s="114" t="b">
        <v>0</v>
      </c>
      <c r="AL159" s="115" t="str">
        <f t="shared" si="1"/>
        <v>1 dari 31 (3%)</v>
      </c>
    </row>
    <row r="160" ht="22.5" customHeight="1">
      <c r="A160" s="2">
        <v>159.0</v>
      </c>
      <c r="B160" s="11"/>
      <c r="C160" s="22">
        <v>61342.0</v>
      </c>
      <c r="D160" s="12" t="s">
        <v>112</v>
      </c>
      <c r="E160" s="12" t="s">
        <v>63</v>
      </c>
      <c r="F160" s="15" t="s">
        <v>50</v>
      </c>
      <c r="G160" s="114" t="b">
        <v>1</v>
      </c>
      <c r="H160" s="114" t="b">
        <v>0</v>
      </c>
      <c r="I160" s="114" t="b">
        <v>0</v>
      </c>
      <c r="J160" s="114" t="b">
        <v>1</v>
      </c>
      <c r="K160" s="114" t="b">
        <v>1</v>
      </c>
      <c r="L160" s="114" t="b">
        <v>1</v>
      </c>
      <c r="M160" s="114" t="b">
        <v>1</v>
      </c>
      <c r="N160" s="114" t="b">
        <v>1</v>
      </c>
      <c r="O160" s="114" t="b">
        <v>1</v>
      </c>
      <c r="P160" s="114" t="b">
        <v>1</v>
      </c>
      <c r="Q160" s="114" t="b">
        <v>1</v>
      </c>
      <c r="R160" s="114" t="b">
        <v>1</v>
      </c>
      <c r="S160" s="114" t="b">
        <v>1</v>
      </c>
      <c r="T160" s="114" t="b">
        <v>0</v>
      </c>
      <c r="U160" s="114" t="b">
        <v>0</v>
      </c>
      <c r="V160" s="114" t="b">
        <v>0</v>
      </c>
      <c r="W160" s="114" t="b">
        <v>0</v>
      </c>
      <c r="X160" s="114" t="b">
        <v>0</v>
      </c>
      <c r="Y160" s="114" t="b">
        <v>0</v>
      </c>
      <c r="Z160" s="114" t="b">
        <v>0</v>
      </c>
      <c r="AA160" s="114" t="b">
        <v>0</v>
      </c>
      <c r="AB160" s="114" t="b">
        <v>0</v>
      </c>
      <c r="AC160" s="114" t="b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 t="b">
        <v>0</v>
      </c>
      <c r="AI160" s="114" t="b">
        <v>1</v>
      </c>
      <c r="AJ160" s="114" t="b">
        <v>0</v>
      </c>
      <c r="AK160" s="114" t="b">
        <v>0</v>
      </c>
      <c r="AL160" s="115" t="str">
        <f t="shared" si="1"/>
        <v>12 dari 31 (39%)</v>
      </c>
    </row>
    <row r="161" ht="22.5" customHeight="1">
      <c r="A161" s="10">
        <v>160.0</v>
      </c>
      <c r="B161" s="11"/>
      <c r="C161" s="22">
        <v>60172.0</v>
      </c>
      <c r="D161" s="12" t="s">
        <v>155</v>
      </c>
      <c r="E161" s="12" t="s">
        <v>68</v>
      </c>
      <c r="F161" s="13"/>
      <c r="G161" s="114" t="b">
        <v>1</v>
      </c>
      <c r="H161" s="114" t="b">
        <v>1</v>
      </c>
      <c r="I161" s="114" t="b">
        <v>1</v>
      </c>
      <c r="J161" s="114" t="b">
        <v>1</v>
      </c>
      <c r="K161" s="114" t="b">
        <v>1</v>
      </c>
      <c r="L161" s="114" t="b">
        <v>1</v>
      </c>
      <c r="M161" s="114" t="b">
        <v>1</v>
      </c>
      <c r="N161" s="114" t="b">
        <v>1</v>
      </c>
      <c r="O161" s="114" t="b">
        <v>1</v>
      </c>
      <c r="P161" s="114" t="b">
        <v>1</v>
      </c>
      <c r="Q161" s="114" t="b">
        <v>1</v>
      </c>
      <c r="R161" s="114" t="b">
        <v>1</v>
      </c>
      <c r="S161" s="114" t="b">
        <v>1</v>
      </c>
      <c r="T161" s="114" t="b">
        <v>0</v>
      </c>
      <c r="U161" s="114" t="b">
        <v>0</v>
      </c>
      <c r="V161" s="114" t="b">
        <v>0</v>
      </c>
      <c r="W161" s="114" t="b">
        <v>0</v>
      </c>
      <c r="X161" s="114" t="b">
        <v>0</v>
      </c>
      <c r="Y161" s="114" t="b">
        <v>0</v>
      </c>
      <c r="Z161" s="114" t="b">
        <v>0</v>
      </c>
      <c r="AA161" s="114" t="b">
        <v>0</v>
      </c>
      <c r="AB161" s="114" t="b">
        <v>0</v>
      </c>
      <c r="AC161" s="114" t="b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 t="b">
        <v>0</v>
      </c>
      <c r="AI161" s="114" t="b">
        <v>1</v>
      </c>
      <c r="AJ161" s="114" t="b">
        <v>0</v>
      </c>
      <c r="AK161" s="114" t="b">
        <v>0</v>
      </c>
      <c r="AL161" s="115" t="str">
        <f t="shared" si="1"/>
        <v>14 dari 31 (45%)</v>
      </c>
    </row>
    <row r="162" ht="22.5" customHeight="1">
      <c r="A162" s="10">
        <v>161.0</v>
      </c>
      <c r="B162" s="11"/>
      <c r="C162" s="20">
        <v>61343.0</v>
      </c>
      <c r="D162" s="12" t="s">
        <v>175</v>
      </c>
      <c r="E162" s="12" t="s">
        <v>63</v>
      </c>
      <c r="F162" s="13"/>
      <c r="G162" s="114" t="b">
        <v>1</v>
      </c>
      <c r="H162" s="114" t="b">
        <v>1</v>
      </c>
      <c r="I162" s="114" t="b">
        <v>1</v>
      </c>
      <c r="J162" s="114" t="b">
        <v>1</v>
      </c>
      <c r="K162" s="114" t="b">
        <v>1</v>
      </c>
      <c r="L162" s="114" t="b">
        <v>1</v>
      </c>
      <c r="M162" s="114" t="b">
        <v>1</v>
      </c>
      <c r="N162" s="114" t="b">
        <v>1</v>
      </c>
      <c r="O162" s="114" t="b">
        <v>1</v>
      </c>
      <c r="P162" s="114" t="b">
        <v>1</v>
      </c>
      <c r="Q162" s="114" t="b">
        <v>1</v>
      </c>
      <c r="R162" s="114" t="b">
        <v>1</v>
      </c>
      <c r="S162" s="114" t="b">
        <v>1</v>
      </c>
      <c r="T162" s="114" t="b">
        <v>0</v>
      </c>
      <c r="U162" s="114" t="b">
        <v>0</v>
      </c>
      <c r="V162" s="114" t="b">
        <v>0</v>
      </c>
      <c r="W162" s="114" t="b">
        <v>0</v>
      </c>
      <c r="X162" s="114" t="b">
        <v>0</v>
      </c>
      <c r="Y162" s="114" t="b">
        <v>0</v>
      </c>
      <c r="Z162" s="114" t="b">
        <v>0</v>
      </c>
      <c r="AA162" s="114" t="b">
        <v>0</v>
      </c>
      <c r="AB162" s="114" t="b">
        <v>0</v>
      </c>
      <c r="AC162" s="114" t="b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 t="b">
        <v>0</v>
      </c>
      <c r="AI162" s="114" t="b">
        <v>1</v>
      </c>
      <c r="AJ162" s="114" t="b">
        <v>0</v>
      </c>
      <c r="AK162" s="114" t="b">
        <v>0</v>
      </c>
      <c r="AL162" s="115" t="str">
        <f t="shared" si="1"/>
        <v>14 dari 31 (45%)</v>
      </c>
    </row>
    <row r="163" ht="22.5" customHeight="1">
      <c r="A163" s="2">
        <v>162.0</v>
      </c>
      <c r="B163" s="11"/>
      <c r="C163" s="20">
        <v>56386.0</v>
      </c>
      <c r="D163" s="12" t="s">
        <v>116</v>
      </c>
      <c r="E163" s="12" t="s">
        <v>40</v>
      </c>
      <c r="F163" s="15" t="s">
        <v>50</v>
      </c>
      <c r="G163" s="114" t="b">
        <v>1</v>
      </c>
      <c r="H163" s="114" t="b">
        <v>0</v>
      </c>
      <c r="I163" s="114" t="b">
        <v>0</v>
      </c>
      <c r="J163" s="114" t="b">
        <v>0</v>
      </c>
      <c r="K163" s="114" t="b">
        <v>0</v>
      </c>
      <c r="L163" s="114" t="b">
        <v>0</v>
      </c>
      <c r="M163" s="114" t="b">
        <v>0</v>
      </c>
      <c r="N163" s="114" t="b">
        <v>0</v>
      </c>
      <c r="O163" s="114" t="b">
        <v>0</v>
      </c>
      <c r="P163" s="114" t="b">
        <v>0</v>
      </c>
      <c r="Q163" s="114" t="b">
        <v>0</v>
      </c>
      <c r="R163" s="114" t="b">
        <v>0</v>
      </c>
      <c r="S163" s="114" t="b">
        <v>0</v>
      </c>
      <c r="T163" s="114" t="b">
        <v>0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0</v>
      </c>
      <c r="AJ163" s="114" t="b">
        <v>0</v>
      </c>
      <c r="AK163" s="114" t="b">
        <v>0</v>
      </c>
      <c r="AL163" s="115" t="str">
        <f t="shared" si="1"/>
        <v>1 dari 31 (3%)</v>
      </c>
    </row>
    <row r="164" ht="22.5" customHeight="1">
      <c r="A164" s="10">
        <v>163.0</v>
      </c>
      <c r="B164" s="11"/>
      <c r="C164" s="20">
        <v>52867.0</v>
      </c>
      <c r="D164" s="12" t="s">
        <v>43</v>
      </c>
      <c r="E164" s="12" t="s">
        <v>40</v>
      </c>
      <c r="F164" s="15" t="s">
        <v>50</v>
      </c>
      <c r="G164" s="114" t="b">
        <v>1</v>
      </c>
      <c r="H164" s="114" t="b">
        <v>0</v>
      </c>
      <c r="I164" s="114" t="b">
        <v>0</v>
      </c>
      <c r="J164" s="114" t="b">
        <v>0</v>
      </c>
      <c r="K164" s="114" t="b">
        <v>0</v>
      </c>
      <c r="L164" s="114" t="b">
        <v>0</v>
      </c>
      <c r="M164" s="114" t="b">
        <v>0</v>
      </c>
      <c r="N164" s="114" t="b">
        <v>0</v>
      </c>
      <c r="O164" s="114" t="b">
        <v>0</v>
      </c>
      <c r="P164" s="114" t="b">
        <v>0</v>
      </c>
      <c r="Q164" s="114" t="b">
        <v>0</v>
      </c>
      <c r="R164" s="114" t="b">
        <v>0</v>
      </c>
      <c r="S164" s="114" t="b">
        <v>0</v>
      </c>
      <c r="T164" s="114" t="b">
        <v>0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0</v>
      </c>
      <c r="AJ164" s="114" t="b">
        <v>0</v>
      </c>
      <c r="AK164" s="114" t="b">
        <v>0</v>
      </c>
      <c r="AL164" s="115" t="str">
        <f t="shared" si="1"/>
        <v>1 dari 31 (3%)</v>
      </c>
    </row>
    <row r="165" ht="22.5" customHeight="1">
      <c r="A165" s="10">
        <v>164.0</v>
      </c>
      <c r="B165" s="11"/>
      <c r="C165" s="20">
        <v>33926.0</v>
      </c>
      <c r="D165" s="12" t="s">
        <v>87</v>
      </c>
      <c r="E165" s="12" t="s">
        <v>63</v>
      </c>
      <c r="F165" s="13"/>
      <c r="G165" s="114" t="b">
        <v>1</v>
      </c>
      <c r="H165" s="114" t="b">
        <v>1</v>
      </c>
      <c r="I165" s="114" t="b">
        <v>1</v>
      </c>
      <c r="J165" s="114" t="b">
        <v>1</v>
      </c>
      <c r="K165" s="114" t="b">
        <v>1</v>
      </c>
      <c r="L165" s="114" t="b">
        <v>1</v>
      </c>
      <c r="M165" s="114" t="b">
        <v>1</v>
      </c>
      <c r="N165" s="114" t="b">
        <v>1</v>
      </c>
      <c r="O165" s="114" t="b">
        <v>1</v>
      </c>
      <c r="P165" s="114" t="b">
        <v>1</v>
      </c>
      <c r="Q165" s="114" t="b">
        <v>1</v>
      </c>
      <c r="R165" s="114" t="b">
        <v>1</v>
      </c>
      <c r="S165" s="114" t="b">
        <v>1</v>
      </c>
      <c r="T165" s="114" t="b">
        <v>0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0</v>
      </c>
      <c r="AA165" s="114" t="b">
        <v>0</v>
      </c>
      <c r="AB165" s="114" t="b">
        <v>0</v>
      </c>
      <c r="AC165" s="114" t="b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1</v>
      </c>
      <c r="AJ165" s="114" t="b">
        <v>0</v>
      </c>
      <c r="AK165" s="114" t="b">
        <v>0</v>
      </c>
      <c r="AL165" s="115" t="str">
        <f t="shared" si="1"/>
        <v>14 dari 31 (45%)</v>
      </c>
    </row>
    <row r="166" ht="22.5" customHeight="1">
      <c r="A166" s="2">
        <v>165.0</v>
      </c>
      <c r="B166" s="11"/>
      <c r="C166" s="20">
        <v>61279.0</v>
      </c>
      <c r="D166" s="12" t="s">
        <v>113</v>
      </c>
      <c r="E166" s="12" t="s">
        <v>93</v>
      </c>
      <c r="F166" s="13"/>
      <c r="G166" s="114" t="b">
        <v>1</v>
      </c>
      <c r="H166" s="114" t="b">
        <v>1</v>
      </c>
      <c r="I166" s="114" t="b">
        <v>1</v>
      </c>
      <c r="J166" s="114" t="b">
        <v>0</v>
      </c>
      <c r="K166" s="114" t="b">
        <v>1</v>
      </c>
      <c r="L166" s="114" t="b">
        <v>1</v>
      </c>
      <c r="M166" s="114" t="b">
        <v>1</v>
      </c>
      <c r="N166" s="114" t="b">
        <v>1</v>
      </c>
      <c r="O166" s="114" t="b">
        <v>1</v>
      </c>
      <c r="P166" s="114" t="b">
        <v>1</v>
      </c>
      <c r="Q166" s="114" t="b">
        <v>1</v>
      </c>
      <c r="R166" s="114" t="b">
        <v>1</v>
      </c>
      <c r="S166" s="114" t="b">
        <v>1</v>
      </c>
      <c r="T166" s="114" t="b">
        <v>0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1</v>
      </c>
      <c r="AJ166" s="114" t="b">
        <v>0</v>
      </c>
      <c r="AK166" s="114" t="b">
        <v>0</v>
      </c>
      <c r="AL166" s="115" t="str">
        <f t="shared" si="1"/>
        <v>13 dari 31 (42%)</v>
      </c>
    </row>
    <row r="167" ht="22.5" customHeight="1">
      <c r="A167" s="10">
        <v>166.0</v>
      </c>
      <c r="B167" s="11"/>
      <c r="C167" s="22">
        <v>47893.0</v>
      </c>
      <c r="D167" s="12" t="s">
        <v>162</v>
      </c>
      <c r="E167" s="12" t="s">
        <v>93</v>
      </c>
      <c r="F167" s="13"/>
      <c r="G167" s="114" t="b">
        <v>1</v>
      </c>
      <c r="H167" s="114" t="b">
        <v>1</v>
      </c>
      <c r="I167" s="114" t="b">
        <v>0</v>
      </c>
      <c r="J167" s="114" t="b">
        <v>1</v>
      </c>
      <c r="K167" s="114" t="b">
        <v>1</v>
      </c>
      <c r="L167" s="114" t="b">
        <v>1</v>
      </c>
      <c r="M167" s="114" t="b">
        <v>1</v>
      </c>
      <c r="N167" s="114" t="b">
        <v>1</v>
      </c>
      <c r="O167" s="114" t="b">
        <v>1</v>
      </c>
      <c r="P167" s="114" t="b">
        <v>1</v>
      </c>
      <c r="Q167" s="114" t="b">
        <v>1</v>
      </c>
      <c r="R167" s="114" t="b">
        <v>1</v>
      </c>
      <c r="S167" s="114" t="b">
        <v>1</v>
      </c>
      <c r="T167" s="114" t="b">
        <v>1</v>
      </c>
      <c r="U167" s="114" t="b">
        <v>0</v>
      </c>
      <c r="V167" s="114" t="b">
        <v>0</v>
      </c>
      <c r="W167" s="114" t="b">
        <v>0</v>
      </c>
      <c r="X167" s="114" t="b">
        <v>0</v>
      </c>
      <c r="Y167" s="114" t="b">
        <v>0</v>
      </c>
      <c r="Z167" s="114" t="b">
        <v>0</v>
      </c>
      <c r="AA167" s="114" t="b">
        <v>0</v>
      </c>
      <c r="AB167" s="114" t="b">
        <v>0</v>
      </c>
      <c r="AC167" s="114" t="b">
        <v>0</v>
      </c>
      <c r="AD167" s="114" t="b">
        <v>0</v>
      </c>
      <c r="AE167" s="114" t="b">
        <v>0</v>
      </c>
      <c r="AF167" s="114" t="b">
        <v>0</v>
      </c>
      <c r="AG167" s="114" t="b">
        <v>0</v>
      </c>
      <c r="AH167" s="114" t="b">
        <v>0</v>
      </c>
      <c r="AI167" s="114" t="b">
        <v>1</v>
      </c>
      <c r="AJ167" s="114" t="b">
        <v>0</v>
      </c>
      <c r="AK167" s="114" t="b">
        <v>0</v>
      </c>
      <c r="AL167" s="115" t="str">
        <f t="shared" si="1"/>
        <v>14 dari 31 (45%)</v>
      </c>
    </row>
    <row r="168" ht="22.5" customHeight="1">
      <c r="A168" s="10">
        <v>167.0</v>
      </c>
      <c r="B168" s="11"/>
      <c r="C168" s="22">
        <v>58881.0</v>
      </c>
      <c r="D168" s="12" t="s">
        <v>95</v>
      </c>
      <c r="E168" s="12" t="s">
        <v>89</v>
      </c>
      <c r="F168" s="15" t="s">
        <v>50</v>
      </c>
      <c r="G168" s="114" t="b">
        <v>1</v>
      </c>
      <c r="H168" s="114" t="b">
        <v>0</v>
      </c>
      <c r="I168" s="114" t="b">
        <v>0</v>
      </c>
      <c r="J168" s="114" t="b">
        <v>0</v>
      </c>
      <c r="K168" s="114" t="b">
        <v>0</v>
      </c>
      <c r="L168" s="114" t="b">
        <v>0</v>
      </c>
      <c r="M168" s="114" t="b">
        <v>0</v>
      </c>
      <c r="N168" s="114" t="b">
        <v>0</v>
      </c>
      <c r="O168" s="114" t="b">
        <v>0</v>
      </c>
      <c r="P168" s="114" t="b">
        <v>0</v>
      </c>
      <c r="Q168" s="114" t="b">
        <v>0</v>
      </c>
      <c r="R168" s="114" t="b">
        <v>0</v>
      </c>
      <c r="S168" s="114" t="b">
        <v>0</v>
      </c>
      <c r="T168" s="114" t="b">
        <v>0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0</v>
      </c>
      <c r="AJ168" s="114" t="b">
        <v>0</v>
      </c>
      <c r="AK168" s="114" t="b">
        <v>0</v>
      </c>
      <c r="AL168" s="115" t="str">
        <f t="shared" si="1"/>
        <v>1 dari 31 (3%)</v>
      </c>
    </row>
    <row r="169" ht="22.5" customHeight="1">
      <c r="A169" s="2">
        <v>168.0</v>
      </c>
      <c r="B169" s="11"/>
      <c r="C169" s="22">
        <v>37718.0</v>
      </c>
      <c r="D169" s="12" t="s">
        <v>95</v>
      </c>
      <c r="E169" s="12" t="s">
        <v>89</v>
      </c>
      <c r="F169" s="15" t="s">
        <v>50</v>
      </c>
      <c r="G169" s="114" t="b">
        <v>1</v>
      </c>
      <c r="H169" s="114" t="b">
        <v>0</v>
      </c>
      <c r="I169" s="114" t="b">
        <v>0</v>
      </c>
      <c r="J169" s="114" t="b">
        <v>0</v>
      </c>
      <c r="K169" s="114" t="b">
        <v>0</v>
      </c>
      <c r="L169" s="114" t="b">
        <v>0</v>
      </c>
      <c r="M169" s="114" t="b">
        <v>0</v>
      </c>
      <c r="N169" s="114" t="b">
        <v>0</v>
      </c>
      <c r="O169" s="114" t="b">
        <v>0</v>
      </c>
      <c r="P169" s="114" t="b">
        <v>0</v>
      </c>
      <c r="Q169" s="114" t="b">
        <v>0</v>
      </c>
      <c r="R169" s="114" t="b">
        <v>0</v>
      </c>
      <c r="S169" s="114" t="b">
        <v>0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0</v>
      </c>
      <c r="AJ169" s="114" t="b">
        <v>0</v>
      </c>
      <c r="AK169" s="114" t="b">
        <v>0</v>
      </c>
      <c r="AL169" s="115" t="str">
        <f t="shared" si="1"/>
        <v>1 dari 31 (3%)</v>
      </c>
    </row>
    <row r="170" ht="22.5" customHeight="1">
      <c r="A170" s="10">
        <v>169.0</v>
      </c>
      <c r="B170" s="11"/>
      <c r="C170" s="22">
        <v>61345.0</v>
      </c>
      <c r="D170" s="12" t="s">
        <v>95</v>
      </c>
      <c r="E170" s="12" t="s">
        <v>89</v>
      </c>
      <c r="F170" s="15" t="s">
        <v>50</v>
      </c>
      <c r="G170" s="114" t="b">
        <v>1</v>
      </c>
      <c r="H170" s="114" t="b">
        <v>0</v>
      </c>
      <c r="I170" s="114" t="b">
        <v>0</v>
      </c>
      <c r="J170" s="114" t="b">
        <v>0</v>
      </c>
      <c r="K170" s="114" t="b">
        <v>0</v>
      </c>
      <c r="L170" s="114" t="b">
        <v>0</v>
      </c>
      <c r="M170" s="114" t="b">
        <v>0</v>
      </c>
      <c r="N170" s="114" t="b">
        <v>0</v>
      </c>
      <c r="O170" s="114" t="b">
        <v>0</v>
      </c>
      <c r="P170" s="114" t="b">
        <v>0</v>
      </c>
      <c r="Q170" s="114" t="b">
        <v>0</v>
      </c>
      <c r="R170" s="114" t="b">
        <v>0</v>
      </c>
      <c r="S170" s="114" t="b">
        <v>0</v>
      </c>
      <c r="T170" s="114" t="b">
        <v>0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0</v>
      </c>
      <c r="AA170" s="114" t="b">
        <v>0</v>
      </c>
      <c r="AB170" s="114" t="b">
        <v>0</v>
      </c>
      <c r="AC170" s="114" t="b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0</v>
      </c>
      <c r="AJ170" s="114" t="b">
        <v>0</v>
      </c>
      <c r="AK170" s="114" t="b">
        <v>0</v>
      </c>
      <c r="AL170" s="115" t="str">
        <f t="shared" si="1"/>
        <v>1 dari 31 (3%)</v>
      </c>
    </row>
    <row r="171" ht="22.5" customHeight="1">
      <c r="A171" s="10">
        <v>170.0</v>
      </c>
      <c r="B171" s="11"/>
      <c r="C171" s="22">
        <v>61346.0</v>
      </c>
      <c r="D171" s="12" t="s">
        <v>95</v>
      </c>
      <c r="E171" s="12" t="s">
        <v>89</v>
      </c>
      <c r="F171" s="15" t="s">
        <v>50</v>
      </c>
      <c r="G171" s="114" t="b">
        <v>1</v>
      </c>
      <c r="H171" s="114" t="b">
        <v>0</v>
      </c>
      <c r="I171" s="114" t="b">
        <v>0</v>
      </c>
      <c r="J171" s="114" t="b">
        <v>0</v>
      </c>
      <c r="K171" s="114" t="b">
        <v>0</v>
      </c>
      <c r="L171" s="114" t="b">
        <v>0</v>
      </c>
      <c r="M171" s="114" t="b">
        <v>0</v>
      </c>
      <c r="N171" s="114" t="b">
        <v>0</v>
      </c>
      <c r="O171" s="114" t="b">
        <v>0</v>
      </c>
      <c r="P171" s="114" t="b">
        <v>0</v>
      </c>
      <c r="Q171" s="114" t="b">
        <v>0</v>
      </c>
      <c r="R171" s="114" t="b">
        <v>0</v>
      </c>
      <c r="S171" s="114" t="b">
        <v>0</v>
      </c>
      <c r="T171" s="114" t="b">
        <v>0</v>
      </c>
      <c r="U171" s="114" t="b">
        <v>0</v>
      </c>
      <c r="V171" s="114" t="b">
        <v>0</v>
      </c>
      <c r="W171" s="114" t="b">
        <v>0</v>
      </c>
      <c r="X171" s="114" t="b">
        <v>0</v>
      </c>
      <c r="Y171" s="114" t="b">
        <v>0</v>
      </c>
      <c r="Z171" s="114" t="b">
        <v>0</v>
      </c>
      <c r="AA171" s="114" t="b">
        <v>0</v>
      </c>
      <c r="AB171" s="114" t="b">
        <v>0</v>
      </c>
      <c r="AC171" s="114" t="b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 t="b">
        <v>0</v>
      </c>
      <c r="AI171" s="114" t="b">
        <v>0</v>
      </c>
      <c r="AJ171" s="114" t="b">
        <v>0</v>
      </c>
      <c r="AK171" s="114" t="b">
        <v>0</v>
      </c>
      <c r="AL171" s="115" t="str">
        <f t="shared" si="1"/>
        <v>1 dari 31 (3%)</v>
      </c>
    </row>
    <row r="172" ht="22.5" customHeight="1">
      <c r="A172" s="2">
        <v>171.0</v>
      </c>
      <c r="B172" s="11"/>
      <c r="C172" s="20">
        <v>51880.0</v>
      </c>
      <c r="D172" s="12" t="s">
        <v>95</v>
      </c>
      <c r="E172" s="12" t="s">
        <v>89</v>
      </c>
      <c r="F172" s="15" t="s">
        <v>50</v>
      </c>
      <c r="G172" s="114" t="b">
        <v>1</v>
      </c>
      <c r="H172" s="114" t="b">
        <v>0</v>
      </c>
      <c r="I172" s="114" t="b">
        <v>0</v>
      </c>
      <c r="J172" s="114" t="b">
        <v>0</v>
      </c>
      <c r="K172" s="114" t="b">
        <v>0</v>
      </c>
      <c r="L172" s="114" t="b">
        <v>0</v>
      </c>
      <c r="M172" s="114" t="b">
        <v>0</v>
      </c>
      <c r="N172" s="114" t="b">
        <v>0</v>
      </c>
      <c r="O172" s="114" t="b">
        <v>0</v>
      </c>
      <c r="P172" s="114" t="b">
        <v>0</v>
      </c>
      <c r="Q172" s="114" t="b">
        <v>0</v>
      </c>
      <c r="R172" s="114" t="b">
        <v>0</v>
      </c>
      <c r="S172" s="114" t="b">
        <v>0</v>
      </c>
      <c r="T172" s="114" t="b">
        <v>0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0</v>
      </c>
      <c r="AJ172" s="114" t="b">
        <v>0</v>
      </c>
      <c r="AK172" s="114" t="b">
        <v>0</v>
      </c>
      <c r="AL172" s="115" t="str">
        <f t="shared" si="1"/>
        <v>1 dari 31 (3%)</v>
      </c>
    </row>
    <row r="173" ht="22.5" customHeight="1">
      <c r="A173" s="10">
        <v>172.0</v>
      </c>
      <c r="B173" s="11"/>
      <c r="C173" s="20">
        <v>61344.0</v>
      </c>
      <c r="D173" s="12" t="s">
        <v>95</v>
      </c>
      <c r="E173" s="12" t="s">
        <v>89</v>
      </c>
      <c r="F173" s="15" t="s">
        <v>50</v>
      </c>
      <c r="G173" s="114" t="b">
        <v>1</v>
      </c>
      <c r="H173" s="114" t="b">
        <v>0</v>
      </c>
      <c r="I173" s="114" t="b">
        <v>0</v>
      </c>
      <c r="J173" s="114" t="b">
        <v>0</v>
      </c>
      <c r="K173" s="114" t="b">
        <v>0</v>
      </c>
      <c r="L173" s="114" t="b">
        <v>0</v>
      </c>
      <c r="M173" s="114" t="b">
        <v>0</v>
      </c>
      <c r="N173" s="114" t="b">
        <v>0</v>
      </c>
      <c r="O173" s="114" t="b">
        <v>0</v>
      </c>
      <c r="P173" s="114" t="b">
        <v>0</v>
      </c>
      <c r="Q173" s="114" t="b">
        <v>0</v>
      </c>
      <c r="R173" s="114" t="b">
        <v>0</v>
      </c>
      <c r="S173" s="114" t="b">
        <v>0</v>
      </c>
      <c r="T173" s="114" t="b">
        <v>0</v>
      </c>
      <c r="U173" s="114" t="b">
        <v>0</v>
      </c>
      <c r="V173" s="114" t="b">
        <v>0</v>
      </c>
      <c r="W173" s="114" t="b">
        <v>0</v>
      </c>
      <c r="X173" s="114" t="b">
        <v>0</v>
      </c>
      <c r="Y173" s="114" t="b">
        <v>0</v>
      </c>
      <c r="Z173" s="114" t="b">
        <v>0</v>
      </c>
      <c r="AA173" s="114" t="b">
        <v>0</v>
      </c>
      <c r="AB173" s="114" t="b">
        <v>0</v>
      </c>
      <c r="AC173" s="114" t="b">
        <v>0</v>
      </c>
      <c r="AD173" s="114" t="b">
        <v>0</v>
      </c>
      <c r="AE173" s="114" t="b">
        <v>0</v>
      </c>
      <c r="AF173" s="114" t="b">
        <v>0</v>
      </c>
      <c r="AG173" s="114" t="b">
        <v>0</v>
      </c>
      <c r="AH173" s="114" t="b">
        <v>0</v>
      </c>
      <c r="AI173" s="114" t="b">
        <v>0</v>
      </c>
      <c r="AJ173" s="114" t="b">
        <v>0</v>
      </c>
      <c r="AK173" s="114" t="b">
        <v>0</v>
      </c>
      <c r="AL173" s="115" t="str">
        <f t="shared" si="1"/>
        <v>1 dari 31 (3%)</v>
      </c>
    </row>
    <row r="174" ht="22.5" customHeight="1">
      <c r="A174" s="10">
        <v>173.0</v>
      </c>
      <c r="B174" s="11"/>
      <c r="C174" s="20">
        <v>59154.0</v>
      </c>
      <c r="D174" s="12" t="s">
        <v>95</v>
      </c>
      <c r="E174" s="12" t="s">
        <v>89</v>
      </c>
      <c r="F174" s="15" t="s">
        <v>50</v>
      </c>
      <c r="G174" s="114" t="b">
        <v>1</v>
      </c>
      <c r="H174" s="114" t="b">
        <v>0</v>
      </c>
      <c r="I174" s="114" t="b">
        <v>0</v>
      </c>
      <c r="J174" s="114" t="b">
        <v>0</v>
      </c>
      <c r="K174" s="114" t="b">
        <v>0</v>
      </c>
      <c r="L174" s="114" t="b">
        <v>0</v>
      </c>
      <c r="M174" s="114" t="b">
        <v>0</v>
      </c>
      <c r="N174" s="114" t="b">
        <v>0</v>
      </c>
      <c r="O174" s="114" t="b">
        <v>0</v>
      </c>
      <c r="P174" s="114" t="b">
        <v>0</v>
      </c>
      <c r="Q174" s="114" t="b">
        <v>0</v>
      </c>
      <c r="R174" s="114" t="b">
        <v>0</v>
      </c>
      <c r="S174" s="114" t="b">
        <v>0</v>
      </c>
      <c r="T174" s="114" t="b">
        <v>0</v>
      </c>
      <c r="U174" s="114" t="b">
        <v>0</v>
      </c>
      <c r="V174" s="114" t="b">
        <v>0</v>
      </c>
      <c r="W174" s="114" t="b">
        <v>0</v>
      </c>
      <c r="X174" s="114" t="b">
        <v>0</v>
      </c>
      <c r="Y174" s="114" t="b">
        <v>0</v>
      </c>
      <c r="Z174" s="114" t="b">
        <v>0</v>
      </c>
      <c r="AA174" s="114" t="b">
        <v>0</v>
      </c>
      <c r="AB174" s="114" t="b">
        <v>0</v>
      </c>
      <c r="AC174" s="114" t="b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 t="b">
        <v>0</v>
      </c>
      <c r="AI174" s="114" t="b">
        <v>0</v>
      </c>
      <c r="AJ174" s="114" t="b">
        <v>0</v>
      </c>
      <c r="AK174" s="114" t="b">
        <v>0</v>
      </c>
      <c r="AL174" s="115" t="str">
        <f t="shared" si="1"/>
        <v>1 dari 31 (3%)</v>
      </c>
    </row>
    <row r="176">
      <c r="B176" s="71" t="s">
        <v>38</v>
      </c>
      <c r="C176" s="72"/>
      <c r="D176" s="72"/>
      <c r="E176" s="72"/>
      <c r="F176" s="73"/>
      <c r="G176" s="74">
        <f>COUNTIF(JULI_16[ID Encounter], TRUE)</f>
        <v>166</v>
      </c>
      <c r="H176" s="74">
        <f>COUNTIF(JULI_16[ID Condition], TRUE)</f>
        <v>103</v>
      </c>
      <c r="I176" s="74">
        <f>COUNTIF(JULI_16[ID Clinical Impression], TRUE)</f>
        <v>79</v>
      </c>
      <c r="J176" s="74">
        <f>COUNTIF(JULI_16[ID Observation Tensi], TRUE)</f>
        <v>115</v>
      </c>
      <c r="K176" s="74">
        <f>COUNTIF(JULI_16[ID Observation Nadi], TRUE)</f>
        <v>136</v>
      </c>
      <c r="L176" s="74">
        <f>COUNTIF(JULI_16[ID Observation RR], TRUE)</f>
        <v>136</v>
      </c>
      <c r="M176" s="74">
        <f>COUNTIF(JULI_16[ID Observation Suhu], TRUE)</f>
        <v>136</v>
      </c>
      <c r="N176" s="74">
        <f>COUNTIF(JULI_16[ID Observation SPO2], TRUE)</f>
        <v>134</v>
      </c>
      <c r="O176" s="74">
        <f>COUNTIF(JULI_16[ID Observation GCS], TRUE)</f>
        <v>134</v>
      </c>
      <c r="P176" s="74">
        <f>COUNTIF(JULI_16[ID Observation Tinggi], TRUE)</f>
        <v>135</v>
      </c>
      <c r="Q176" s="74">
        <f>COUNTIF(JULI_16[ID Observation Berat], TRUE)</f>
        <v>135</v>
      </c>
      <c r="R176" s="74">
        <f>COUNTIF(JULI_16[ID Observation Perut], TRUE)</f>
        <v>128</v>
      </c>
      <c r="S176" s="74">
        <f>COUNTIF(JULI_16[ID Observation Kesadaran], TRUE)</f>
        <v>137</v>
      </c>
      <c r="T176" s="74">
        <f>COUNTIF(JULI_16[ID Procedure], TRUE)</f>
        <v>47</v>
      </c>
      <c r="U176" s="74">
        <f>COUNTIF(JULI_16[ID Composition], TRUE)</f>
        <v>0</v>
      </c>
      <c r="V176" s="74">
        <f>COUNTIF(JULI_16[ID Vaksin/Imunisasi], TRUE)</f>
        <v>0</v>
      </c>
      <c r="W176" s="74">
        <f>COUNTIF(JULI_16[ID Medication Request], TRUE)</f>
        <v>3</v>
      </c>
      <c r="X176" s="74">
        <f>COUNTIF(JULI_16[ID Medication Dispense], TRUE)</f>
        <v>3</v>
      </c>
      <c r="Y176" s="74">
        <f>COUNTIF(JULI_16[ID Medication Statement], TRUE)</f>
        <v>3</v>
      </c>
      <c r="Z176" s="74">
        <f>COUNTIF(JULI_16[ID Service Request Radiologi], TRUE)</f>
        <v>4</v>
      </c>
      <c r="AA176" s="74">
        <f>COUNTIF(JULI_16[ID Specimen Radiologi], TRUE)</f>
        <v>4</v>
      </c>
      <c r="AB176" s="74">
        <f>COUNTIF(JULI_16[ID Observation Radiologi], TRUE)</f>
        <v>3</v>
      </c>
      <c r="AC176" s="74">
        <f>COUNTIF(JULI_16[ID Diagnostic Report Radiologi], TRUE)</f>
        <v>3</v>
      </c>
      <c r="AD176" s="74">
        <f>COUNTIF(JULI_16[Image Study], TRUE)</f>
        <v>4</v>
      </c>
      <c r="AE176" s="74">
        <f>COUNTIF(JULI_16[ID Service Request Lab PK], TRUE)</f>
        <v>0</v>
      </c>
      <c r="AF176" s="74">
        <f>COUNTIF(JULI_16[ID Specimen Lab PK], TRUE)</f>
        <v>0</v>
      </c>
      <c r="AG176" s="74">
        <f>COUNTIF(JULI_16[ID Observation Lab PK], TRUE)</f>
        <v>0</v>
      </c>
      <c r="AH176" s="74">
        <f>COUNTIF(JULI_16[ID Diagnostic Report Lab PK], TRUE)</f>
        <v>0</v>
      </c>
      <c r="AI176" s="74">
        <f>COUNTIF(JULI_16[ID Care Plan], TRUE)</f>
        <v>72</v>
      </c>
      <c r="AJ176" s="74">
        <f>COUNTIF(JULI_16[ID Allergy], TRUE)</f>
        <v>0</v>
      </c>
      <c r="AK176" s="74">
        <f>COUNTIF(JULI_16[ID Questionnaire], TRUE)</f>
        <v>0</v>
      </c>
      <c r="AL176" s="75" t="str">
        <f>COUNTIF(JULI_16[[ID Encounter]:[ID Questionnaire]], TRUE()) &amp; " dari " &amp; (ROWS(JULI_16[[ID Encounter]:[ID Questionnaire]])*COLUMNS(JULI_16[[ID Encounter]:[ID Questionnaire]])) &amp; " (" &amp; TEXT(COUNTIF(JULI_16[[ID Encounter]:[ID Questionnaire]], TRUE())/(ROWS(JULI_16[[ID Encounter]:[ID Questionnaire]])*COLUMNS(JULI_16[[ID Encounter]:[ID Questionnaire]])),"0%") &amp; ")"</f>
        <v>1820 dari 5363 (34%)</v>
      </c>
    </row>
    <row r="177">
      <c r="B177" s="76"/>
      <c r="C177" s="77"/>
      <c r="D177" s="77"/>
      <c r="E177" s="77"/>
      <c r="F177" s="78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</row>
  </sheetData>
  <mergeCells count="33">
    <mergeCell ref="B176:F177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H176:AH177"/>
    <mergeCell ref="AI176:AI177"/>
    <mergeCell ref="AJ176:AJ177"/>
    <mergeCell ref="AK176:AK177"/>
    <mergeCell ref="AL176:AL177"/>
    <mergeCell ref="AA176:AA177"/>
    <mergeCell ref="AB176:AB177"/>
    <mergeCell ref="AC176:AC177"/>
    <mergeCell ref="AD176:AD177"/>
    <mergeCell ref="AE176:AE177"/>
    <mergeCell ref="AF176:AF177"/>
    <mergeCell ref="AG176:AG177"/>
  </mergeCell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6.75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46220.0</v>
      </c>
      <c r="C2" s="22">
        <v>59234.0</v>
      </c>
      <c r="D2" s="138" t="s">
        <v>40</v>
      </c>
      <c r="E2" s="12" t="s">
        <v>43</v>
      </c>
      <c r="F2" s="139"/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1</v>
      </c>
      <c r="X2" s="6" t="b">
        <v>1</v>
      </c>
      <c r="Y2" s="6" t="b">
        <v>1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1</v>
      </c>
      <c r="AJ2" s="6" t="b">
        <v>0</v>
      </c>
      <c r="AK2" s="6" t="b">
        <v>0</v>
      </c>
      <c r="AL2" s="9" t="str">
        <f t="shared" ref="AL2:AL11" si="1">COUNTIF(G2:AK2, TRUE()) &amp; " dari " &amp; COLUMNS(G2:AK2) &amp; " (" &amp; TEXT(COUNTIF(G2:AK2, TRUE())/COLUMNS(G2:AK2),"0%") &amp; ")"</f>
        <v>18 dari 31 (58%)</v>
      </c>
    </row>
    <row r="3" ht="22.5" customHeight="1">
      <c r="A3" s="10">
        <v>2.0</v>
      </c>
      <c r="B3" s="11"/>
      <c r="C3" s="22">
        <v>50198.0</v>
      </c>
      <c r="D3" s="138" t="s">
        <v>80</v>
      </c>
      <c r="E3" s="12" t="s">
        <v>81</v>
      </c>
      <c r="F3" s="15" t="s">
        <v>50</v>
      </c>
      <c r="G3" s="16" t="b">
        <v>1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6" t="b">
        <v>0</v>
      </c>
      <c r="O3" s="16" t="b">
        <v>0</v>
      </c>
      <c r="P3" s="16" t="b">
        <v>0</v>
      </c>
      <c r="Q3" s="16" t="b">
        <v>0</v>
      </c>
      <c r="R3" s="16" t="b">
        <v>0</v>
      </c>
      <c r="S3" s="16" t="b">
        <v>0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1 dari 31 (3%)</v>
      </c>
    </row>
    <row r="4" ht="22.5" customHeight="1">
      <c r="A4" s="2">
        <v>3.0</v>
      </c>
      <c r="B4" s="18"/>
      <c r="C4" s="22">
        <v>59246.0</v>
      </c>
      <c r="D4" s="138" t="s">
        <v>53</v>
      </c>
      <c r="E4" s="12" t="s">
        <v>125</v>
      </c>
      <c r="F4" s="13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1</v>
      </c>
      <c r="AJ4" s="6" t="b">
        <v>0</v>
      </c>
      <c r="AK4" s="6" t="b">
        <v>0</v>
      </c>
      <c r="AL4" s="9" t="str">
        <f t="shared" si="1"/>
        <v>15 dari 31 (48%)</v>
      </c>
    </row>
    <row r="5" ht="22.5" customHeight="1">
      <c r="A5" s="10">
        <v>4.0</v>
      </c>
      <c r="B5" s="11"/>
      <c r="C5" s="22">
        <v>58297.0</v>
      </c>
      <c r="D5" s="138" t="s">
        <v>53</v>
      </c>
      <c r="E5" s="12" t="s">
        <v>125</v>
      </c>
      <c r="F5" s="13"/>
      <c r="G5" s="16" t="b">
        <v>1</v>
      </c>
      <c r="H5" s="16" t="b">
        <v>1</v>
      </c>
      <c r="I5" s="16" t="b">
        <v>1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15 dari 31 (48%)</v>
      </c>
    </row>
    <row r="6" ht="22.5" customHeight="1">
      <c r="A6" s="2">
        <v>5.0</v>
      </c>
      <c r="B6" s="18"/>
      <c r="C6" s="20">
        <v>58554.0</v>
      </c>
      <c r="D6" s="138" t="s">
        <v>53</v>
      </c>
      <c r="E6" s="12" t="s">
        <v>125</v>
      </c>
      <c r="F6" s="13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15 dari 31 (48%)</v>
      </c>
    </row>
    <row r="7" ht="22.5" customHeight="1">
      <c r="A7" s="10">
        <v>6.0</v>
      </c>
      <c r="B7" s="11"/>
      <c r="C7" s="20">
        <v>61310.0</v>
      </c>
      <c r="D7" s="138" t="s">
        <v>98</v>
      </c>
      <c r="E7" s="12" t="s">
        <v>131</v>
      </c>
      <c r="F7" s="13"/>
      <c r="G7" s="16" t="b">
        <v>1</v>
      </c>
      <c r="H7" s="16" t="b">
        <v>1</v>
      </c>
      <c r="I7" s="16" t="b">
        <v>0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7" t="str">
        <f t="shared" si="1"/>
        <v>13 dari 31 (42%)</v>
      </c>
    </row>
    <row r="8" ht="22.5" customHeight="1">
      <c r="A8" s="92">
        <v>7.0</v>
      </c>
      <c r="B8" s="141"/>
      <c r="C8" s="91">
        <v>61177.0</v>
      </c>
      <c r="D8" s="142" t="s">
        <v>51</v>
      </c>
      <c r="E8" s="85" t="s">
        <v>52</v>
      </c>
      <c r="F8" s="86" t="s">
        <v>105</v>
      </c>
      <c r="G8" s="87" t="b">
        <v>0</v>
      </c>
      <c r="H8" s="87" t="b">
        <v>0</v>
      </c>
      <c r="I8" s="87" t="b">
        <v>0</v>
      </c>
      <c r="J8" s="87" t="b">
        <v>0</v>
      </c>
      <c r="K8" s="87" t="b">
        <v>0</v>
      </c>
      <c r="L8" s="87" t="b">
        <v>0</v>
      </c>
      <c r="M8" s="87" t="b">
        <v>0</v>
      </c>
      <c r="N8" s="87" t="b">
        <v>0</v>
      </c>
      <c r="O8" s="87" t="b">
        <v>0</v>
      </c>
      <c r="P8" s="87" t="b">
        <v>0</v>
      </c>
      <c r="Q8" s="87" t="b">
        <v>0</v>
      </c>
      <c r="R8" s="87" t="b">
        <v>0</v>
      </c>
      <c r="S8" s="87" t="b">
        <v>0</v>
      </c>
      <c r="T8" s="87" t="b">
        <v>0</v>
      </c>
      <c r="U8" s="87" t="b">
        <v>0</v>
      </c>
      <c r="V8" s="87" t="b">
        <v>0</v>
      </c>
      <c r="W8" s="87" t="b">
        <v>0</v>
      </c>
      <c r="X8" s="87" t="b">
        <v>0</v>
      </c>
      <c r="Y8" s="87" t="b">
        <v>0</v>
      </c>
      <c r="Z8" s="87" t="b">
        <v>0</v>
      </c>
      <c r="AA8" s="87" t="b">
        <v>0</v>
      </c>
      <c r="AB8" s="87" t="b">
        <v>0</v>
      </c>
      <c r="AC8" s="87" t="b">
        <v>0</v>
      </c>
      <c r="AD8" s="87" t="b">
        <v>0</v>
      </c>
      <c r="AE8" s="87" t="b">
        <v>0</v>
      </c>
      <c r="AF8" s="87" t="b">
        <v>0</v>
      </c>
      <c r="AG8" s="87" t="b">
        <v>0</v>
      </c>
      <c r="AH8" s="87" t="b">
        <v>0</v>
      </c>
      <c r="AI8" s="87" t="b">
        <v>0</v>
      </c>
      <c r="AJ8" s="87" t="b">
        <v>0</v>
      </c>
      <c r="AK8" s="87" t="b">
        <v>0</v>
      </c>
      <c r="AL8" s="89" t="str">
        <f t="shared" si="1"/>
        <v>0 dari 31 (0%)</v>
      </c>
    </row>
    <row r="9" ht="22.5" customHeight="1">
      <c r="A9" s="10">
        <v>8.0</v>
      </c>
      <c r="B9" s="11"/>
      <c r="C9" s="22">
        <v>57112.0</v>
      </c>
      <c r="D9" s="138" t="s">
        <v>98</v>
      </c>
      <c r="E9" s="12" t="s">
        <v>131</v>
      </c>
      <c r="F9" s="13"/>
      <c r="G9" s="16" t="b">
        <v>1</v>
      </c>
      <c r="H9" s="16" t="b">
        <v>1</v>
      </c>
      <c r="I9" s="16" t="b">
        <v>0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13 dari 31 (42%)</v>
      </c>
    </row>
    <row r="10" ht="22.5" customHeight="1">
      <c r="A10" s="2">
        <v>9.0</v>
      </c>
      <c r="B10" s="18"/>
      <c r="C10" s="22">
        <v>60341.0</v>
      </c>
      <c r="D10" s="138" t="s">
        <v>51</v>
      </c>
      <c r="E10" s="12" t="s">
        <v>119</v>
      </c>
      <c r="F10" s="15" t="s">
        <v>50</v>
      </c>
      <c r="G10" s="6" t="b">
        <v>1</v>
      </c>
      <c r="H10" s="6" t="b">
        <v>0</v>
      </c>
      <c r="I10" s="6" t="b">
        <v>0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11 dari 31 (35%)</v>
      </c>
    </row>
    <row r="11" ht="22.5" customHeight="1">
      <c r="A11" s="10">
        <v>10.0</v>
      </c>
      <c r="B11" s="11"/>
      <c r="C11" s="22">
        <v>55737.0</v>
      </c>
      <c r="D11" s="138" t="s">
        <v>98</v>
      </c>
      <c r="E11" s="12" t="s">
        <v>131</v>
      </c>
      <c r="F11" s="13"/>
      <c r="G11" s="16" t="b">
        <v>1</v>
      </c>
      <c r="H11" s="16" t="b">
        <v>1</v>
      </c>
      <c r="I11" s="16" t="b">
        <v>0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7" t="str">
        <f t="shared" si="1"/>
        <v>13 dari 31 (42%)</v>
      </c>
    </row>
    <row r="12" ht="22.5" customHeight="1">
      <c r="A12" s="2">
        <v>11.0</v>
      </c>
      <c r="B12" s="18"/>
      <c r="C12" s="20">
        <v>52614.0</v>
      </c>
      <c r="D12" s="12" t="s">
        <v>131</v>
      </c>
      <c r="E12" s="12" t="s">
        <v>98</v>
      </c>
      <c r="F12" s="13"/>
      <c r="G12" s="6" t="b">
        <v>1</v>
      </c>
      <c r="H12" s="6" t="b">
        <v>1</v>
      </c>
      <c r="I12" s="6" t="b">
        <v>0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1</v>
      </c>
      <c r="AJ12" s="6" t="b">
        <v>0</v>
      </c>
      <c r="AK12" s="6" t="b">
        <v>0</v>
      </c>
      <c r="AL12" s="9" t="str">
        <f t="shared" ref="AL12:AL21" si="2">COUNTIF(H12:AK12, TRUE()) &amp; " dari " &amp; COLUMNS(H12:AK12) &amp; " (" &amp; TEXT(COUNTIF(H12:AK12, TRUE())/COLUMNS(H12:AK12),"0%") &amp; ")"</f>
        <v>13 dari 30 (43%)</v>
      </c>
    </row>
    <row r="13" ht="22.5" customHeight="1">
      <c r="A13" s="10">
        <v>12.0</v>
      </c>
      <c r="B13" s="11"/>
      <c r="C13" s="20">
        <v>61347.0</v>
      </c>
      <c r="D13" s="12" t="s">
        <v>43</v>
      </c>
      <c r="E13" s="12" t="s">
        <v>40</v>
      </c>
      <c r="F13" s="13"/>
      <c r="G13" s="16" t="b">
        <v>1</v>
      </c>
      <c r="H13" s="16" t="b">
        <v>1</v>
      </c>
      <c r="I13" s="16" t="b">
        <v>1</v>
      </c>
      <c r="J13" s="16" t="b">
        <v>1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1</v>
      </c>
      <c r="AA13" s="16" t="b">
        <v>1</v>
      </c>
      <c r="AB13" s="16" t="b">
        <v>1</v>
      </c>
      <c r="AC13" s="16" t="b">
        <v>1</v>
      </c>
      <c r="AD13" s="16" t="b">
        <v>1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2"/>
        <v>19 dari 30 (63%)</v>
      </c>
    </row>
    <row r="14" ht="22.5" customHeight="1">
      <c r="A14" s="2">
        <v>13.0</v>
      </c>
      <c r="B14" s="18"/>
      <c r="C14" s="20">
        <v>39821.0</v>
      </c>
      <c r="D14" s="12" t="s">
        <v>69</v>
      </c>
      <c r="E14" s="12" t="s">
        <v>68</v>
      </c>
      <c r="F14" s="13"/>
      <c r="G14" s="6" t="b">
        <v>1</v>
      </c>
      <c r="H14" s="6" t="b">
        <v>1</v>
      </c>
      <c r="I14" s="6" t="b">
        <v>0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1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1</v>
      </c>
      <c r="AJ14" s="6" t="b">
        <v>0</v>
      </c>
      <c r="AK14" s="6" t="b">
        <v>0</v>
      </c>
      <c r="AL14" s="9" t="str">
        <f t="shared" si="2"/>
        <v>13 dari 30 (43%)</v>
      </c>
    </row>
    <row r="15" ht="22.5" customHeight="1">
      <c r="A15" s="10">
        <v>14.0</v>
      </c>
      <c r="B15" s="11"/>
      <c r="C15" s="20">
        <v>56433.0</v>
      </c>
      <c r="D15" s="12" t="s">
        <v>69</v>
      </c>
      <c r="E15" s="12" t="s">
        <v>68</v>
      </c>
      <c r="F15" s="13"/>
      <c r="G15" s="16" t="b">
        <v>1</v>
      </c>
      <c r="H15" s="16" t="b">
        <v>1</v>
      </c>
      <c r="I15" s="16" t="b">
        <v>1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1</v>
      </c>
      <c r="AJ15" s="16" t="b">
        <v>0</v>
      </c>
      <c r="AK15" s="16" t="b">
        <v>0</v>
      </c>
      <c r="AL15" s="17" t="str">
        <f t="shared" si="2"/>
        <v>14 dari 30 (47%)</v>
      </c>
    </row>
    <row r="16" ht="22.5" customHeight="1">
      <c r="A16" s="2">
        <v>15.0</v>
      </c>
      <c r="B16" s="18"/>
      <c r="C16" s="20">
        <v>49954.0</v>
      </c>
      <c r="D16" s="12" t="s">
        <v>131</v>
      </c>
      <c r="E16" s="12" t="s">
        <v>98</v>
      </c>
      <c r="F16" s="13"/>
      <c r="G16" s="6" t="b">
        <v>1</v>
      </c>
      <c r="H16" s="6" t="b">
        <v>1</v>
      </c>
      <c r="I16" s="6" t="b">
        <v>0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1</v>
      </c>
      <c r="AJ16" s="6" t="b">
        <v>0</v>
      </c>
      <c r="AK16" s="6" t="b">
        <v>0</v>
      </c>
      <c r="AL16" s="9" t="str">
        <f t="shared" si="2"/>
        <v>13 dari 30 (43%)</v>
      </c>
    </row>
    <row r="17" ht="22.5" customHeight="1">
      <c r="A17" s="61">
        <v>16.0</v>
      </c>
      <c r="B17" s="62"/>
      <c r="C17" s="32">
        <v>61334.0</v>
      </c>
      <c r="D17" s="51" t="s">
        <v>69</v>
      </c>
      <c r="E17" s="51" t="s">
        <v>68</v>
      </c>
      <c r="F17" s="53"/>
      <c r="G17" s="63" t="b">
        <v>0</v>
      </c>
      <c r="H17" s="63" t="b">
        <v>0</v>
      </c>
      <c r="I17" s="63" t="b">
        <v>0</v>
      </c>
      <c r="J17" s="63" t="b">
        <v>0</v>
      </c>
      <c r="K17" s="63" t="b">
        <v>0</v>
      </c>
      <c r="L17" s="63" t="b">
        <v>0</v>
      </c>
      <c r="M17" s="63" t="b">
        <v>0</v>
      </c>
      <c r="N17" s="63" t="b">
        <v>0</v>
      </c>
      <c r="O17" s="63" t="b">
        <v>0</v>
      </c>
      <c r="P17" s="63" t="b">
        <v>0</v>
      </c>
      <c r="Q17" s="63" t="b">
        <v>0</v>
      </c>
      <c r="R17" s="63" t="b">
        <v>0</v>
      </c>
      <c r="S17" s="63" t="b">
        <v>0</v>
      </c>
      <c r="T17" s="63" t="b">
        <v>0</v>
      </c>
      <c r="U17" s="63" t="b">
        <v>0</v>
      </c>
      <c r="V17" s="63" t="b">
        <v>0</v>
      </c>
      <c r="W17" s="63" t="b">
        <v>0</v>
      </c>
      <c r="X17" s="63" t="b">
        <v>0</v>
      </c>
      <c r="Y17" s="63" t="b">
        <v>0</v>
      </c>
      <c r="Z17" s="63" t="b">
        <v>0</v>
      </c>
      <c r="AA17" s="63" t="b">
        <v>0</v>
      </c>
      <c r="AB17" s="63" t="b">
        <v>0</v>
      </c>
      <c r="AC17" s="63" t="b">
        <v>0</v>
      </c>
      <c r="AD17" s="63" t="b">
        <v>0</v>
      </c>
      <c r="AE17" s="63" t="b">
        <v>0</v>
      </c>
      <c r="AF17" s="63" t="b">
        <v>0</v>
      </c>
      <c r="AG17" s="63" t="b">
        <v>0</v>
      </c>
      <c r="AH17" s="63" t="b">
        <v>0</v>
      </c>
      <c r="AI17" s="63" t="b">
        <v>0</v>
      </c>
      <c r="AJ17" s="63" t="b">
        <v>0</v>
      </c>
      <c r="AK17" s="63" t="b">
        <v>0</v>
      </c>
      <c r="AL17" s="64" t="str">
        <f t="shared" si="2"/>
        <v>0 dari 30 (0%)</v>
      </c>
    </row>
    <row r="18" ht="22.5" customHeight="1">
      <c r="A18" s="2">
        <v>17.0</v>
      </c>
      <c r="B18" s="18"/>
      <c r="C18" s="20">
        <v>60823.0</v>
      </c>
      <c r="D18" s="12" t="s">
        <v>175</v>
      </c>
      <c r="E18" s="12" t="s">
        <v>56</v>
      </c>
      <c r="F18" s="13"/>
      <c r="G18" s="6" t="b">
        <v>1</v>
      </c>
      <c r="H18" s="6" t="b">
        <v>1</v>
      </c>
      <c r="I18" s="6" t="b">
        <v>1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1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1</v>
      </c>
      <c r="AJ18" s="6" t="b">
        <v>0</v>
      </c>
      <c r="AK18" s="6" t="b">
        <v>0</v>
      </c>
      <c r="AL18" s="9" t="str">
        <f t="shared" si="2"/>
        <v>14 dari 30 (47%)</v>
      </c>
    </row>
    <row r="19" ht="22.5" customHeight="1">
      <c r="A19" s="10">
        <v>18.0</v>
      </c>
      <c r="B19" s="11"/>
      <c r="C19" s="20">
        <v>28302.0</v>
      </c>
      <c r="D19" s="12" t="s">
        <v>57</v>
      </c>
      <c r="E19" s="12" t="s">
        <v>39</v>
      </c>
      <c r="F19" s="13"/>
      <c r="G19" s="16" t="b">
        <v>1</v>
      </c>
      <c r="H19" s="16" t="b">
        <v>1</v>
      </c>
      <c r="I19" s="16" t="b">
        <v>0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1</v>
      </c>
      <c r="AF19" s="16" t="b">
        <v>1</v>
      </c>
      <c r="AG19" s="16" t="b">
        <v>1</v>
      </c>
      <c r="AH19" s="16" t="b">
        <v>1</v>
      </c>
      <c r="AI19" s="16" t="b">
        <v>1</v>
      </c>
      <c r="AJ19" s="16" t="b">
        <v>0</v>
      </c>
      <c r="AK19" s="16" t="b">
        <v>0</v>
      </c>
      <c r="AL19" s="17" t="str">
        <f t="shared" si="2"/>
        <v>17 dari 30 (57%)</v>
      </c>
    </row>
    <row r="20" ht="22.5" customHeight="1">
      <c r="A20" s="2">
        <v>19.0</v>
      </c>
      <c r="B20" s="18"/>
      <c r="C20" s="20">
        <v>58364.0</v>
      </c>
      <c r="D20" s="12" t="s">
        <v>175</v>
      </c>
      <c r="E20" s="12" t="s">
        <v>56</v>
      </c>
      <c r="F20" s="13"/>
      <c r="G20" s="6" t="b">
        <v>1</v>
      </c>
      <c r="H20" s="6" t="b">
        <v>1</v>
      </c>
      <c r="I20" s="6" t="b">
        <v>1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1</v>
      </c>
      <c r="AJ20" s="6" t="b">
        <v>0</v>
      </c>
      <c r="AK20" s="6" t="b">
        <v>0</v>
      </c>
      <c r="AL20" s="9" t="str">
        <f t="shared" si="2"/>
        <v>14 dari 30 (47%)</v>
      </c>
    </row>
    <row r="21" ht="22.5" customHeight="1">
      <c r="A21" s="10">
        <v>20.0</v>
      </c>
      <c r="B21" s="11"/>
      <c r="C21" s="20">
        <v>61328.0</v>
      </c>
      <c r="D21" s="12" t="s">
        <v>175</v>
      </c>
      <c r="E21" s="12" t="s">
        <v>56</v>
      </c>
      <c r="F21" s="13"/>
      <c r="G21" s="16" t="b">
        <v>1</v>
      </c>
      <c r="H21" s="16" t="b">
        <v>1</v>
      </c>
      <c r="I21" s="16" t="b">
        <v>1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1</v>
      </c>
      <c r="AJ21" s="16" t="b">
        <v>0</v>
      </c>
      <c r="AK21" s="16" t="b">
        <v>0</v>
      </c>
      <c r="AL21" s="17" t="str">
        <f t="shared" si="2"/>
        <v>14 dari 30 (47%)</v>
      </c>
    </row>
    <row r="22" ht="22.5" customHeight="1">
      <c r="A22" s="2">
        <v>21.0</v>
      </c>
      <c r="B22" s="18"/>
      <c r="C22" s="20">
        <v>61348.0</v>
      </c>
      <c r="D22" s="12" t="s">
        <v>52</v>
      </c>
      <c r="E22" s="12" t="s">
        <v>51</v>
      </c>
      <c r="F22" s="15" t="s">
        <v>50</v>
      </c>
      <c r="G22" s="6" t="b">
        <v>1</v>
      </c>
      <c r="H22" s="6" t="b">
        <v>0</v>
      </c>
      <c r="I22" s="6" t="b">
        <v>0</v>
      </c>
      <c r="J22" s="6" t="b">
        <v>0</v>
      </c>
      <c r="K22" s="6" t="b">
        <v>1</v>
      </c>
      <c r="L22" s="6" t="b">
        <v>1</v>
      </c>
      <c r="M22" s="6" t="b">
        <v>1</v>
      </c>
      <c r="N22" s="6" t="b">
        <v>1</v>
      </c>
      <c r="O22" s="6" t="b">
        <v>1</v>
      </c>
      <c r="P22" s="6" t="b">
        <v>1</v>
      </c>
      <c r="Q22" s="6" t="b">
        <v>1</v>
      </c>
      <c r="R22" s="6" t="b">
        <v>1</v>
      </c>
      <c r="S22" s="6" t="b">
        <v>1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1</v>
      </c>
      <c r="AJ22" s="6" t="b">
        <v>0</v>
      </c>
      <c r="AK22" s="6" t="b">
        <v>0</v>
      </c>
      <c r="AL22" s="9" t="str">
        <f t="shared" ref="AL22:AL69" si="3">COUNTIF(G22:AK22, TRUE()) &amp; " dari " &amp; COLUMNS(G22:AK22) &amp; " (" &amp; TEXT(COUNTIF(G22:AK22, TRUE())/COLUMNS(G22:AK22),"0%") &amp; ")"</f>
        <v>11 dari 31 (35%)</v>
      </c>
    </row>
    <row r="23" ht="22.5" customHeight="1">
      <c r="A23" s="10">
        <v>22.0</v>
      </c>
      <c r="B23" s="11"/>
      <c r="C23" s="20">
        <v>58469.0</v>
      </c>
      <c r="D23" s="12" t="s">
        <v>60</v>
      </c>
      <c r="E23" s="12" t="s">
        <v>56</v>
      </c>
      <c r="F23" s="13"/>
      <c r="G23" s="16" t="b">
        <v>1</v>
      </c>
      <c r="H23" s="16" t="b">
        <v>1</v>
      </c>
      <c r="I23" s="16" t="b">
        <v>1</v>
      </c>
      <c r="J23" s="16" t="b">
        <v>1</v>
      </c>
      <c r="K23" s="16" t="b">
        <v>1</v>
      </c>
      <c r="L23" s="16" t="b">
        <v>1</v>
      </c>
      <c r="M23" s="16" t="b">
        <v>1</v>
      </c>
      <c r="N23" s="16" t="b">
        <v>1</v>
      </c>
      <c r="O23" s="16" t="b">
        <v>1</v>
      </c>
      <c r="P23" s="16" t="b">
        <v>1</v>
      </c>
      <c r="Q23" s="16" t="b">
        <v>1</v>
      </c>
      <c r="R23" s="16" t="b">
        <v>1</v>
      </c>
      <c r="S23" s="16" t="b">
        <v>1</v>
      </c>
      <c r="T23" s="16" t="b">
        <v>0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1</v>
      </c>
      <c r="AJ23" s="16" t="b">
        <v>0</v>
      </c>
      <c r="AK23" s="16" t="b">
        <v>0</v>
      </c>
      <c r="AL23" s="17" t="str">
        <f t="shared" si="3"/>
        <v>14 dari 31 (45%)</v>
      </c>
    </row>
    <row r="24" ht="22.5" customHeight="1">
      <c r="A24" s="2">
        <v>23.0</v>
      </c>
      <c r="B24" s="18"/>
      <c r="C24" s="20">
        <v>61265.0</v>
      </c>
      <c r="D24" s="12" t="s">
        <v>69</v>
      </c>
      <c r="E24" s="12" t="s">
        <v>68</v>
      </c>
      <c r="F24" s="13"/>
      <c r="G24" s="6" t="b">
        <v>1</v>
      </c>
      <c r="H24" s="6" t="b">
        <v>1</v>
      </c>
      <c r="I24" s="6" t="b">
        <v>1</v>
      </c>
      <c r="J24" s="6" t="b">
        <v>1</v>
      </c>
      <c r="K24" s="6" t="b">
        <v>1</v>
      </c>
      <c r="L24" s="6" t="b">
        <v>1</v>
      </c>
      <c r="M24" s="6" t="b">
        <v>1</v>
      </c>
      <c r="N24" s="6" t="b">
        <v>1</v>
      </c>
      <c r="O24" s="6" t="b">
        <v>1</v>
      </c>
      <c r="P24" s="6" t="b">
        <v>1</v>
      </c>
      <c r="Q24" s="6" t="b">
        <v>1</v>
      </c>
      <c r="R24" s="6" t="b">
        <v>1</v>
      </c>
      <c r="S24" s="6" t="b">
        <v>1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1</v>
      </c>
      <c r="AJ24" s="6" t="b">
        <v>0</v>
      </c>
      <c r="AK24" s="6" t="b">
        <v>0</v>
      </c>
      <c r="AL24" s="9" t="str">
        <f t="shared" si="3"/>
        <v>15 dari 31 (48%)</v>
      </c>
    </row>
    <row r="25" ht="22.5" customHeight="1">
      <c r="A25" s="10">
        <v>24.0</v>
      </c>
      <c r="B25" s="11"/>
      <c r="C25" s="20">
        <v>61349.0</v>
      </c>
      <c r="D25" s="12" t="s">
        <v>119</v>
      </c>
      <c r="E25" s="12" t="s">
        <v>51</v>
      </c>
      <c r="F25" s="15" t="s">
        <v>50</v>
      </c>
      <c r="G25" s="16" t="b">
        <v>1</v>
      </c>
      <c r="H25" s="16" t="b">
        <v>0</v>
      </c>
      <c r="I25" s="16" t="b">
        <v>0</v>
      </c>
      <c r="J25" s="16" t="b">
        <v>0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0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1</v>
      </c>
      <c r="AA25" s="16" t="b">
        <v>1</v>
      </c>
      <c r="AB25" s="16" t="b">
        <v>1</v>
      </c>
      <c r="AC25" s="16" t="b">
        <v>1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1</v>
      </c>
      <c r="AJ25" s="16" t="b">
        <v>0</v>
      </c>
      <c r="AK25" s="16" t="b">
        <v>0</v>
      </c>
      <c r="AL25" s="17" t="str">
        <f t="shared" si="3"/>
        <v>15 dari 31 (48%)</v>
      </c>
    </row>
    <row r="26" ht="22.5" customHeight="1">
      <c r="A26" s="2">
        <v>25.0</v>
      </c>
      <c r="B26" s="18"/>
      <c r="C26" s="20">
        <v>61350.0</v>
      </c>
      <c r="D26" s="12" t="s">
        <v>57</v>
      </c>
      <c r="E26" s="12" t="s">
        <v>39</v>
      </c>
      <c r="F26" s="13"/>
      <c r="G26" s="6" t="b">
        <v>1</v>
      </c>
      <c r="H26" s="6" t="b">
        <v>1</v>
      </c>
      <c r="I26" s="6" t="b">
        <v>1</v>
      </c>
      <c r="J26" s="6" t="b">
        <v>1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1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1</v>
      </c>
      <c r="AJ26" s="6" t="b">
        <v>0</v>
      </c>
      <c r="AK26" s="6" t="b">
        <v>0</v>
      </c>
      <c r="AL26" s="9" t="str">
        <f t="shared" si="3"/>
        <v>15 dari 31 (48%)</v>
      </c>
    </row>
    <row r="27" ht="22.5" customHeight="1">
      <c r="A27" s="10">
        <v>26.0</v>
      </c>
      <c r="B27" s="11"/>
      <c r="C27" s="22">
        <v>60522.0</v>
      </c>
      <c r="D27" s="12" t="s">
        <v>57</v>
      </c>
      <c r="E27" s="12" t="s">
        <v>39</v>
      </c>
      <c r="F27" s="13"/>
      <c r="G27" s="16" t="b">
        <v>1</v>
      </c>
      <c r="H27" s="6" t="b">
        <v>1</v>
      </c>
      <c r="I27" s="6" t="b">
        <v>1</v>
      </c>
      <c r="J27" s="6" t="b">
        <v>1</v>
      </c>
      <c r="K27" s="16" t="b">
        <v>1</v>
      </c>
      <c r="L27" s="16" t="b">
        <v>1</v>
      </c>
      <c r="M27" s="16" t="b">
        <v>1</v>
      </c>
      <c r="N27" s="16" t="b">
        <v>1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3"/>
        <v>14 dari 31 (45%)</v>
      </c>
    </row>
    <row r="28" ht="22.5" customHeight="1">
      <c r="A28" s="2">
        <v>27.0</v>
      </c>
      <c r="B28" s="18"/>
      <c r="C28" s="22">
        <v>61351.0</v>
      </c>
      <c r="D28" s="12" t="s">
        <v>57</v>
      </c>
      <c r="E28" s="12" t="s">
        <v>39</v>
      </c>
      <c r="F28" s="13"/>
      <c r="G28" s="6" t="b">
        <v>1</v>
      </c>
      <c r="H28" s="6" t="b">
        <v>1</v>
      </c>
      <c r="I28" s="6" t="b">
        <v>1</v>
      </c>
      <c r="J28" s="6" t="b">
        <v>1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1</v>
      </c>
      <c r="AA28" s="6" t="b">
        <v>1</v>
      </c>
      <c r="AB28" s="6" t="b">
        <v>1</v>
      </c>
      <c r="AC28" s="6" t="b">
        <v>1</v>
      </c>
      <c r="AD28" s="6" t="b">
        <v>1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1</v>
      </c>
      <c r="AJ28" s="6" t="b">
        <v>0</v>
      </c>
      <c r="AK28" s="6" t="b">
        <v>0</v>
      </c>
      <c r="AL28" s="9" t="str">
        <f t="shared" si="3"/>
        <v>20 dari 31 (65%)</v>
      </c>
    </row>
    <row r="29" ht="22.5" customHeight="1">
      <c r="A29" s="109">
        <v>28.0</v>
      </c>
      <c r="B29" s="110"/>
      <c r="C29" s="111">
        <v>61352.0</v>
      </c>
      <c r="D29" s="103" t="s">
        <v>57</v>
      </c>
      <c r="E29" s="103" t="s">
        <v>39</v>
      </c>
      <c r="F29" s="104"/>
      <c r="G29" s="126" t="b">
        <v>1</v>
      </c>
      <c r="H29" s="6" t="b">
        <v>1</v>
      </c>
      <c r="I29" s="6" t="b">
        <v>1</v>
      </c>
      <c r="J29" s="6" t="b">
        <v>1</v>
      </c>
      <c r="K29" s="126" t="b">
        <v>1</v>
      </c>
      <c r="L29" s="126" t="b">
        <v>1</v>
      </c>
      <c r="M29" s="126" t="b">
        <v>1</v>
      </c>
      <c r="N29" s="126" t="b">
        <v>1</v>
      </c>
      <c r="O29" s="126" t="b">
        <v>1</v>
      </c>
      <c r="P29" s="126" t="b">
        <v>1</v>
      </c>
      <c r="Q29" s="126" t="b">
        <v>1</v>
      </c>
      <c r="R29" s="126" t="b">
        <v>1</v>
      </c>
      <c r="S29" s="126" t="b">
        <v>1</v>
      </c>
      <c r="T29" s="126" t="b">
        <v>1</v>
      </c>
      <c r="U29" s="126" t="b">
        <v>0</v>
      </c>
      <c r="V29" s="126" t="b">
        <v>0</v>
      </c>
      <c r="W29" s="126" t="b">
        <v>0</v>
      </c>
      <c r="X29" s="126" t="b">
        <v>0</v>
      </c>
      <c r="Y29" s="126" t="b">
        <v>0</v>
      </c>
      <c r="Z29" s="126" t="b">
        <v>1</v>
      </c>
      <c r="AA29" s="126" t="b">
        <v>1</v>
      </c>
      <c r="AB29" s="126" t="b">
        <v>1</v>
      </c>
      <c r="AC29" s="126" t="b">
        <v>1</v>
      </c>
      <c r="AD29" s="126" t="b">
        <v>0</v>
      </c>
      <c r="AE29" s="126" t="b">
        <v>0</v>
      </c>
      <c r="AF29" s="126" t="b">
        <v>0</v>
      </c>
      <c r="AG29" s="126" t="b">
        <v>0</v>
      </c>
      <c r="AH29" s="126" t="b">
        <v>0</v>
      </c>
      <c r="AI29" s="126" t="b">
        <v>1</v>
      </c>
      <c r="AJ29" s="126" t="b">
        <v>0</v>
      </c>
      <c r="AK29" s="126" t="b">
        <v>0</v>
      </c>
      <c r="AL29" s="127" t="str">
        <f t="shared" si="3"/>
        <v>19 dari 31 (61%)</v>
      </c>
    </row>
    <row r="30" ht="22.5" customHeight="1">
      <c r="A30" s="2">
        <v>29.0</v>
      </c>
      <c r="B30" s="18"/>
      <c r="C30" s="22">
        <v>61324.0</v>
      </c>
      <c r="D30" s="12" t="s">
        <v>131</v>
      </c>
      <c r="E30" s="12" t="s">
        <v>98</v>
      </c>
      <c r="F30" s="13"/>
      <c r="G30" s="6" t="b">
        <v>1</v>
      </c>
      <c r="H30" s="6" t="b">
        <v>1</v>
      </c>
      <c r="I30" s="6" t="b">
        <v>0</v>
      </c>
      <c r="J30" s="6" t="b">
        <v>1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1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3"/>
        <v>13 dari 31 (42%)</v>
      </c>
    </row>
    <row r="31" ht="22.5" customHeight="1">
      <c r="A31" s="10">
        <v>30.0</v>
      </c>
      <c r="B31" s="11"/>
      <c r="C31" s="22">
        <v>35006.0</v>
      </c>
      <c r="D31" s="12" t="s">
        <v>131</v>
      </c>
      <c r="E31" s="12" t="s">
        <v>98</v>
      </c>
      <c r="F31" s="13"/>
      <c r="G31" s="16" t="b">
        <v>1</v>
      </c>
      <c r="H31" s="6" t="b">
        <v>1</v>
      </c>
      <c r="I31" s="16" t="b">
        <v>0</v>
      </c>
      <c r="J31" s="16" t="b">
        <v>1</v>
      </c>
      <c r="K31" s="16" t="b">
        <v>1</v>
      </c>
      <c r="L31" s="16" t="b">
        <v>1</v>
      </c>
      <c r="M31" s="16" t="b">
        <v>1</v>
      </c>
      <c r="N31" s="16" t="b">
        <v>1</v>
      </c>
      <c r="O31" s="16" t="b">
        <v>1</v>
      </c>
      <c r="P31" s="16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7" t="str">
        <f t="shared" si="3"/>
        <v>13 dari 31 (42%)</v>
      </c>
    </row>
    <row r="32" ht="22.5" customHeight="1">
      <c r="A32" s="2">
        <v>31.0</v>
      </c>
      <c r="B32" s="18"/>
      <c r="C32" s="20">
        <v>50944.0</v>
      </c>
      <c r="D32" s="12" t="s">
        <v>175</v>
      </c>
      <c r="E32" s="12" t="s">
        <v>56</v>
      </c>
      <c r="F32" s="13"/>
      <c r="G32" s="6" t="b">
        <v>1</v>
      </c>
      <c r="H32" s="6" t="b">
        <v>1</v>
      </c>
      <c r="I32" s="6" t="b">
        <v>1</v>
      </c>
      <c r="J32" s="6" t="b">
        <v>1</v>
      </c>
      <c r="K32" s="16" t="b">
        <v>1</v>
      </c>
      <c r="L32" s="16" t="b">
        <v>1</v>
      </c>
      <c r="M32" s="16" t="b">
        <v>1</v>
      </c>
      <c r="N32" s="16" t="b">
        <v>1</v>
      </c>
      <c r="O32" s="16" t="b">
        <v>1</v>
      </c>
      <c r="P32" s="16" t="b">
        <v>1</v>
      </c>
      <c r="Q32" s="16" t="b">
        <v>1</v>
      </c>
      <c r="R32" s="16" t="b">
        <v>1</v>
      </c>
      <c r="S32" s="16" t="b">
        <v>1</v>
      </c>
      <c r="T32" s="16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1</v>
      </c>
      <c r="AJ32" s="6" t="b">
        <v>0</v>
      </c>
      <c r="AK32" s="6" t="b">
        <v>0</v>
      </c>
      <c r="AL32" s="9" t="str">
        <f t="shared" si="3"/>
        <v>15 dari 31 (48%)</v>
      </c>
    </row>
    <row r="33" ht="22.5" customHeight="1">
      <c r="A33" s="10">
        <v>32.0</v>
      </c>
      <c r="B33" s="11"/>
      <c r="C33" s="20">
        <v>60528.0</v>
      </c>
      <c r="D33" s="12" t="s">
        <v>64</v>
      </c>
      <c r="E33" s="12" t="s">
        <v>56</v>
      </c>
      <c r="F33" s="13"/>
      <c r="G33" s="16" t="b">
        <v>1</v>
      </c>
      <c r="H33" s="16" t="b">
        <v>1</v>
      </c>
      <c r="I33" s="16" t="b">
        <v>1</v>
      </c>
      <c r="J33" s="16" t="b">
        <v>1</v>
      </c>
      <c r="K33" s="16" t="b">
        <v>1</v>
      </c>
      <c r="L33" s="16" t="b">
        <v>1</v>
      </c>
      <c r="M33" s="16" t="b">
        <v>1</v>
      </c>
      <c r="N33" s="16" t="b">
        <v>1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1</v>
      </c>
      <c r="AJ33" s="16" t="b">
        <v>0</v>
      </c>
      <c r="AK33" s="16" t="b">
        <v>0</v>
      </c>
      <c r="AL33" s="17" t="str">
        <f t="shared" si="3"/>
        <v>15 dari 31 (48%)</v>
      </c>
    </row>
    <row r="34" ht="22.5" customHeight="1">
      <c r="A34" s="2">
        <v>33.0</v>
      </c>
      <c r="B34" s="18"/>
      <c r="C34" s="22">
        <v>60539.0</v>
      </c>
      <c r="D34" s="12" t="s">
        <v>69</v>
      </c>
      <c r="E34" s="12" t="s">
        <v>68</v>
      </c>
      <c r="F34" s="13"/>
      <c r="G34" s="6" t="b">
        <v>1</v>
      </c>
      <c r="H34" s="6" t="b">
        <v>1</v>
      </c>
      <c r="I34" s="6" t="b">
        <v>1</v>
      </c>
      <c r="J34" s="6" t="b">
        <v>1</v>
      </c>
      <c r="K34" s="16" t="b">
        <v>1</v>
      </c>
      <c r="L34" s="16" t="b">
        <v>1</v>
      </c>
      <c r="M34" s="16" t="b">
        <v>1</v>
      </c>
      <c r="N34" s="16" t="b">
        <v>1</v>
      </c>
      <c r="O34" s="16" t="b">
        <v>1</v>
      </c>
      <c r="P34" s="16" t="b">
        <v>1</v>
      </c>
      <c r="Q34" s="16" t="b">
        <v>1</v>
      </c>
      <c r="R34" s="16" t="b">
        <v>1</v>
      </c>
      <c r="S34" s="16" t="b">
        <v>1</v>
      </c>
      <c r="T34" s="1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3"/>
        <v>15 dari 31 (48%)</v>
      </c>
    </row>
    <row r="35" ht="22.5" customHeight="1">
      <c r="A35" s="10">
        <v>34.0</v>
      </c>
      <c r="B35" s="11"/>
      <c r="C35" s="20">
        <v>56910.0</v>
      </c>
      <c r="D35" s="12" t="s">
        <v>69</v>
      </c>
      <c r="E35" s="12" t="s">
        <v>68</v>
      </c>
      <c r="F35" s="13"/>
      <c r="G35" s="16" t="b">
        <v>1</v>
      </c>
      <c r="H35" s="16" t="b">
        <v>1</v>
      </c>
      <c r="I35" s="16" t="b">
        <v>1</v>
      </c>
      <c r="J35" s="16" t="b">
        <v>1</v>
      </c>
      <c r="K35" s="16" t="b">
        <v>1</v>
      </c>
      <c r="L35" s="16" t="b">
        <v>1</v>
      </c>
      <c r="M35" s="16" t="b">
        <v>1</v>
      </c>
      <c r="N35" s="16" t="b">
        <v>1</v>
      </c>
      <c r="O35" s="16" t="b">
        <v>1</v>
      </c>
      <c r="P35" s="16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1</v>
      </c>
      <c r="AJ35" s="16" t="b">
        <v>0</v>
      </c>
      <c r="AK35" s="16" t="b">
        <v>0</v>
      </c>
      <c r="AL35" s="17" t="str">
        <f t="shared" si="3"/>
        <v>15 dari 31 (48%)</v>
      </c>
    </row>
    <row r="36" ht="22.5" customHeight="1">
      <c r="A36" s="2">
        <v>35.0</v>
      </c>
      <c r="B36" s="18"/>
      <c r="C36" s="20">
        <v>54903.0</v>
      </c>
      <c r="D36" s="12" t="s">
        <v>57</v>
      </c>
      <c r="E36" s="12" t="s">
        <v>39</v>
      </c>
      <c r="F36" s="13"/>
      <c r="G36" s="6" t="b">
        <v>1</v>
      </c>
      <c r="H36" s="6" t="b">
        <v>1</v>
      </c>
      <c r="I36" s="6" t="b">
        <v>0</v>
      </c>
      <c r="J36" s="6" t="b">
        <v>1</v>
      </c>
      <c r="K36" s="16" t="b">
        <v>1</v>
      </c>
      <c r="L36" s="16" t="b">
        <v>1</v>
      </c>
      <c r="M36" s="16" t="b">
        <v>1</v>
      </c>
      <c r="N36" s="16" t="b">
        <v>1</v>
      </c>
      <c r="O36" s="16" t="b">
        <v>1</v>
      </c>
      <c r="P36" s="16" t="b">
        <v>1</v>
      </c>
      <c r="Q36" s="16" t="b">
        <v>1</v>
      </c>
      <c r="R36" s="16" t="b">
        <v>1</v>
      </c>
      <c r="S36" s="16" t="b">
        <v>1</v>
      </c>
      <c r="T36" s="1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0</v>
      </c>
      <c r="AJ36" s="6" t="b">
        <v>0</v>
      </c>
      <c r="AK36" s="6" t="b">
        <v>0</v>
      </c>
      <c r="AL36" s="9" t="str">
        <f t="shared" si="3"/>
        <v>13 dari 31 (42%)</v>
      </c>
    </row>
    <row r="37" ht="22.5" customHeight="1">
      <c r="A37" s="10">
        <v>36.0</v>
      </c>
      <c r="B37" s="11"/>
      <c r="C37" s="22">
        <v>61308.0</v>
      </c>
      <c r="D37" s="12" t="s">
        <v>125</v>
      </c>
      <c r="E37" s="12" t="s">
        <v>53</v>
      </c>
      <c r="F37" s="13"/>
      <c r="G37" s="16" t="b">
        <v>1</v>
      </c>
      <c r="H37" s="16" t="b">
        <v>1</v>
      </c>
      <c r="I37" s="16" t="b">
        <v>1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1</v>
      </c>
      <c r="AA37" s="16" t="b">
        <v>1</v>
      </c>
      <c r="AB37" s="16" t="b">
        <v>0</v>
      </c>
      <c r="AC37" s="16" t="b">
        <v>0</v>
      </c>
      <c r="AD37" s="16" t="b">
        <v>1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3"/>
        <v>18 dari 31 (58%)</v>
      </c>
    </row>
    <row r="38" ht="22.5" customHeight="1">
      <c r="A38" s="2">
        <v>37.0</v>
      </c>
      <c r="B38" s="18"/>
      <c r="C38" s="22">
        <v>61354.0</v>
      </c>
      <c r="D38" s="12" t="s">
        <v>48</v>
      </c>
      <c r="E38" s="12" t="s">
        <v>41</v>
      </c>
      <c r="F38" s="86" t="s">
        <v>105</v>
      </c>
      <c r="G38" s="6" t="b">
        <v>0</v>
      </c>
      <c r="H38" s="6" t="b">
        <v>0</v>
      </c>
      <c r="I38" s="6" t="b">
        <v>0</v>
      </c>
      <c r="J38" s="6" t="b">
        <v>0</v>
      </c>
      <c r="K38" s="6" t="b">
        <v>0</v>
      </c>
      <c r="L38" s="6" t="b">
        <v>0</v>
      </c>
      <c r="M38" s="6" t="b">
        <v>0</v>
      </c>
      <c r="N38" s="6" t="b">
        <v>0</v>
      </c>
      <c r="O38" s="6" t="b">
        <v>0</v>
      </c>
      <c r="P38" s="6" t="b">
        <v>0</v>
      </c>
      <c r="Q38" s="6" t="b">
        <v>0</v>
      </c>
      <c r="R38" s="6" t="b">
        <v>0</v>
      </c>
      <c r="S38" s="6" t="b">
        <v>0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3"/>
        <v>0 dari 31 (0%)</v>
      </c>
    </row>
    <row r="39" ht="22.5" customHeight="1">
      <c r="A39" s="10">
        <v>38.0</v>
      </c>
      <c r="B39" s="11"/>
      <c r="C39" s="22">
        <v>47141.0</v>
      </c>
      <c r="D39" s="12" t="s">
        <v>57</v>
      </c>
      <c r="E39" s="12" t="s">
        <v>39</v>
      </c>
      <c r="F39" s="13"/>
      <c r="G39" s="16" t="b">
        <v>1</v>
      </c>
      <c r="H39" s="16" t="b">
        <v>1</v>
      </c>
      <c r="I39" s="16" t="b">
        <v>0</v>
      </c>
      <c r="J39" s="16" t="b">
        <v>1</v>
      </c>
      <c r="K39" s="16" t="b">
        <v>1</v>
      </c>
      <c r="L39" s="16" t="b">
        <v>1</v>
      </c>
      <c r="M39" s="16" t="b">
        <v>1</v>
      </c>
      <c r="N39" s="16" t="b">
        <v>1</v>
      </c>
      <c r="O39" s="16" t="b">
        <v>1</v>
      </c>
      <c r="P39" s="16" t="b">
        <v>1</v>
      </c>
      <c r="Q39" s="16" t="b">
        <v>1</v>
      </c>
      <c r="R39" s="16" t="b">
        <v>1</v>
      </c>
      <c r="S39" s="16" t="b">
        <v>1</v>
      </c>
      <c r="T39" s="16" t="b">
        <v>1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3"/>
        <v>13 dari 31 (42%)</v>
      </c>
    </row>
    <row r="40" ht="22.5" customHeight="1">
      <c r="A40" s="2">
        <v>39.0</v>
      </c>
      <c r="B40" s="18"/>
      <c r="C40" s="22">
        <v>59153.0</v>
      </c>
      <c r="D40" s="12" t="s">
        <v>174</v>
      </c>
      <c r="E40" s="12" t="s">
        <v>54</v>
      </c>
      <c r="F40" s="15" t="s">
        <v>50</v>
      </c>
      <c r="G40" s="6" t="b">
        <v>1</v>
      </c>
      <c r="H40" s="6" t="b">
        <v>0</v>
      </c>
      <c r="I40" s="6" t="b">
        <v>0</v>
      </c>
      <c r="J40" s="6" t="b">
        <v>0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0</v>
      </c>
      <c r="AJ40" s="6" t="b">
        <v>0</v>
      </c>
      <c r="AK40" s="6" t="b">
        <v>0</v>
      </c>
      <c r="AL40" s="9" t="str">
        <f t="shared" si="3"/>
        <v>10 dari 31 (32%)</v>
      </c>
    </row>
    <row r="41" ht="22.5" customHeight="1">
      <c r="A41" s="10">
        <v>40.0</v>
      </c>
      <c r="B41" s="11"/>
      <c r="C41" s="22">
        <v>56968.0</v>
      </c>
      <c r="D41" s="12" t="s">
        <v>155</v>
      </c>
      <c r="E41" s="12" t="s">
        <v>54</v>
      </c>
      <c r="F41" s="15" t="s">
        <v>50</v>
      </c>
      <c r="G41" s="16" t="b">
        <v>1</v>
      </c>
      <c r="H41" s="16" t="b">
        <v>0</v>
      </c>
      <c r="I41" s="16" t="b">
        <v>0</v>
      </c>
      <c r="J41" s="16" t="b">
        <v>0</v>
      </c>
      <c r="K41" s="16" t="b">
        <v>1</v>
      </c>
      <c r="L41" s="16" t="b">
        <v>1</v>
      </c>
      <c r="M41" s="16" t="b">
        <v>1</v>
      </c>
      <c r="N41" s="16" t="b">
        <v>1</v>
      </c>
      <c r="O41" s="16" t="b">
        <v>1</v>
      </c>
      <c r="P41" s="16" t="b">
        <v>1</v>
      </c>
      <c r="Q41" s="16" t="b">
        <v>1</v>
      </c>
      <c r="R41" s="16" t="b">
        <v>1</v>
      </c>
      <c r="S41" s="16" t="b">
        <v>1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7" t="str">
        <f t="shared" si="3"/>
        <v>10 dari 31 (32%)</v>
      </c>
    </row>
    <row r="42" ht="22.5" customHeight="1">
      <c r="A42" s="2">
        <v>41.0</v>
      </c>
      <c r="B42" s="18"/>
      <c r="C42" s="20">
        <v>60219.0</v>
      </c>
      <c r="D42" s="12" t="s">
        <v>54</v>
      </c>
      <c r="E42" s="12" t="s">
        <v>174</v>
      </c>
      <c r="F42" s="15" t="s">
        <v>50</v>
      </c>
      <c r="G42" s="6" t="b">
        <v>1</v>
      </c>
      <c r="H42" s="6" t="b">
        <v>0</v>
      </c>
      <c r="I42" s="6" t="b">
        <v>0</v>
      </c>
      <c r="J42" s="6" t="b">
        <v>0</v>
      </c>
      <c r="K42" s="6" t="b">
        <v>1</v>
      </c>
      <c r="L42" s="6" t="b">
        <v>1</v>
      </c>
      <c r="M42" s="6" t="b">
        <v>1</v>
      </c>
      <c r="N42" s="6" t="b">
        <v>1</v>
      </c>
      <c r="O42" s="6" t="b">
        <v>1</v>
      </c>
      <c r="P42" s="6" t="b">
        <v>1</v>
      </c>
      <c r="Q42" s="6" t="b">
        <v>1</v>
      </c>
      <c r="R42" s="6" t="b">
        <v>1</v>
      </c>
      <c r="S42" s="6" t="b">
        <v>1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3"/>
        <v>10 dari 31 (32%)</v>
      </c>
    </row>
    <row r="43" ht="22.5" customHeight="1">
      <c r="A43" s="10">
        <v>42.0</v>
      </c>
      <c r="B43" s="11"/>
      <c r="C43" s="20">
        <v>61170.0</v>
      </c>
      <c r="D43" s="12" t="s">
        <v>54</v>
      </c>
      <c r="E43" s="12" t="s">
        <v>174</v>
      </c>
      <c r="F43" s="15" t="s">
        <v>50</v>
      </c>
      <c r="G43" s="16" t="b">
        <v>1</v>
      </c>
      <c r="H43" s="16" t="b">
        <v>0</v>
      </c>
      <c r="I43" s="16" t="b">
        <v>0</v>
      </c>
      <c r="J43" s="16" t="b">
        <v>0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3"/>
        <v>10 dari 31 (32%)</v>
      </c>
    </row>
    <row r="44" ht="22.5" customHeight="1">
      <c r="A44" s="2">
        <v>43.0</v>
      </c>
      <c r="B44" s="18"/>
      <c r="C44" s="20">
        <v>58504.0</v>
      </c>
      <c r="D44" s="12" t="s">
        <v>54</v>
      </c>
      <c r="E44" s="12" t="s">
        <v>155</v>
      </c>
      <c r="F44" s="27" t="s">
        <v>105</v>
      </c>
      <c r="G44" s="6" t="b">
        <v>0</v>
      </c>
      <c r="H44" s="6" t="b">
        <v>0</v>
      </c>
      <c r="I44" s="6" t="b">
        <v>0</v>
      </c>
      <c r="J44" s="6" t="b">
        <v>0</v>
      </c>
      <c r="K44" s="6" t="b">
        <v>0</v>
      </c>
      <c r="L44" s="6" t="b">
        <v>0</v>
      </c>
      <c r="M44" s="6" t="b">
        <v>0</v>
      </c>
      <c r="N44" s="6" t="b">
        <v>0</v>
      </c>
      <c r="O44" s="6" t="b">
        <v>0</v>
      </c>
      <c r="P44" s="6" t="b">
        <v>0</v>
      </c>
      <c r="Q44" s="6" t="b">
        <v>0</v>
      </c>
      <c r="R44" s="6" t="b">
        <v>0</v>
      </c>
      <c r="S44" s="6" t="b">
        <v>0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3"/>
        <v>0 dari 31 (0%)</v>
      </c>
    </row>
    <row r="45" ht="22.5" customHeight="1">
      <c r="A45" s="10">
        <v>44.0</v>
      </c>
      <c r="B45" s="11"/>
      <c r="C45" s="22">
        <v>53702.0</v>
      </c>
      <c r="D45" s="12" t="s">
        <v>54</v>
      </c>
      <c r="E45" s="12" t="s">
        <v>155</v>
      </c>
      <c r="F45" s="15" t="s">
        <v>50</v>
      </c>
      <c r="G45" s="16" t="b">
        <v>1</v>
      </c>
      <c r="H45" s="16" t="b">
        <v>0</v>
      </c>
      <c r="I45" s="16" t="b">
        <v>0</v>
      </c>
      <c r="J45" s="16" t="b">
        <v>0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0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7" t="str">
        <f t="shared" si="3"/>
        <v>10 dari 31 (32%)</v>
      </c>
    </row>
    <row r="46" ht="22.5" customHeight="1">
      <c r="A46" s="2">
        <v>45.0</v>
      </c>
      <c r="B46" s="18"/>
      <c r="C46" s="22">
        <v>60045.0</v>
      </c>
      <c r="D46" s="12" t="s">
        <v>54</v>
      </c>
      <c r="E46" s="12" t="s">
        <v>155</v>
      </c>
      <c r="F46" s="15" t="s">
        <v>50</v>
      </c>
      <c r="G46" s="6" t="b">
        <v>1</v>
      </c>
      <c r="H46" s="6" t="b">
        <v>0</v>
      </c>
      <c r="I46" s="6" t="b">
        <v>0</v>
      </c>
      <c r="J46" s="6" t="b">
        <v>1</v>
      </c>
      <c r="K46" s="6" t="b">
        <v>1</v>
      </c>
      <c r="L46" s="6" t="b">
        <v>1</v>
      </c>
      <c r="M46" s="6" t="b">
        <v>1</v>
      </c>
      <c r="N46" s="6" t="b">
        <v>1</v>
      </c>
      <c r="O46" s="6" t="b">
        <v>1</v>
      </c>
      <c r="P46" s="6" t="b">
        <v>1</v>
      </c>
      <c r="Q46" s="6" t="b">
        <v>1</v>
      </c>
      <c r="R46" s="6" t="b">
        <v>1</v>
      </c>
      <c r="S46" s="6" t="b">
        <v>1</v>
      </c>
      <c r="T46" s="6" t="b">
        <v>0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3"/>
        <v>11 dari 31 (35%)</v>
      </c>
    </row>
    <row r="47" ht="22.5" customHeight="1">
      <c r="A47" s="10">
        <v>46.0</v>
      </c>
      <c r="B47" s="11"/>
      <c r="C47" s="20">
        <v>44349.0</v>
      </c>
      <c r="D47" s="12" t="s">
        <v>41</v>
      </c>
      <c r="E47" s="12" t="s">
        <v>48</v>
      </c>
      <c r="F47" s="15" t="s">
        <v>50</v>
      </c>
      <c r="G47" s="16" t="b">
        <v>1</v>
      </c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6" t="b">
        <v>0</v>
      </c>
      <c r="R47" s="16" t="b">
        <v>0</v>
      </c>
      <c r="S47" s="16" t="b">
        <v>0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7" t="str">
        <f t="shared" si="3"/>
        <v>1 dari 31 (3%)</v>
      </c>
    </row>
    <row r="48" ht="22.5" customHeight="1">
      <c r="A48" s="10">
        <v>47.0</v>
      </c>
      <c r="B48" s="18"/>
      <c r="C48" s="20">
        <v>39173.0</v>
      </c>
      <c r="D48" s="12" t="s">
        <v>41</v>
      </c>
      <c r="E48" s="12" t="s">
        <v>48</v>
      </c>
      <c r="F48" s="15" t="s">
        <v>50</v>
      </c>
      <c r="G48" s="6" t="b">
        <v>1</v>
      </c>
      <c r="H48" s="6" t="b">
        <v>0</v>
      </c>
      <c r="I48" s="6" t="b">
        <v>0</v>
      </c>
      <c r="J48" s="6" t="b">
        <v>0</v>
      </c>
      <c r="K48" s="6" t="b">
        <v>1</v>
      </c>
      <c r="L48" s="6" t="b">
        <v>1</v>
      </c>
      <c r="M48" s="6" t="b">
        <v>1</v>
      </c>
      <c r="N48" s="6" t="b">
        <v>1</v>
      </c>
      <c r="O48" s="6" t="b">
        <v>1</v>
      </c>
      <c r="P48" s="6" t="b">
        <v>1</v>
      </c>
      <c r="Q48" s="6" t="b">
        <v>1</v>
      </c>
      <c r="R48" s="6" t="b">
        <v>1</v>
      </c>
      <c r="S48" s="6" t="b">
        <v>1</v>
      </c>
      <c r="T48" s="6" t="b">
        <v>0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1</v>
      </c>
      <c r="AJ48" s="6" t="b">
        <v>0</v>
      </c>
      <c r="AK48" s="6" t="b">
        <v>0</v>
      </c>
      <c r="AL48" s="9" t="str">
        <f t="shared" si="3"/>
        <v>11 dari 31 (35%)</v>
      </c>
    </row>
    <row r="49" ht="22.5" customHeight="1">
      <c r="A49" s="2">
        <v>48.0</v>
      </c>
      <c r="B49" s="11"/>
      <c r="C49" s="20">
        <v>61354.0</v>
      </c>
      <c r="D49" s="12" t="s">
        <v>41</v>
      </c>
      <c r="E49" s="12" t="s">
        <v>48</v>
      </c>
      <c r="F49" s="27" t="s">
        <v>67</v>
      </c>
      <c r="G49" s="16" t="b">
        <v>0</v>
      </c>
      <c r="H49" s="16" t="b">
        <v>0</v>
      </c>
      <c r="I49" s="16" t="b">
        <v>0</v>
      </c>
      <c r="J49" s="16" t="b">
        <v>0</v>
      </c>
      <c r="K49" s="16" t="b">
        <v>0</v>
      </c>
      <c r="L49" s="16" t="b">
        <v>0</v>
      </c>
      <c r="M49" s="16" t="b">
        <v>0</v>
      </c>
      <c r="N49" s="16" t="b">
        <v>0</v>
      </c>
      <c r="O49" s="16" t="b">
        <v>0</v>
      </c>
      <c r="P49" s="16" t="b">
        <v>0</v>
      </c>
      <c r="Q49" s="16" t="b">
        <v>0</v>
      </c>
      <c r="R49" s="16" t="b">
        <v>0</v>
      </c>
      <c r="S49" s="16" t="b">
        <v>0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7" t="str">
        <f t="shared" si="3"/>
        <v>0 dari 31 (0%)</v>
      </c>
    </row>
    <row r="50" ht="22.5" customHeight="1">
      <c r="A50" s="10">
        <v>49.0</v>
      </c>
      <c r="B50" s="11"/>
      <c r="C50" s="20">
        <v>61348.0</v>
      </c>
      <c r="D50" s="12" t="s">
        <v>51</v>
      </c>
      <c r="E50" s="12" t="s">
        <v>119</v>
      </c>
      <c r="F50" s="15" t="s">
        <v>50</v>
      </c>
      <c r="G50" s="6" t="b">
        <v>1</v>
      </c>
      <c r="H50" s="6" t="b">
        <v>0</v>
      </c>
      <c r="I50" s="6" t="b">
        <v>0</v>
      </c>
      <c r="J50" s="6" t="b">
        <v>0</v>
      </c>
      <c r="K50" s="6" t="b">
        <v>0</v>
      </c>
      <c r="L50" s="6" t="b">
        <v>0</v>
      </c>
      <c r="M50" s="6" t="b">
        <v>0</v>
      </c>
      <c r="N50" s="6" t="b">
        <v>0</v>
      </c>
      <c r="O50" s="6" t="b">
        <v>0</v>
      </c>
      <c r="P50" s="6" t="b">
        <v>0</v>
      </c>
      <c r="Q50" s="6" t="b">
        <v>0</v>
      </c>
      <c r="R50" s="6" t="b">
        <v>0</v>
      </c>
      <c r="S50" s="6" t="b">
        <v>0</v>
      </c>
      <c r="T50" s="6" t="b">
        <v>0</v>
      </c>
      <c r="U50" s="6" t="b">
        <v>0</v>
      </c>
      <c r="V50" s="6" t="b">
        <v>0</v>
      </c>
      <c r="W50" s="6" t="b">
        <v>1</v>
      </c>
      <c r="X50" s="6" t="b">
        <v>1</v>
      </c>
      <c r="Y50" s="6" t="b">
        <v>1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0</v>
      </c>
      <c r="AJ50" s="6" t="b">
        <v>0</v>
      </c>
      <c r="AK50" s="6" t="b">
        <v>0</v>
      </c>
      <c r="AL50" s="9" t="str">
        <f t="shared" si="3"/>
        <v>4 dari 31 (13%)</v>
      </c>
    </row>
    <row r="51" ht="22.5" customHeight="1">
      <c r="A51" s="10">
        <v>50.0</v>
      </c>
      <c r="B51" s="11"/>
      <c r="C51" s="20">
        <v>61184.0</v>
      </c>
      <c r="D51" s="12" t="s">
        <v>39</v>
      </c>
      <c r="E51" s="12" t="s">
        <v>57</v>
      </c>
      <c r="F51" s="13"/>
      <c r="G51" s="6" t="b">
        <v>1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  <c r="O51" s="6" t="b">
        <v>1</v>
      </c>
      <c r="P51" s="6" t="b">
        <v>1</v>
      </c>
      <c r="Q51" s="6" t="b">
        <v>1</v>
      </c>
      <c r="R51" s="6" t="b">
        <v>1</v>
      </c>
      <c r="S51" s="6" t="b">
        <v>1</v>
      </c>
      <c r="T51" s="6" t="b">
        <v>1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1</v>
      </c>
      <c r="AJ51" s="6" t="b">
        <v>0</v>
      </c>
      <c r="AK51" s="6" t="b">
        <v>0</v>
      </c>
      <c r="AL51" s="17" t="str">
        <f t="shared" si="3"/>
        <v>15 dari 31 (48%)</v>
      </c>
    </row>
    <row r="52" ht="22.5" customHeight="1">
      <c r="A52" s="2">
        <v>51.0</v>
      </c>
      <c r="B52" s="11"/>
      <c r="C52" s="20">
        <v>53840.0</v>
      </c>
      <c r="D52" s="12" t="s">
        <v>39</v>
      </c>
      <c r="E52" s="12" t="s">
        <v>57</v>
      </c>
      <c r="F52" s="57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3"/>
        <v>15 dari 31 (48%)</v>
      </c>
    </row>
    <row r="53" ht="22.5" customHeight="1">
      <c r="A53" s="68">
        <v>52.0</v>
      </c>
      <c r="B53" s="69"/>
      <c r="C53" s="20">
        <v>59773.0</v>
      </c>
      <c r="D53" s="56" t="s">
        <v>41</v>
      </c>
      <c r="E53" s="56" t="s">
        <v>48</v>
      </c>
      <c r="F53" s="14" t="s">
        <v>50</v>
      </c>
      <c r="G53" s="58" t="b">
        <v>1</v>
      </c>
      <c r="H53" s="58" t="b">
        <v>0</v>
      </c>
      <c r="I53" s="58" t="b">
        <v>0</v>
      </c>
      <c r="J53" s="58" t="b">
        <v>1</v>
      </c>
      <c r="K53" s="58" t="b">
        <v>1</v>
      </c>
      <c r="L53" s="58" t="b">
        <v>1</v>
      </c>
      <c r="M53" s="58" t="b">
        <v>1</v>
      </c>
      <c r="N53" s="58" t="b">
        <v>1</v>
      </c>
      <c r="O53" s="58" t="b">
        <v>1</v>
      </c>
      <c r="P53" s="58" t="b">
        <v>1</v>
      </c>
      <c r="Q53" s="58" t="b">
        <v>1</v>
      </c>
      <c r="R53" s="58" t="b">
        <v>1</v>
      </c>
      <c r="S53" s="58" t="b">
        <v>1</v>
      </c>
      <c r="T53" s="58" t="b">
        <v>1</v>
      </c>
      <c r="U53" s="58" t="b">
        <v>0</v>
      </c>
      <c r="V53" s="58" t="b">
        <v>0</v>
      </c>
      <c r="W53" s="58" t="b">
        <v>0</v>
      </c>
      <c r="X53" s="58" t="b">
        <v>0</v>
      </c>
      <c r="Y53" s="58" t="b">
        <v>0</v>
      </c>
      <c r="Z53" s="58" t="b">
        <v>0</v>
      </c>
      <c r="AA53" s="58" t="b">
        <v>0</v>
      </c>
      <c r="AB53" s="58" t="b">
        <v>0</v>
      </c>
      <c r="AC53" s="58" t="b">
        <v>0</v>
      </c>
      <c r="AD53" s="58" t="b">
        <v>0</v>
      </c>
      <c r="AE53" s="58" t="b">
        <v>0</v>
      </c>
      <c r="AF53" s="58" t="b">
        <v>0</v>
      </c>
      <c r="AG53" s="58" t="b">
        <v>0</v>
      </c>
      <c r="AH53" s="58" t="b">
        <v>0</v>
      </c>
      <c r="AI53" s="58" t="b">
        <v>0</v>
      </c>
      <c r="AJ53" s="58" t="b">
        <v>0</v>
      </c>
      <c r="AK53" s="58" t="b">
        <v>0</v>
      </c>
      <c r="AL53" s="59" t="str">
        <f t="shared" si="3"/>
        <v>12 dari 31 (39%)</v>
      </c>
    </row>
    <row r="54" ht="22.5" customHeight="1">
      <c r="A54" s="61">
        <v>53.0</v>
      </c>
      <c r="B54" s="62"/>
      <c r="C54" s="60">
        <v>27371.0</v>
      </c>
      <c r="D54" s="51" t="s">
        <v>85</v>
      </c>
      <c r="E54" s="51" t="s">
        <v>88</v>
      </c>
      <c r="F54" s="53"/>
      <c r="G54" s="35" t="b">
        <v>0</v>
      </c>
      <c r="H54" s="35" t="b">
        <v>0</v>
      </c>
      <c r="I54" s="35" t="b">
        <v>0</v>
      </c>
      <c r="J54" s="35" t="b">
        <v>0</v>
      </c>
      <c r="K54" s="35" t="b">
        <v>0</v>
      </c>
      <c r="L54" s="35" t="b">
        <v>0</v>
      </c>
      <c r="M54" s="35" t="b">
        <v>0</v>
      </c>
      <c r="N54" s="35" t="b">
        <v>0</v>
      </c>
      <c r="O54" s="35" t="b">
        <v>0</v>
      </c>
      <c r="P54" s="35" t="b">
        <v>0</v>
      </c>
      <c r="Q54" s="35" t="b">
        <v>0</v>
      </c>
      <c r="R54" s="35" t="b">
        <v>0</v>
      </c>
      <c r="S54" s="35" t="b">
        <v>0</v>
      </c>
      <c r="T54" s="35" t="b">
        <v>0</v>
      </c>
      <c r="U54" s="35" t="b">
        <v>0</v>
      </c>
      <c r="V54" s="35" t="b">
        <v>0</v>
      </c>
      <c r="W54" s="35" t="b">
        <v>0</v>
      </c>
      <c r="X54" s="35" t="b">
        <v>0</v>
      </c>
      <c r="Y54" s="35" t="b">
        <v>0</v>
      </c>
      <c r="Z54" s="35" t="b">
        <v>0</v>
      </c>
      <c r="AA54" s="35" t="b">
        <v>0</v>
      </c>
      <c r="AB54" s="35" t="b">
        <v>0</v>
      </c>
      <c r="AC54" s="35" t="b">
        <v>0</v>
      </c>
      <c r="AD54" s="35" t="b">
        <v>0</v>
      </c>
      <c r="AE54" s="35" t="b">
        <v>0</v>
      </c>
      <c r="AF54" s="35" t="b">
        <v>0</v>
      </c>
      <c r="AG54" s="35" t="b">
        <v>0</v>
      </c>
      <c r="AH54" s="35" t="b">
        <v>0</v>
      </c>
      <c r="AI54" s="35" t="b">
        <v>0</v>
      </c>
      <c r="AJ54" s="35" t="b">
        <v>0</v>
      </c>
      <c r="AK54" s="35" t="b">
        <v>0</v>
      </c>
      <c r="AL54" s="64" t="str">
        <f t="shared" si="3"/>
        <v>0 dari 31 (0%)</v>
      </c>
    </row>
    <row r="55" ht="22.5" customHeight="1">
      <c r="A55" s="2">
        <v>54.0</v>
      </c>
      <c r="B55" s="11"/>
      <c r="C55" s="20">
        <v>60955.0</v>
      </c>
      <c r="D55" s="12" t="s">
        <v>63</v>
      </c>
      <c r="E55" s="12" t="s">
        <v>64</v>
      </c>
      <c r="F55" s="14" t="s">
        <v>50</v>
      </c>
      <c r="G55" s="6" t="b">
        <v>1</v>
      </c>
      <c r="H55" s="6" t="b">
        <v>0</v>
      </c>
      <c r="I55" s="6" t="b">
        <v>0</v>
      </c>
      <c r="J55" s="6" t="b">
        <v>0</v>
      </c>
      <c r="K55" s="6" t="b">
        <v>0</v>
      </c>
      <c r="L55" s="6" t="b">
        <v>0</v>
      </c>
      <c r="M55" s="6" t="b">
        <v>0</v>
      </c>
      <c r="N55" s="6" t="b">
        <v>0</v>
      </c>
      <c r="O55" s="6" t="b">
        <v>0</v>
      </c>
      <c r="P55" s="6" t="b">
        <v>0</v>
      </c>
      <c r="Q55" s="6" t="b">
        <v>0</v>
      </c>
      <c r="R55" s="6" t="b">
        <v>0</v>
      </c>
      <c r="S55" s="6" t="b">
        <v>0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0</v>
      </c>
      <c r="AJ55" s="6" t="b">
        <v>0</v>
      </c>
      <c r="AK55" s="6" t="b">
        <v>0</v>
      </c>
      <c r="AL55" s="9" t="str">
        <f t="shared" si="3"/>
        <v>1 dari 31 (3%)</v>
      </c>
    </row>
    <row r="56" ht="22.5" customHeight="1">
      <c r="A56" s="10">
        <v>55.0</v>
      </c>
      <c r="B56" s="11"/>
      <c r="C56" s="20">
        <v>61357.0</v>
      </c>
      <c r="D56" s="12" t="s">
        <v>54</v>
      </c>
      <c r="E56" s="12" t="s">
        <v>155</v>
      </c>
      <c r="F56" s="27" t="s">
        <v>105</v>
      </c>
      <c r="G56" s="6" t="b">
        <v>0</v>
      </c>
      <c r="H56" s="6" t="b">
        <v>0</v>
      </c>
      <c r="I56" s="6" t="b">
        <v>0</v>
      </c>
      <c r="J56" s="6" t="b">
        <v>0</v>
      </c>
      <c r="K56" s="6" t="b">
        <v>0</v>
      </c>
      <c r="L56" s="6" t="b">
        <v>0</v>
      </c>
      <c r="M56" s="6" t="b">
        <v>0</v>
      </c>
      <c r="N56" s="6" t="b">
        <v>0</v>
      </c>
      <c r="O56" s="6" t="b">
        <v>0</v>
      </c>
      <c r="P56" s="6" t="b">
        <v>0</v>
      </c>
      <c r="Q56" s="6" t="b">
        <v>0</v>
      </c>
      <c r="R56" s="6" t="b">
        <v>0</v>
      </c>
      <c r="S56" s="6" t="b">
        <v>0</v>
      </c>
      <c r="T56" s="6" t="b">
        <v>0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3"/>
        <v>1 dari 31 (3%)</v>
      </c>
    </row>
    <row r="57" ht="22.5" customHeight="1">
      <c r="A57" s="10">
        <v>56.0</v>
      </c>
      <c r="B57" s="11"/>
      <c r="C57" s="22">
        <v>59492.0</v>
      </c>
      <c r="D57" s="12" t="s">
        <v>68</v>
      </c>
      <c r="E57" s="12" t="s">
        <v>69</v>
      </c>
      <c r="F57" s="13"/>
      <c r="G57" s="6" t="b">
        <v>1</v>
      </c>
      <c r="H57" s="6" t="b">
        <v>1</v>
      </c>
      <c r="I57" s="6" t="b">
        <v>1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1</v>
      </c>
      <c r="AJ57" s="6" t="b">
        <v>0</v>
      </c>
      <c r="AK57" s="6" t="b">
        <v>0</v>
      </c>
      <c r="AL57" s="17" t="str">
        <f t="shared" si="3"/>
        <v>15 dari 31 (48%)</v>
      </c>
    </row>
    <row r="58" ht="22.5" customHeight="1">
      <c r="A58" s="2">
        <v>57.0</v>
      </c>
      <c r="B58" s="11"/>
      <c r="C58" s="22">
        <v>10916.0</v>
      </c>
      <c r="D58" s="12" t="s">
        <v>41</v>
      </c>
      <c r="E58" s="12" t="s">
        <v>178</v>
      </c>
      <c r="F58" s="14" t="s">
        <v>50</v>
      </c>
      <c r="G58" s="6" t="b">
        <v>1</v>
      </c>
      <c r="H58" s="6" t="b">
        <v>0</v>
      </c>
      <c r="I58" s="6" t="b">
        <v>0</v>
      </c>
      <c r="J58" s="6" t="b">
        <v>0</v>
      </c>
      <c r="K58" s="6" t="b">
        <v>1</v>
      </c>
      <c r="L58" s="6" t="b">
        <v>1</v>
      </c>
      <c r="M58" s="6" t="b">
        <v>1</v>
      </c>
      <c r="N58" s="6" t="b">
        <v>0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0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1</v>
      </c>
      <c r="AA58" s="6" t="b">
        <v>1</v>
      </c>
      <c r="AB58" s="6" t="b">
        <v>1</v>
      </c>
      <c r="AC58" s="6" t="b">
        <v>1</v>
      </c>
      <c r="AD58" s="6" t="b">
        <v>1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3"/>
        <v>15 dari 31 (48%)</v>
      </c>
    </row>
    <row r="59" ht="22.5" customHeight="1">
      <c r="A59" s="10">
        <v>58.0</v>
      </c>
      <c r="B59" s="11"/>
      <c r="C59" s="22">
        <v>61356.0</v>
      </c>
      <c r="D59" s="12" t="s">
        <v>39</v>
      </c>
      <c r="E59" s="12" t="s">
        <v>57</v>
      </c>
      <c r="F59" s="13"/>
      <c r="G59" s="6" t="b">
        <v>1</v>
      </c>
      <c r="H59" s="6" t="b">
        <v>1</v>
      </c>
      <c r="I59" s="6" t="b">
        <v>1</v>
      </c>
      <c r="J59" s="6" t="b">
        <v>1</v>
      </c>
      <c r="K59" s="6" t="b">
        <v>1</v>
      </c>
      <c r="L59" s="6" t="b">
        <v>1</v>
      </c>
      <c r="M59" s="6" t="b">
        <v>1</v>
      </c>
      <c r="N59" s="6" t="b">
        <v>1</v>
      </c>
      <c r="O59" s="6" t="b">
        <v>1</v>
      </c>
      <c r="P59" s="6" t="b">
        <v>1</v>
      </c>
      <c r="Q59" s="6" t="b">
        <v>1</v>
      </c>
      <c r="R59" s="6" t="b">
        <v>1</v>
      </c>
      <c r="S59" s="6" t="b">
        <v>1</v>
      </c>
      <c r="T59" s="6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3"/>
        <v>13 dari 31 (42%)</v>
      </c>
    </row>
    <row r="60" ht="22.5" customHeight="1">
      <c r="A60" s="10">
        <v>59.0</v>
      </c>
      <c r="B60" s="11"/>
      <c r="C60" s="22">
        <v>46340.0</v>
      </c>
      <c r="D60" s="12" t="s">
        <v>80</v>
      </c>
      <c r="E60" s="12" t="s">
        <v>81</v>
      </c>
      <c r="F60" s="13"/>
      <c r="G60" s="6" t="b">
        <v>1</v>
      </c>
      <c r="H60" s="6" t="b">
        <v>1</v>
      </c>
      <c r="I60" s="6" t="b">
        <v>0</v>
      </c>
      <c r="J60" s="6" t="b">
        <v>1</v>
      </c>
      <c r="K60" s="6" t="b">
        <v>1</v>
      </c>
      <c r="L60" s="6" t="b">
        <v>1</v>
      </c>
      <c r="M60" s="6" t="b">
        <v>1</v>
      </c>
      <c r="N60" s="6" t="b">
        <v>1</v>
      </c>
      <c r="O60" s="6" t="b">
        <v>1</v>
      </c>
      <c r="P60" s="6" t="b">
        <v>1</v>
      </c>
      <c r="Q60" s="6" t="b">
        <v>1</v>
      </c>
      <c r="R60" s="6" t="b">
        <v>1</v>
      </c>
      <c r="S60" s="6" t="b">
        <v>1</v>
      </c>
      <c r="T60" s="6" t="b">
        <v>1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3"/>
        <v>13 dari 31 (42%)</v>
      </c>
    </row>
    <row r="61" ht="22.5" customHeight="1">
      <c r="A61" s="2">
        <v>60.0</v>
      </c>
      <c r="B61" s="11"/>
      <c r="C61" s="22">
        <v>46340.0</v>
      </c>
      <c r="D61" s="12" t="s">
        <v>80</v>
      </c>
      <c r="E61" s="12" t="s">
        <v>130</v>
      </c>
      <c r="F61" s="14" t="s">
        <v>50</v>
      </c>
      <c r="G61" s="6" t="b">
        <v>1</v>
      </c>
      <c r="H61" s="6" t="b">
        <v>0</v>
      </c>
      <c r="I61" s="6" t="b">
        <v>0</v>
      </c>
      <c r="J61" s="6" t="b">
        <v>0</v>
      </c>
      <c r="K61" s="6" t="b">
        <v>0</v>
      </c>
      <c r="L61" s="6" t="b">
        <v>0</v>
      </c>
      <c r="M61" s="6" t="b">
        <v>0</v>
      </c>
      <c r="N61" s="6" t="b">
        <v>0</v>
      </c>
      <c r="O61" s="6" t="b">
        <v>0</v>
      </c>
      <c r="P61" s="6" t="b">
        <v>0</v>
      </c>
      <c r="Q61" s="6" t="b">
        <v>0</v>
      </c>
      <c r="R61" s="6" t="b">
        <v>0</v>
      </c>
      <c r="S61" s="6" t="b">
        <v>0</v>
      </c>
      <c r="T61" s="6" t="b">
        <v>0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3"/>
        <v>1 dari 31 (3%)</v>
      </c>
    </row>
    <row r="62" ht="22.5" customHeight="1">
      <c r="A62" s="10">
        <v>61.0</v>
      </c>
      <c r="B62" s="11"/>
      <c r="C62" s="20">
        <v>61363.0</v>
      </c>
      <c r="D62" s="12" t="s">
        <v>93</v>
      </c>
      <c r="E62" s="12" t="s">
        <v>151</v>
      </c>
      <c r="F62" s="14" t="s">
        <v>50</v>
      </c>
      <c r="G62" s="6" t="b">
        <v>1</v>
      </c>
      <c r="H62" s="6" t="b">
        <v>0</v>
      </c>
      <c r="I62" s="6" t="b">
        <v>0</v>
      </c>
      <c r="J62" s="6" t="b">
        <v>0</v>
      </c>
      <c r="K62" s="6" t="b">
        <v>0</v>
      </c>
      <c r="L62" s="6" t="b">
        <v>0</v>
      </c>
      <c r="M62" s="6" t="b">
        <v>0</v>
      </c>
      <c r="N62" s="6" t="b">
        <v>0</v>
      </c>
      <c r="O62" s="6" t="b">
        <v>0</v>
      </c>
      <c r="P62" s="6" t="b">
        <v>0</v>
      </c>
      <c r="Q62" s="6" t="b">
        <v>0</v>
      </c>
      <c r="R62" s="6" t="b">
        <v>0</v>
      </c>
      <c r="S62" s="6" t="b">
        <v>0</v>
      </c>
      <c r="T62" s="6" t="b">
        <v>0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3"/>
        <v>1 dari 31 (3%)</v>
      </c>
    </row>
    <row r="63" ht="22.5" customHeight="1">
      <c r="A63" s="10">
        <v>62.0</v>
      </c>
      <c r="B63" s="11"/>
      <c r="C63" s="20">
        <v>61353.0</v>
      </c>
      <c r="D63" s="12" t="s">
        <v>89</v>
      </c>
      <c r="E63" s="12" t="s">
        <v>95</v>
      </c>
      <c r="F63" s="14" t="s">
        <v>50</v>
      </c>
      <c r="G63" s="6" t="b">
        <v>1</v>
      </c>
      <c r="H63" s="6" t="b">
        <v>0</v>
      </c>
      <c r="I63" s="6" t="b">
        <v>0</v>
      </c>
      <c r="J63" s="6" t="b">
        <v>0</v>
      </c>
      <c r="K63" s="6" t="b">
        <v>0</v>
      </c>
      <c r="L63" s="6" t="b">
        <v>0</v>
      </c>
      <c r="M63" s="6" t="b">
        <v>0</v>
      </c>
      <c r="N63" s="6" t="b">
        <v>0</v>
      </c>
      <c r="O63" s="6" t="b">
        <v>0</v>
      </c>
      <c r="P63" s="6" t="b">
        <v>0</v>
      </c>
      <c r="Q63" s="6" t="b">
        <v>0</v>
      </c>
      <c r="R63" s="6" t="b">
        <v>0</v>
      </c>
      <c r="S63" s="6" t="b">
        <v>0</v>
      </c>
      <c r="T63" s="6" t="b">
        <v>0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3"/>
        <v>1 dari 31 (3%)</v>
      </c>
    </row>
    <row r="64" ht="22.5" customHeight="1">
      <c r="A64" s="2">
        <v>63.0</v>
      </c>
      <c r="B64" s="11"/>
      <c r="C64" s="20">
        <v>61358.0</v>
      </c>
      <c r="D64" s="12" t="s">
        <v>89</v>
      </c>
      <c r="E64" s="12" t="s">
        <v>95</v>
      </c>
      <c r="F64" s="14" t="s">
        <v>50</v>
      </c>
      <c r="G64" s="6" t="b">
        <v>1</v>
      </c>
      <c r="H64" s="6" t="b">
        <v>0</v>
      </c>
      <c r="I64" s="6" t="b">
        <v>0</v>
      </c>
      <c r="J64" s="6" t="b">
        <v>0</v>
      </c>
      <c r="K64" s="6" t="b">
        <v>0</v>
      </c>
      <c r="L64" s="6" t="b">
        <v>0</v>
      </c>
      <c r="M64" s="6" t="b">
        <v>0</v>
      </c>
      <c r="N64" s="6" t="b">
        <v>0</v>
      </c>
      <c r="O64" s="6" t="b">
        <v>0</v>
      </c>
      <c r="P64" s="6" t="b">
        <v>0</v>
      </c>
      <c r="Q64" s="6" t="b">
        <v>0</v>
      </c>
      <c r="R64" s="6" t="b">
        <v>0</v>
      </c>
      <c r="S64" s="6" t="b">
        <v>0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3"/>
        <v>1 dari 31 (3%)</v>
      </c>
    </row>
    <row r="65" ht="22.5" customHeight="1">
      <c r="A65" s="10">
        <v>64.0</v>
      </c>
      <c r="B65" s="11"/>
      <c r="C65" s="20">
        <v>61359.0</v>
      </c>
      <c r="D65" s="12" t="s">
        <v>89</v>
      </c>
      <c r="E65" s="12" t="s">
        <v>95</v>
      </c>
      <c r="F65" s="14" t="s">
        <v>50</v>
      </c>
      <c r="G65" s="6" t="b">
        <v>1</v>
      </c>
      <c r="H65" s="6" t="b">
        <v>0</v>
      </c>
      <c r="I65" s="6" t="b">
        <v>0</v>
      </c>
      <c r="J65" s="6" t="b">
        <v>0</v>
      </c>
      <c r="K65" s="6" t="b">
        <v>0</v>
      </c>
      <c r="L65" s="6" t="b">
        <v>0</v>
      </c>
      <c r="M65" s="6" t="b">
        <v>0</v>
      </c>
      <c r="N65" s="6" t="b">
        <v>0</v>
      </c>
      <c r="O65" s="6" t="b">
        <v>0</v>
      </c>
      <c r="P65" s="6" t="b">
        <v>0</v>
      </c>
      <c r="Q65" s="6" t="b">
        <v>0</v>
      </c>
      <c r="R65" s="6" t="b">
        <v>0</v>
      </c>
      <c r="S65" s="6" t="b">
        <v>0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0</v>
      </c>
      <c r="AJ65" s="6" t="b">
        <v>0</v>
      </c>
      <c r="AK65" s="6" t="b">
        <v>0</v>
      </c>
      <c r="AL65" s="9" t="str">
        <f t="shared" si="3"/>
        <v>1 dari 31 (3%)</v>
      </c>
    </row>
    <row r="66" ht="22.5" customHeight="1">
      <c r="A66" s="10">
        <v>65.0</v>
      </c>
      <c r="B66" s="11"/>
      <c r="C66" s="20">
        <v>61360.0</v>
      </c>
      <c r="D66" s="12" t="s">
        <v>89</v>
      </c>
      <c r="E66" s="12" t="s">
        <v>95</v>
      </c>
      <c r="F66" s="14" t="s">
        <v>50</v>
      </c>
      <c r="G66" s="6" t="b">
        <v>1</v>
      </c>
      <c r="H66" s="6" t="b">
        <v>0</v>
      </c>
      <c r="I66" s="6" t="b">
        <v>0</v>
      </c>
      <c r="J66" s="6" t="b">
        <v>0</v>
      </c>
      <c r="K66" s="6" t="b">
        <v>0</v>
      </c>
      <c r="L66" s="6" t="b">
        <v>0</v>
      </c>
      <c r="M66" s="6" t="b">
        <v>0</v>
      </c>
      <c r="N66" s="6" t="b">
        <v>0</v>
      </c>
      <c r="O66" s="6" t="b">
        <v>0</v>
      </c>
      <c r="P66" s="6" t="b">
        <v>0</v>
      </c>
      <c r="Q66" s="6" t="b">
        <v>0</v>
      </c>
      <c r="R66" s="6" t="b">
        <v>0</v>
      </c>
      <c r="S66" s="6" t="b">
        <v>0</v>
      </c>
      <c r="T66" s="6" t="b">
        <v>0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0</v>
      </c>
      <c r="AJ66" s="6" t="b">
        <v>0</v>
      </c>
      <c r="AK66" s="6" t="b">
        <v>0</v>
      </c>
      <c r="AL66" s="17" t="str">
        <f t="shared" si="3"/>
        <v>1 dari 31 (3%)</v>
      </c>
    </row>
    <row r="67" ht="22.5" customHeight="1">
      <c r="A67" s="2">
        <v>66.0</v>
      </c>
      <c r="B67" s="11"/>
      <c r="C67" s="22">
        <v>61361.0</v>
      </c>
      <c r="D67" s="12" t="s">
        <v>89</v>
      </c>
      <c r="E67" s="12" t="s">
        <v>95</v>
      </c>
      <c r="F67" s="14" t="s">
        <v>50</v>
      </c>
      <c r="G67" s="6" t="b">
        <v>1</v>
      </c>
      <c r="H67" s="6" t="b">
        <v>0</v>
      </c>
      <c r="I67" s="6" t="b">
        <v>0</v>
      </c>
      <c r="J67" s="6" t="b">
        <v>0</v>
      </c>
      <c r="K67" s="6" t="b">
        <v>0</v>
      </c>
      <c r="L67" s="6" t="b">
        <v>0</v>
      </c>
      <c r="M67" s="6" t="b">
        <v>0</v>
      </c>
      <c r="N67" s="6" t="b">
        <v>0</v>
      </c>
      <c r="O67" s="6" t="b">
        <v>0</v>
      </c>
      <c r="P67" s="6" t="b">
        <v>0</v>
      </c>
      <c r="Q67" s="6" t="b">
        <v>0</v>
      </c>
      <c r="R67" s="6" t="b">
        <v>0</v>
      </c>
      <c r="S67" s="6" t="b">
        <v>0</v>
      </c>
      <c r="T67" s="6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3"/>
        <v>1 dari 31 (3%)</v>
      </c>
    </row>
    <row r="68" ht="22.5" customHeight="1">
      <c r="A68" s="10">
        <v>67.0</v>
      </c>
      <c r="B68" s="11"/>
      <c r="C68" s="22">
        <v>61362.0</v>
      </c>
      <c r="D68" s="12" t="s">
        <v>89</v>
      </c>
      <c r="E68" s="12" t="s">
        <v>95</v>
      </c>
      <c r="F68" s="14" t="s">
        <v>50</v>
      </c>
      <c r="G68" s="6" t="b">
        <v>1</v>
      </c>
      <c r="H68" s="6" t="b">
        <v>0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0</v>
      </c>
      <c r="R68" s="6" t="b">
        <v>0</v>
      </c>
      <c r="S68" s="6" t="b">
        <v>0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3"/>
        <v>1 dari 31 (3%)</v>
      </c>
    </row>
    <row r="69" ht="22.5" customHeight="1">
      <c r="A69" s="10">
        <v>68.0</v>
      </c>
      <c r="B69" s="11"/>
      <c r="C69" s="22">
        <v>61355.0</v>
      </c>
      <c r="D69" s="12" t="s">
        <v>89</v>
      </c>
      <c r="E69" s="12" t="s">
        <v>95</v>
      </c>
      <c r="F69" s="14" t="s">
        <v>50</v>
      </c>
      <c r="G69" s="6" t="b">
        <v>1</v>
      </c>
      <c r="H69" s="6" t="b">
        <v>0</v>
      </c>
      <c r="I69" s="6" t="b">
        <v>0</v>
      </c>
      <c r="J69" s="6" t="b">
        <v>0</v>
      </c>
      <c r="K69" s="6" t="b">
        <v>0</v>
      </c>
      <c r="L69" s="6" t="b">
        <v>0</v>
      </c>
      <c r="M69" s="6" t="b">
        <v>0</v>
      </c>
      <c r="N69" s="6" t="b">
        <v>0</v>
      </c>
      <c r="O69" s="6" t="b">
        <v>0</v>
      </c>
      <c r="P69" s="6" t="b">
        <v>0</v>
      </c>
      <c r="Q69" s="6" t="b">
        <v>0</v>
      </c>
      <c r="R69" s="6" t="b">
        <v>0</v>
      </c>
      <c r="S69" s="6" t="b">
        <v>0</v>
      </c>
      <c r="T69" s="6" t="b">
        <v>0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0</v>
      </c>
      <c r="AJ69" s="6" t="b">
        <v>0</v>
      </c>
      <c r="AK69" s="6" t="b">
        <v>0</v>
      </c>
      <c r="AL69" s="17" t="str">
        <f t="shared" si="3"/>
        <v>1 dari 31 (3%)</v>
      </c>
    </row>
    <row r="71">
      <c r="B71" s="71" t="s">
        <v>38</v>
      </c>
      <c r="C71" s="72"/>
      <c r="D71" s="72"/>
      <c r="E71" s="72"/>
      <c r="F71" s="73"/>
      <c r="G71" s="74">
        <f>COUNTIF(JULI_17[ID Encounter], TRUE)</f>
        <v>61</v>
      </c>
      <c r="H71" s="74">
        <f>COUNTIF(JULI_17[ID Condition], TRUE)</f>
        <v>36</v>
      </c>
      <c r="I71" s="74">
        <f>COUNTIF(JULI_17[ID Clinical Impression], TRUE)</f>
        <v>24</v>
      </c>
      <c r="J71" s="74">
        <f>COUNTIF(JULI_17[ID Observation Tensi], TRUE)</f>
        <v>39</v>
      </c>
      <c r="K71" s="74">
        <f>COUNTIF(JULI_17[ID Observation Nadi], TRUE)</f>
        <v>48</v>
      </c>
      <c r="L71" s="74">
        <f>COUNTIF(JULI_17[ID Observation RR], TRUE)</f>
        <v>48</v>
      </c>
      <c r="M71" s="74">
        <f>COUNTIF(JULI_17[ID Observation Suhu], TRUE)</f>
        <v>48</v>
      </c>
      <c r="N71" s="74">
        <f>COUNTIF(JULI_17[ID Observation SPO2], TRUE)</f>
        <v>47</v>
      </c>
      <c r="O71" s="74">
        <f>COUNTIF(JULI_17[ID Observation GCS], TRUE)</f>
        <v>48</v>
      </c>
      <c r="P71" s="74">
        <f>COUNTIF(JULI_17[ID Observation Tinggi], TRUE)</f>
        <v>48</v>
      </c>
      <c r="Q71" s="74">
        <f>COUNTIF(JULI_17[ID Observation Berat], TRUE)</f>
        <v>48</v>
      </c>
      <c r="R71" s="74">
        <f>COUNTIF(JULI_17[ID Observation Perut], TRUE)</f>
        <v>48</v>
      </c>
      <c r="S71" s="74">
        <f>COUNTIF(JULI_17[ID Observation Kesadaran], TRUE)</f>
        <v>48</v>
      </c>
      <c r="T71" s="74">
        <f>COUNTIF(JULI_17[ID Procedure], TRUE)</f>
        <v>35</v>
      </c>
      <c r="U71" s="74">
        <f>COUNTIF(JULI_17[ID Composition], TRUE)</f>
        <v>0</v>
      </c>
      <c r="V71" s="74">
        <f>COUNTIF(JULI_17[ID Vaksin/Imunisasi], TRUE)</f>
        <v>0</v>
      </c>
      <c r="W71" s="74">
        <f>COUNTIF(JULI_17[ID Medication Request], TRUE)</f>
        <v>2</v>
      </c>
      <c r="X71" s="74">
        <f>COUNTIF(JULI_17[ID Medication Dispense], TRUE)</f>
        <v>2</v>
      </c>
      <c r="Y71" s="74">
        <f>COUNTIF(JULI_17[ID Medication Statement], TRUE)</f>
        <v>2</v>
      </c>
      <c r="Z71" s="74">
        <f>COUNTIF(JULI_17[ID Service Request Radiologi], TRUE)</f>
        <v>6</v>
      </c>
      <c r="AA71" s="74">
        <f>COUNTIF(JULI_17[ID Specimen Radiologi], TRUE)</f>
        <v>6</v>
      </c>
      <c r="AB71" s="74">
        <f>COUNTIF(JULI_17[ID Observation Radiologi], TRUE)</f>
        <v>5</v>
      </c>
      <c r="AC71" s="74">
        <f>COUNTIF(JULI_17[ID Diagnostic Report Radiologi], TRUE)</f>
        <v>5</v>
      </c>
      <c r="AD71" s="74">
        <f>COUNTIF(JULI_17[Image Study], TRUE)</f>
        <v>4</v>
      </c>
      <c r="AE71" s="74">
        <f>COUNTIF(JULI_17[ID Service Request Lab PK], TRUE)</f>
        <v>1</v>
      </c>
      <c r="AF71" s="74">
        <f>COUNTIF(JULI_17[ID Specimen Lab PK], TRUE)</f>
        <v>1</v>
      </c>
      <c r="AG71" s="74">
        <f>COUNTIF(JULI_17[ID Observation Lab PK], TRUE)</f>
        <v>1</v>
      </c>
      <c r="AH71" s="74">
        <f>COUNTIF(JULI_17[ID Diagnostic Report Lab PK], TRUE)</f>
        <v>1</v>
      </c>
      <c r="AI71" s="74">
        <f>COUNTIF(JULI_17[ID Care Plan], TRUE)</f>
        <v>31</v>
      </c>
      <c r="AJ71" s="74">
        <f>COUNTIF(JULI_17[ID Allergy], TRUE)</f>
        <v>0</v>
      </c>
      <c r="AK71" s="74">
        <f>COUNTIF(JULI_17[ID Questionnaire], TRUE)</f>
        <v>0</v>
      </c>
      <c r="AL71" s="75" t="str">
        <f>COUNTIF(JULI_17[[ID Encounter]:[ID Questionnaire]], TRUE()) &amp; " dari " &amp; (ROWS(JULI_17[[ID Encounter]:[ID Questionnaire]])*COLUMNS(JULI_17[[ID Encounter]:[ID Questionnaire]])) &amp; " (" &amp; TEXT(COUNTIF(JULI_17[[ID Encounter]:[ID Questionnaire]], TRUE())/(ROWS(JULI_17[[ID Encounter]:[ID Questionnaire]])*COLUMNS(JULI_17[[ID Encounter]:[ID Questionnaire]])),"0%") &amp; ")"</f>
        <v>693 dari 2108 (33%)</v>
      </c>
    </row>
    <row r="72">
      <c r="B72" s="76"/>
      <c r="C72" s="77"/>
      <c r="D72" s="77"/>
      <c r="E72" s="77"/>
      <c r="F72" s="78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</row>
  </sheetData>
  <mergeCells count="33">
    <mergeCell ref="B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P71:P72"/>
    <mergeCell ref="Q71:Q72"/>
    <mergeCell ref="R71:R72"/>
    <mergeCell ref="S71:S72"/>
    <mergeCell ref="T71:T72"/>
    <mergeCell ref="U71:U72"/>
    <mergeCell ref="V71:V72"/>
    <mergeCell ref="W71:W72"/>
    <mergeCell ref="X71:X72"/>
    <mergeCell ref="Y71:Y72"/>
    <mergeCell ref="Z71:Z72"/>
    <mergeCell ref="AH71:AH72"/>
    <mergeCell ref="AI71:AI72"/>
    <mergeCell ref="AJ71:AJ72"/>
    <mergeCell ref="AK71:AK72"/>
    <mergeCell ref="AL71:AL72"/>
    <mergeCell ref="AA71:AA72"/>
    <mergeCell ref="AB71:AB72"/>
    <mergeCell ref="AC71:AC72"/>
    <mergeCell ref="AD71:AD72"/>
    <mergeCell ref="AE71:AE72"/>
    <mergeCell ref="AF71:AF72"/>
    <mergeCell ref="AG71:AG72"/>
  </mergeCell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8.38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3" max="13" width="20.75"/>
    <col customWidth="1" min="14" max="14" width="21.13"/>
    <col customWidth="1" min="15" max="15" width="20.25"/>
    <col customWidth="1" min="16" max="16" width="21.75"/>
    <col customWidth="1" min="17" max="18" width="21.0"/>
    <col customWidth="1" min="19" max="19" width="24.88"/>
    <col customWidth="1" min="20" max="20" width="15.25"/>
    <col customWidth="1" min="23" max="23" width="22.38"/>
    <col customWidth="1" min="26" max="26" width="27.13"/>
    <col customWidth="1" min="27" max="27" width="22.38"/>
    <col customWidth="1" min="28" max="28" width="24.0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46221.0</v>
      </c>
      <c r="C2" s="22">
        <v>61364.0</v>
      </c>
      <c r="D2" s="12" t="s">
        <v>93</v>
      </c>
      <c r="E2" s="12" t="s">
        <v>151</v>
      </c>
      <c r="F2" s="15" t="s">
        <v>50</v>
      </c>
      <c r="G2" s="6" t="b">
        <v>1</v>
      </c>
      <c r="H2" s="6" t="b">
        <v>0</v>
      </c>
      <c r="I2" s="6" t="b">
        <v>0</v>
      </c>
      <c r="J2" s="6" t="b">
        <v>0</v>
      </c>
      <c r="K2" s="6" t="b">
        <v>0</v>
      </c>
      <c r="L2" s="6" t="b">
        <v>0</v>
      </c>
      <c r="M2" s="6" t="b">
        <v>0</v>
      </c>
      <c r="N2" s="6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96" si="1">COUNTIF(G2:AK2, TRUE()) &amp; " dari " &amp; COLUMNS(G2:AK2) &amp; " (" &amp; TEXT(COUNTIF(G2:AK2, TRUE())/COLUMNS(G2:AK2),"0%") &amp; ")"</f>
        <v>1 dari 31 (3%)</v>
      </c>
    </row>
    <row r="3" ht="22.5" customHeight="1">
      <c r="A3" s="10">
        <v>2.0</v>
      </c>
      <c r="B3" s="11"/>
      <c r="C3" s="22">
        <v>51396.0</v>
      </c>
      <c r="D3" s="12" t="s">
        <v>68</v>
      </c>
      <c r="E3" s="12" t="s">
        <v>109</v>
      </c>
      <c r="F3" s="13"/>
      <c r="G3" s="16" t="b">
        <v>1</v>
      </c>
      <c r="H3" s="16" t="b">
        <v>1</v>
      </c>
      <c r="I3" s="16" t="b">
        <v>1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15 dari 31 (48%)</v>
      </c>
    </row>
    <row r="4" ht="22.5" customHeight="1">
      <c r="A4" s="2">
        <v>3.0</v>
      </c>
      <c r="B4" s="18"/>
      <c r="C4" s="22">
        <v>58357.0</v>
      </c>
      <c r="D4" s="12" t="s">
        <v>68</v>
      </c>
      <c r="E4" s="12" t="s">
        <v>109</v>
      </c>
      <c r="F4" s="13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1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1</v>
      </c>
      <c r="AJ4" s="6" t="b">
        <v>0</v>
      </c>
      <c r="AK4" s="6" t="b">
        <v>0</v>
      </c>
      <c r="AL4" s="9" t="str">
        <f t="shared" si="1"/>
        <v>15 dari 31 (48%)</v>
      </c>
    </row>
    <row r="5" ht="22.5" customHeight="1">
      <c r="A5" s="10">
        <v>4.0</v>
      </c>
      <c r="B5" s="11"/>
      <c r="C5" s="22">
        <v>61217.0</v>
      </c>
      <c r="D5" s="12" t="s">
        <v>98</v>
      </c>
      <c r="E5" s="12" t="s">
        <v>99</v>
      </c>
      <c r="F5" s="15" t="s">
        <v>50</v>
      </c>
      <c r="G5" s="16" t="b">
        <v>1</v>
      </c>
      <c r="H5" s="16" t="b">
        <v>0</v>
      </c>
      <c r="I5" s="16" t="b">
        <v>0</v>
      </c>
      <c r="J5" s="16" t="b">
        <v>0</v>
      </c>
      <c r="K5" s="16" t="b">
        <v>0</v>
      </c>
      <c r="L5" s="16" t="b">
        <v>0</v>
      </c>
      <c r="M5" s="16" t="b">
        <v>0</v>
      </c>
      <c r="N5" s="16" t="b">
        <v>0</v>
      </c>
      <c r="O5" s="16" t="b">
        <v>0</v>
      </c>
      <c r="P5" s="16" t="b">
        <v>0</v>
      </c>
      <c r="Q5" s="16" t="b">
        <v>0</v>
      </c>
      <c r="R5" s="16" t="b">
        <v>0</v>
      </c>
      <c r="S5" s="16" t="b">
        <v>0</v>
      </c>
      <c r="T5" s="16" t="b">
        <v>0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0</v>
      </c>
      <c r="AJ5" s="16" t="b">
        <v>0</v>
      </c>
      <c r="AK5" s="16" t="b">
        <v>0</v>
      </c>
      <c r="AL5" s="17" t="str">
        <f t="shared" si="1"/>
        <v>1 dari 31 (3%)</v>
      </c>
    </row>
    <row r="6" ht="22.5" customHeight="1">
      <c r="A6" s="2">
        <v>5.0</v>
      </c>
      <c r="B6" s="18"/>
      <c r="C6" s="20">
        <v>61311.0</v>
      </c>
      <c r="D6" s="12" t="s">
        <v>98</v>
      </c>
      <c r="E6" s="12" t="s">
        <v>99</v>
      </c>
      <c r="F6" s="15" t="s">
        <v>50</v>
      </c>
      <c r="G6" s="6" t="b">
        <v>1</v>
      </c>
      <c r="H6" s="6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9" t="str">
        <f t="shared" si="1"/>
        <v>1 dari 31 (3%)</v>
      </c>
    </row>
    <row r="7" ht="22.5" customHeight="1">
      <c r="A7" s="10">
        <v>6.0</v>
      </c>
      <c r="B7" s="11"/>
      <c r="C7" s="20">
        <v>61223.0</v>
      </c>
      <c r="D7" s="12" t="s">
        <v>98</v>
      </c>
      <c r="E7" s="12" t="s">
        <v>99</v>
      </c>
      <c r="F7" s="15" t="s">
        <v>50</v>
      </c>
      <c r="G7" s="16" t="b">
        <v>1</v>
      </c>
      <c r="H7" s="16" t="b">
        <v>0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  <c r="N7" s="16" t="b">
        <v>0</v>
      </c>
      <c r="O7" s="16" t="b">
        <v>0</v>
      </c>
      <c r="P7" s="16" t="b">
        <v>0</v>
      </c>
      <c r="Q7" s="16" t="b">
        <v>0</v>
      </c>
      <c r="R7" s="16" t="b">
        <v>0</v>
      </c>
      <c r="S7" s="16" t="b">
        <v>0</v>
      </c>
      <c r="T7" s="16" t="b">
        <v>0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7" t="str">
        <f t="shared" si="1"/>
        <v>1 dari 31 (3%)</v>
      </c>
    </row>
    <row r="8" ht="22.5" customHeight="1">
      <c r="A8" s="2">
        <v>7.0</v>
      </c>
      <c r="B8" s="18"/>
      <c r="C8" s="20">
        <v>59246.0</v>
      </c>
      <c r="D8" s="12" t="s">
        <v>53</v>
      </c>
      <c r="E8" s="12" t="s">
        <v>48</v>
      </c>
      <c r="F8" s="15" t="s">
        <v>50</v>
      </c>
      <c r="G8" s="6" t="b">
        <v>1</v>
      </c>
      <c r="H8" s="6" t="b">
        <v>0</v>
      </c>
      <c r="I8" s="6" t="b">
        <v>0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1</v>
      </c>
      <c r="AJ8" s="6" t="b">
        <v>0</v>
      </c>
      <c r="AK8" s="6" t="b">
        <v>0</v>
      </c>
      <c r="AL8" s="9" t="str">
        <f t="shared" si="1"/>
        <v>12 dari 31 (39%)</v>
      </c>
    </row>
    <row r="9" ht="22.5" customHeight="1">
      <c r="A9" s="10">
        <v>8.0</v>
      </c>
      <c r="B9" s="11"/>
      <c r="C9" s="22">
        <v>46340.0</v>
      </c>
      <c r="D9" s="12" t="s">
        <v>80</v>
      </c>
      <c r="E9" s="12" t="s">
        <v>81</v>
      </c>
      <c r="F9" s="15" t="s">
        <v>50</v>
      </c>
      <c r="G9" s="16" t="b">
        <v>1</v>
      </c>
      <c r="H9" s="16" t="b">
        <v>0</v>
      </c>
      <c r="I9" s="16" t="b">
        <v>0</v>
      </c>
      <c r="J9" s="16" t="b">
        <v>0</v>
      </c>
      <c r="K9" s="16" t="b">
        <v>0</v>
      </c>
      <c r="L9" s="16" t="b">
        <v>0</v>
      </c>
      <c r="M9" s="16" t="b">
        <v>0</v>
      </c>
      <c r="N9" s="16" t="b">
        <v>0</v>
      </c>
      <c r="O9" s="16" t="b">
        <v>0</v>
      </c>
      <c r="P9" s="16" t="b">
        <v>0</v>
      </c>
      <c r="Q9" s="16" t="b">
        <v>0</v>
      </c>
      <c r="R9" s="16" t="b">
        <v>0</v>
      </c>
      <c r="S9" s="16" t="b">
        <v>0</v>
      </c>
      <c r="T9" s="16" t="b">
        <v>0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1 dari 31 (3%)</v>
      </c>
    </row>
    <row r="10" ht="22.5" customHeight="1">
      <c r="A10" s="2">
        <v>9.0</v>
      </c>
      <c r="B10" s="18"/>
      <c r="C10" s="22">
        <v>59099.0</v>
      </c>
      <c r="D10" s="12" t="s">
        <v>53</v>
      </c>
      <c r="E10" s="12" t="s">
        <v>139</v>
      </c>
      <c r="F10" s="15" t="s">
        <v>50</v>
      </c>
      <c r="G10" s="6" t="b">
        <v>1</v>
      </c>
      <c r="H10" s="6" t="b">
        <v>0</v>
      </c>
      <c r="I10" s="6" t="b">
        <v>0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1</v>
      </c>
      <c r="AJ10" s="6" t="b">
        <v>0</v>
      </c>
      <c r="AK10" s="6" t="b">
        <v>0</v>
      </c>
      <c r="AL10" s="9" t="str">
        <f t="shared" si="1"/>
        <v>12 dari 31 (39%)</v>
      </c>
    </row>
    <row r="11" ht="22.5" customHeight="1">
      <c r="A11" s="10">
        <v>10.0</v>
      </c>
      <c r="B11" s="11"/>
      <c r="C11" s="22">
        <v>51073.0</v>
      </c>
      <c r="D11" s="12" t="s">
        <v>53</v>
      </c>
      <c r="E11" s="12" t="s">
        <v>139</v>
      </c>
      <c r="F11" s="15" t="s">
        <v>50</v>
      </c>
      <c r="G11" s="16" t="b">
        <v>1</v>
      </c>
      <c r="H11" s="16" t="b">
        <v>0</v>
      </c>
      <c r="I11" s="16" t="b">
        <v>0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0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1</v>
      </c>
      <c r="AJ11" s="16" t="b">
        <v>0</v>
      </c>
      <c r="AK11" s="16" t="b">
        <v>0</v>
      </c>
      <c r="AL11" s="17" t="str">
        <f t="shared" si="1"/>
        <v>12 dari 31 (39%)</v>
      </c>
    </row>
    <row r="12" ht="22.5" customHeight="1">
      <c r="A12" s="2">
        <v>11.0</v>
      </c>
      <c r="B12" s="18"/>
      <c r="C12" s="20">
        <v>60786.0</v>
      </c>
      <c r="D12" s="12" t="s">
        <v>68</v>
      </c>
      <c r="E12" s="12" t="s">
        <v>155</v>
      </c>
      <c r="F12" s="13"/>
      <c r="G12" s="6" t="b">
        <v>1</v>
      </c>
      <c r="H12" s="6" t="b">
        <v>1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1</v>
      </c>
      <c r="AJ12" s="6" t="b">
        <v>0</v>
      </c>
      <c r="AK12" s="6" t="b">
        <v>0</v>
      </c>
      <c r="AL12" s="9" t="str">
        <f t="shared" si="1"/>
        <v>15 dari 31 (48%)</v>
      </c>
    </row>
    <row r="13" ht="22.5" customHeight="1">
      <c r="A13" s="10">
        <v>12.0</v>
      </c>
      <c r="B13" s="11"/>
      <c r="C13" s="20">
        <v>61225.0</v>
      </c>
      <c r="D13" s="12" t="s">
        <v>98</v>
      </c>
      <c r="E13" s="12" t="s">
        <v>99</v>
      </c>
      <c r="F13" s="14" t="s">
        <v>50</v>
      </c>
      <c r="G13" s="16" t="b">
        <v>1</v>
      </c>
      <c r="H13" s="16" t="b">
        <v>0</v>
      </c>
      <c r="I13" s="16" t="b">
        <v>0</v>
      </c>
      <c r="J13" s="16" t="b">
        <v>0</v>
      </c>
      <c r="K13" s="16" t="b">
        <v>0</v>
      </c>
      <c r="L13" s="16" t="b">
        <v>0</v>
      </c>
      <c r="M13" s="16" t="b">
        <v>0</v>
      </c>
      <c r="N13" s="16" t="b">
        <v>0</v>
      </c>
      <c r="O13" s="16" t="b">
        <v>0</v>
      </c>
      <c r="P13" s="16" t="b">
        <v>0</v>
      </c>
      <c r="Q13" s="16" t="b">
        <v>0</v>
      </c>
      <c r="R13" s="16" t="b">
        <v>0</v>
      </c>
      <c r="S13" s="16" t="b">
        <v>0</v>
      </c>
      <c r="T13" s="16" t="b">
        <v>0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7" t="str">
        <f t="shared" si="1"/>
        <v>1 dari 31 (3%)</v>
      </c>
    </row>
    <row r="14" ht="22.5" customHeight="1">
      <c r="A14" s="2">
        <v>13.0</v>
      </c>
      <c r="B14" s="18"/>
      <c r="C14" s="20">
        <v>58183.0</v>
      </c>
      <c r="D14" s="12" t="s">
        <v>98</v>
      </c>
      <c r="E14" s="12" t="s">
        <v>99</v>
      </c>
      <c r="F14" s="14" t="s">
        <v>50</v>
      </c>
      <c r="G14" s="6" t="b">
        <v>1</v>
      </c>
      <c r="H14" s="6" t="b">
        <v>0</v>
      </c>
      <c r="I14" s="6" t="b">
        <v>0</v>
      </c>
      <c r="J14" s="6" t="b">
        <v>0</v>
      </c>
      <c r="K14" s="6" t="b">
        <v>0</v>
      </c>
      <c r="L14" s="6" t="b">
        <v>0</v>
      </c>
      <c r="M14" s="6" t="b">
        <v>0</v>
      </c>
      <c r="N14" s="6" t="b">
        <v>0</v>
      </c>
      <c r="O14" s="6" t="b">
        <v>0</v>
      </c>
      <c r="P14" s="6" t="b">
        <v>0</v>
      </c>
      <c r="Q14" s="6" t="b">
        <v>0</v>
      </c>
      <c r="R14" s="6" t="b">
        <v>0</v>
      </c>
      <c r="S14" s="6" t="b">
        <v>0</v>
      </c>
      <c r="T14" s="6" t="b">
        <v>0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1 dari 31 (3%)</v>
      </c>
    </row>
    <row r="15" ht="22.5" customHeight="1">
      <c r="A15" s="10">
        <v>14.0</v>
      </c>
      <c r="B15" s="11"/>
      <c r="C15" s="20">
        <v>57194.0</v>
      </c>
      <c r="D15" s="12" t="s">
        <v>68</v>
      </c>
      <c r="E15" s="12" t="s">
        <v>109</v>
      </c>
      <c r="F15" s="13"/>
      <c r="G15" s="16" t="b">
        <v>1</v>
      </c>
      <c r="H15" s="16" t="b">
        <v>1</v>
      </c>
      <c r="I15" s="16" t="b">
        <v>1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1</v>
      </c>
      <c r="AJ15" s="16" t="b">
        <v>0</v>
      </c>
      <c r="AK15" s="16" t="b">
        <v>0</v>
      </c>
      <c r="AL15" s="17" t="str">
        <f t="shared" si="1"/>
        <v>15 dari 31 (48%)</v>
      </c>
    </row>
    <row r="16" ht="22.5" customHeight="1">
      <c r="A16" s="2">
        <v>15.0</v>
      </c>
      <c r="B16" s="18"/>
      <c r="C16" s="20">
        <v>57214.0</v>
      </c>
      <c r="D16" s="12" t="s">
        <v>98</v>
      </c>
      <c r="E16" s="12" t="s">
        <v>99</v>
      </c>
      <c r="F16" s="14" t="s">
        <v>50</v>
      </c>
      <c r="G16" s="6" t="b">
        <v>1</v>
      </c>
      <c r="H16" s="6" t="b">
        <v>0</v>
      </c>
      <c r="I16" s="6" t="b">
        <v>0</v>
      </c>
      <c r="J16" s="6" t="b">
        <v>0</v>
      </c>
      <c r="K16" s="6" t="b">
        <v>0</v>
      </c>
      <c r="L16" s="6" t="b">
        <v>0</v>
      </c>
      <c r="M16" s="6" t="b">
        <v>0</v>
      </c>
      <c r="N16" s="6" t="b">
        <v>0</v>
      </c>
      <c r="O16" s="6" t="b">
        <v>0</v>
      </c>
      <c r="P16" s="6" t="b">
        <v>0</v>
      </c>
      <c r="Q16" s="6" t="b">
        <v>0</v>
      </c>
      <c r="R16" s="6" t="b">
        <v>0</v>
      </c>
      <c r="S16" s="6" t="b">
        <v>0</v>
      </c>
      <c r="T16" s="6" t="b">
        <v>0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 dari 31 (3%)</v>
      </c>
    </row>
    <row r="17" ht="22.5" customHeight="1">
      <c r="A17" s="82">
        <v>16.0</v>
      </c>
      <c r="B17" s="83"/>
      <c r="C17" s="84">
        <v>61134.0</v>
      </c>
      <c r="D17" s="85" t="s">
        <v>98</v>
      </c>
      <c r="E17" s="85" t="s">
        <v>99</v>
      </c>
      <c r="F17" s="86" t="s">
        <v>67</v>
      </c>
      <c r="G17" s="143" t="b">
        <v>0</v>
      </c>
      <c r="H17" s="143" t="b">
        <v>0</v>
      </c>
      <c r="I17" s="143" t="b">
        <v>0</v>
      </c>
      <c r="J17" s="143" t="b">
        <v>0</v>
      </c>
      <c r="K17" s="143" t="b">
        <v>0</v>
      </c>
      <c r="L17" s="143" t="b">
        <v>0</v>
      </c>
      <c r="M17" s="143" t="b">
        <v>0</v>
      </c>
      <c r="N17" s="143" t="b">
        <v>0</v>
      </c>
      <c r="O17" s="143" t="b">
        <v>0</v>
      </c>
      <c r="P17" s="143" t="b">
        <v>0</v>
      </c>
      <c r="Q17" s="143" t="b">
        <v>0</v>
      </c>
      <c r="R17" s="143" t="b">
        <v>0</v>
      </c>
      <c r="S17" s="143" t="b">
        <v>0</v>
      </c>
      <c r="T17" s="143" t="b">
        <v>0</v>
      </c>
      <c r="U17" s="143" t="b">
        <v>0</v>
      </c>
      <c r="V17" s="143" t="b">
        <v>0</v>
      </c>
      <c r="W17" s="143" t="b">
        <v>0</v>
      </c>
      <c r="X17" s="143" t="b">
        <v>0</v>
      </c>
      <c r="Y17" s="143" t="b">
        <v>0</v>
      </c>
      <c r="Z17" s="143" t="b">
        <v>0</v>
      </c>
      <c r="AA17" s="143" t="b">
        <v>0</v>
      </c>
      <c r="AB17" s="143" t="b">
        <v>0</v>
      </c>
      <c r="AC17" s="143" t="b">
        <v>0</v>
      </c>
      <c r="AD17" s="143" t="b">
        <v>0</v>
      </c>
      <c r="AE17" s="143" t="b">
        <v>0</v>
      </c>
      <c r="AF17" s="143" t="b">
        <v>0</v>
      </c>
      <c r="AG17" s="143" t="b">
        <v>0</v>
      </c>
      <c r="AH17" s="143" t="b">
        <v>0</v>
      </c>
      <c r="AI17" s="143" t="b">
        <v>0</v>
      </c>
      <c r="AJ17" s="143" t="b">
        <v>0</v>
      </c>
      <c r="AK17" s="143" t="b">
        <v>0</v>
      </c>
      <c r="AL17" s="88" t="str">
        <f t="shared" si="1"/>
        <v>0 dari 31 (0%)</v>
      </c>
    </row>
    <row r="18" ht="22.5" customHeight="1">
      <c r="A18" s="2">
        <v>17.0</v>
      </c>
      <c r="B18" s="18"/>
      <c r="C18" s="20">
        <v>59949.0</v>
      </c>
      <c r="D18" s="12" t="s">
        <v>54</v>
      </c>
      <c r="E18" s="12" t="s">
        <v>76</v>
      </c>
      <c r="F18" s="14" t="s">
        <v>50</v>
      </c>
      <c r="G18" s="6" t="b">
        <v>1</v>
      </c>
      <c r="H18" s="6" t="b">
        <v>0</v>
      </c>
      <c r="I18" s="6" t="b">
        <v>0</v>
      </c>
      <c r="J18" s="6" t="b">
        <v>0</v>
      </c>
      <c r="K18" s="6" t="b">
        <v>0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0</v>
      </c>
      <c r="Q18" s="6" t="b">
        <v>0</v>
      </c>
      <c r="R18" s="6" t="b">
        <v>1</v>
      </c>
      <c r="S18" s="6" t="b">
        <v>1</v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3 dari 31 (10%)</v>
      </c>
    </row>
    <row r="19" ht="22.5" customHeight="1">
      <c r="A19" s="10">
        <v>18.0</v>
      </c>
      <c r="B19" s="11"/>
      <c r="C19" s="20">
        <v>60129.0</v>
      </c>
      <c r="D19" s="12" t="s">
        <v>54</v>
      </c>
      <c r="E19" s="12" t="s">
        <v>76</v>
      </c>
      <c r="F19" s="14" t="s">
        <v>50</v>
      </c>
      <c r="G19" s="16" t="b">
        <v>1</v>
      </c>
      <c r="H19" s="16" t="b">
        <v>0</v>
      </c>
      <c r="I19" s="16" t="b">
        <v>0</v>
      </c>
      <c r="J19" s="16" t="b">
        <v>0</v>
      </c>
      <c r="K19" s="16" t="b">
        <v>0</v>
      </c>
      <c r="L19" s="16" t="b">
        <v>0</v>
      </c>
      <c r="M19" s="16" t="b">
        <v>0</v>
      </c>
      <c r="N19" s="16" t="b">
        <v>0</v>
      </c>
      <c r="O19" s="16" t="b">
        <v>0</v>
      </c>
      <c r="P19" s="16" t="b">
        <v>0</v>
      </c>
      <c r="Q19" s="16" t="b">
        <v>0</v>
      </c>
      <c r="R19" s="16" t="b">
        <v>1</v>
      </c>
      <c r="S19" s="16" t="b">
        <v>1</v>
      </c>
      <c r="T19" s="16" t="b">
        <v>0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3 dari 31 (10%)</v>
      </c>
    </row>
    <row r="20" ht="22.5" customHeight="1">
      <c r="A20" s="30">
        <v>19.0</v>
      </c>
      <c r="B20" s="31"/>
      <c r="C20" s="60">
        <v>27746.0</v>
      </c>
      <c r="D20" s="51" t="s">
        <v>54</v>
      </c>
      <c r="E20" s="51" t="s">
        <v>76</v>
      </c>
      <c r="F20" s="136" t="s">
        <v>105</v>
      </c>
      <c r="G20" s="35" t="b">
        <v>0</v>
      </c>
      <c r="H20" s="35" t="b">
        <v>0</v>
      </c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5" t="b">
        <v>0</v>
      </c>
      <c r="R20" s="35" t="b">
        <v>0</v>
      </c>
      <c r="S20" s="35" t="b">
        <v>0</v>
      </c>
      <c r="T20" s="35" t="b">
        <v>0</v>
      </c>
      <c r="U20" s="35" t="b">
        <v>0</v>
      </c>
      <c r="V20" s="35" t="b">
        <v>0</v>
      </c>
      <c r="W20" s="35" t="b">
        <v>0</v>
      </c>
      <c r="X20" s="35" t="b">
        <v>0</v>
      </c>
      <c r="Y20" s="35" t="b">
        <v>0</v>
      </c>
      <c r="Z20" s="35" t="b">
        <v>0</v>
      </c>
      <c r="AA20" s="35" t="b">
        <v>0</v>
      </c>
      <c r="AB20" s="35" t="b">
        <v>0</v>
      </c>
      <c r="AC20" s="35" t="b">
        <v>0</v>
      </c>
      <c r="AD20" s="35" t="b">
        <v>0</v>
      </c>
      <c r="AE20" s="35" t="b">
        <v>0</v>
      </c>
      <c r="AF20" s="35" t="b">
        <v>0</v>
      </c>
      <c r="AG20" s="35" t="b">
        <v>0</v>
      </c>
      <c r="AH20" s="35" t="b">
        <v>0</v>
      </c>
      <c r="AI20" s="35" t="b">
        <v>0</v>
      </c>
      <c r="AJ20" s="35" t="b">
        <v>0</v>
      </c>
      <c r="AK20" s="35" t="b">
        <v>0</v>
      </c>
      <c r="AL20" s="38" t="str">
        <f t="shared" si="1"/>
        <v>0 dari 31 (0%)</v>
      </c>
    </row>
    <row r="21" ht="22.5" customHeight="1">
      <c r="A21" s="10">
        <v>20.0</v>
      </c>
      <c r="B21" s="11"/>
      <c r="C21" s="20">
        <v>57384.0</v>
      </c>
      <c r="D21" s="12" t="s">
        <v>54</v>
      </c>
      <c r="E21" s="12" t="s">
        <v>76</v>
      </c>
      <c r="F21" s="14" t="s">
        <v>50</v>
      </c>
      <c r="G21" s="16" t="b">
        <v>1</v>
      </c>
      <c r="H21" s="16" t="b">
        <v>0</v>
      </c>
      <c r="I21" s="16" t="b">
        <v>0</v>
      </c>
      <c r="J21" s="16" t="b">
        <v>0</v>
      </c>
      <c r="K21" s="16" t="b">
        <v>0</v>
      </c>
      <c r="L21" s="16" t="b">
        <v>0</v>
      </c>
      <c r="M21" s="16" t="b">
        <v>0</v>
      </c>
      <c r="N21" s="16" t="b">
        <v>0</v>
      </c>
      <c r="O21" s="16" t="b">
        <v>0</v>
      </c>
      <c r="P21" s="16" t="b">
        <v>0</v>
      </c>
      <c r="Q21" s="16" t="b">
        <v>0</v>
      </c>
      <c r="R21" s="16" t="b">
        <v>1</v>
      </c>
      <c r="S21" s="16" t="b">
        <v>1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3 dari 31 (10%)</v>
      </c>
    </row>
    <row r="22" ht="22.5" customHeight="1">
      <c r="A22" s="2">
        <v>21.0</v>
      </c>
      <c r="B22" s="18"/>
      <c r="C22" s="20">
        <v>59599.0</v>
      </c>
      <c r="D22" s="12" t="s">
        <v>54</v>
      </c>
      <c r="E22" s="12" t="s">
        <v>76</v>
      </c>
      <c r="F22" s="15" t="s">
        <v>50</v>
      </c>
      <c r="G22" s="6" t="b">
        <v>1</v>
      </c>
      <c r="H22" s="6" t="b">
        <v>0</v>
      </c>
      <c r="I22" s="6" t="b">
        <v>0</v>
      </c>
      <c r="J22" s="6" t="b">
        <v>0</v>
      </c>
      <c r="K22" s="6" t="b">
        <v>0</v>
      </c>
      <c r="L22" s="6" t="b">
        <v>0</v>
      </c>
      <c r="M22" s="6" t="b">
        <v>0</v>
      </c>
      <c r="N22" s="6" t="b">
        <v>0</v>
      </c>
      <c r="O22" s="6" t="b">
        <v>0</v>
      </c>
      <c r="P22" s="6" t="b">
        <v>0</v>
      </c>
      <c r="Q22" s="6" t="b">
        <v>0</v>
      </c>
      <c r="R22" s="6" t="b">
        <v>0</v>
      </c>
      <c r="S22" s="6" t="b">
        <v>0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1 dari 31 (3%)</v>
      </c>
    </row>
    <row r="23" ht="22.5" customHeight="1">
      <c r="A23" s="10">
        <v>22.0</v>
      </c>
      <c r="B23" s="11"/>
      <c r="C23" s="20">
        <v>40618.0</v>
      </c>
      <c r="D23" s="12" t="s">
        <v>54</v>
      </c>
      <c r="E23" s="12" t="s">
        <v>76</v>
      </c>
      <c r="F23" s="15" t="s">
        <v>50</v>
      </c>
      <c r="G23" s="16" t="b">
        <v>1</v>
      </c>
      <c r="H23" s="16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6" t="b">
        <v>0</v>
      </c>
      <c r="Q23" s="16" t="b">
        <v>0</v>
      </c>
      <c r="R23" s="16" t="b">
        <v>0</v>
      </c>
      <c r="S23" s="16" t="b">
        <v>0</v>
      </c>
      <c r="T23" s="16" t="b">
        <v>0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1</v>
      </c>
      <c r="AA23" s="16" t="b">
        <v>1</v>
      </c>
      <c r="AB23" s="16" t="b">
        <v>1</v>
      </c>
      <c r="AC23" s="16" t="b">
        <v>1</v>
      </c>
      <c r="AD23" s="16" t="b">
        <v>1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6 dari 31 (19%)</v>
      </c>
    </row>
    <row r="24" ht="22.5" customHeight="1">
      <c r="A24" s="30">
        <v>23.0</v>
      </c>
      <c r="B24" s="31"/>
      <c r="C24" s="60">
        <v>53555.0</v>
      </c>
      <c r="D24" s="51" t="s">
        <v>54</v>
      </c>
      <c r="E24" s="51" t="s">
        <v>76</v>
      </c>
      <c r="F24" s="136" t="s">
        <v>105</v>
      </c>
      <c r="G24" s="35" t="b">
        <v>0</v>
      </c>
      <c r="H24" s="35" t="b">
        <v>0</v>
      </c>
      <c r="I24" s="35" t="b">
        <v>0</v>
      </c>
      <c r="J24" s="35" t="b">
        <v>0</v>
      </c>
      <c r="K24" s="35" t="b">
        <v>0</v>
      </c>
      <c r="L24" s="35" t="b">
        <v>0</v>
      </c>
      <c r="M24" s="35" t="b">
        <v>0</v>
      </c>
      <c r="N24" s="35" t="b">
        <v>0</v>
      </c>
      <c r="O24" s="35" t="b">
        <v>0</v>
      </c>
      <c r="P24" s="35" t="b">
        <v>0</v>
      </c>
      <c r="Q24" s="35" t="b">
        <v>0</v>
      </c>
      <c r="R24" s="35" t="b">
        <v>0</v>
      </c>
      <c r="S24" s="35" t="b">
        <v>0</v>
      </c>
      <c r="T24" s="35" t="b">
        <v>0</v>
      </c>
      <c r="U24" s="35" t="b">
        <v>0</v>
      </c>
      <c r="V24" s="35" t="b">
        <v>0</v>
      </c>
      <c r="W24" s="35" t="b">
        <v>0</v>
      </c>
      <c r="X24" s="35" t="b">
        <v>0</v>
      </c>
      <c r="Y24" s="35" t="b">
        <v>0</v>
      </c>
      <c r="Z24" s="35" t="b">
        <v>0</v>
      </c>
      <c r="AA24" s="35" t="b">
        <v>0</v>
      </c>
      <c r="AB24" s="35" t="b">
        <v>0</v>
      </c>
      <c r="AC24" s="35" t="b">
        <v>0</v>
      </c>
      <c r="AD24" s="35" t="b">
        <v>0</v>
      </c>
      <c r="AE24" s="35" t="b">
        <v>0</v>
      </c>
      <c r="AF24" s="35" t="b">
        <v>0</v>
      </c>
      <c r="AG24" s="35" t="b">
        <v>0</v>
      </c>
      <c r="AH24" s="35" t="b">
        <v>0</v>
      </c>
      <c r="AI24" s="35" t="b">
        <v>0</v>
      </c>
      <c r="AJ24" s="35" t="b">
        <v>0</v>
      </c>
      <c r="AK24" s="35" t="b">
        <v>0</v>
      </c>
      <c r="AL24" s="38" t="str">
        <f t="shared" si="1"/>
        <v>0 dari 31 (0%)</v>
      </c>
    </row>
    <row r="25" ht="22.5" customHeight="1">
      <c r="A25" s="10">
        <v>24.0</v>
      </c>
      <c r="B25" s="11"/>
      <c r="C25" s="20">
        <v>61070.0</v>
      </c>
      <c r="D25" s="12" t="s">
        <v>54</v>
      </c>
      <c r="E25" s="12" t="s">
        <v>76</v>
      </c>
      <c r="F25" s="15" t="s">
        <v>50</v>
      </c>
      <c r="G25" s="16" t="b">
        <v>1</v>
      </c>
      <c r="H25" s="16" t="b">
        <v>0</v>
      </c>
      <c r="I25" s="16" t="b">
        <v>0</v>
      </c>
      <c r="J25" s="16" t="b">
        <v>1</v>
      </c>
      <c r="K25" s="16" t="b">
        <v>1</v>
      </c>
      <c r="L25" s="16" t="b">
        <v>1</v>
      </c>
      <c r="M25" s="16" t="b">
        <v>1</v>
      </c>
      <c r="N25" s="16" t="b">
        <v>1</v>
      </c>
      <c r="O25" s="16" t="b">
        <v>1</v>
      </c>
      <c r="P25" s="16" t="b">
        <v>1</v>
      </c>
      <c r="Q25" s="16" t="b">
        <v>1</v>
      </c>
      <c r="R25" s="16" t="b">
        <v>1</v>
      </c>
      <c r="S25" s="16" t="b">
        <v>1</v>
      </c>
      <c r="T25" s="16" t="b">
        <v>0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1</v>
      </c>
      <c r="AA25" s="16" t="b">
        <v>1</v>
      </c>
      <c r="AB25" s="16" t="b">
        <v>1</v>
      </c>
      <c r="AC25" s="16" t="b">
        <v>1</v>
      </c>
      <c r="AD25" s="16" t="b">
        <v>1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1</v>
      </c>
      <c r="AJ25" s="16" t="b">
        <v>0</v>
      </c>
      <c r="AK25" s="16" t="b">
        <v>0</v>
      </c>
      <c r="AL25" s="17" t="str">
        <f t="shared" si="1"/>
        <v>17 dari 31 (55%)</v>
      </c>
    </row>
    <row r="26" ht="22.5" customHeight="1">
      <c r="A26" s="2">
        <v>25.0</v>
      </c>
      <c r="B26" s="18"/>
      <c r="C26" s="20">
        <v>55473.0</v>
      </c>
      <c r="D26" s="12" t="s">
        <v>41</v>
      </c>
      <c r="E26" s="12" t="s">
        <v>48</v>
      </c>
      <c r="F26" s="15" t="s">
        <v>50</v>
      </c>
      <c r="G26" s="6" t="b">
        <v>1</v>
      </c>
      <c r="H26" s="6" t="b">
        <v>0</v>
      </c>
      <c r="I26" s="6" t="b">
        <v>0</v>
      </c>
      <c r="J26" s="6" t="b">
        <v>0</v>
      </c>
      <c r="K26" s="6" t="b">
        <v>1</v>
      </c>
      <c r="L26" s="6" t="b">
        <v>1</v>
      </c>
      <c r="M26" s="6" t="b">
        <v>1</v>
      </c>
      <c r="N26" s="6" t="b">
        <v>1</v>
      </c>
      <c r="O26" s="6" t="b">
        <v>1</v>
      </c>
      <c r="P26" s="6" t="b">
        <v>1</v>
      </c>
      <c r="Q26" s="6" t="b">
        <v>1</v>
      </c>
      <c r="R26" s="6" t="b">
        <v>1</v>
      </c>
      <c r="S26" s="6" t="b">
        <v>1</v>
      </c>
      <c r="T26" s="6" t="b">
        <v>0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10 dari 31 (32%)</v>
      </c>
    </row>
    <row r="27" ht="22.5" customHeight="1">
      <c r="A27" s="10">
        <v>26.0</v>
      </c>
      <c r="B27" s="11"/>
      <c r="C27" s="22">
        <v>60568.0</v>
      </c>
      <c r="D27" s="12" t="s">
        <v>41</v>
      </c>
      <c r="E27" s="12" t="s">
        <v>48</v>
      </c>
      <c r="F27" s="15" t="s">
        <v>50</v>
      </c>
      <c r="G27" s="16" t="b">
        <v>1</v>
      </c>
      <c r="H27" s="16" t="b">
        <v>0</v>
      </c>
      <c r="I27" s="16" t="b">
        <v>0</v>
      </c>
      <c r="J27" s="16" t="b">
        <v>0</v>
      </c>
      <c r="K27" s="16" t="b">
        <v>1</v>
      </c>
      <c r="L27" s="16" t="b">
        <v>1</v>
      </c>
      <c r="M27" s="16" t="b">
        <v>1</v>
      </c>
      <c r="N27" s="16" t="b">
        <v>0</v>
      </c>
      <c r="O27" s="16" t="b">
        <v>1</v>
      </c>
      <c r="P27" s="16" t="b">
        <v>1</v>
      </c>
      <c r="Q27" s="16" t="b">
        <v>1</v>
      </c>
      <c r="R27" s="16" t="b">
        <v>1</v>
      </c>
      <c r="S27" s="16" t="b">
        <v>1</v>
      </c>
      <c r="T27" s="16" t="b">
        <v>0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9 dari 31 (29%)</v>
      </c>
    </row>
    <row r="28" ht="22.5" customHeight="1">
      <c r="A28" s="2">
        <v>27.0</v>
      </c>
      <c r="B28" s="18"/>
      <c r="C28" s="22">
        <v>45576.0</v>
      </c>
      <c r="D28" s="12" t="s">
        <v>41</v>
      </c>
      <c r="E28" s="12" t="s">
        <v>48</v>
      </c>
      <c r="F28" s="15" t="s">
        <v>50</v>
      </c>
      <c r="G28" s="6" t="b">
        <v>1</v>
      </c>
      <c r="H28" s="6" t="b">
        <v>0</v>
      </c>
      <c r="I28" s="6" t="b">
        <v>0</v>
      </c>
      <c r="J28" s="6" t="b">
        <v>0</v>
      </c>
      <c r="K28" s="6" t="b">
        <v>1</v>
      </c>
      <c r="L28" s="6" t="b">
        <v>1</v>
      </c>
      <c r="M28" s="6" t="b">
        <v>1</v>
      </c>
      <c r="N28" s="6" t="b">
        <v>1</v>
      </c>
      <c r="O28" s="6" t="b">
        <v>1</v>
      </c>
      <c r="P28" s="6" t="b">
        <v>1</v>
      </c>
      <c r="Q28" s="6" t="b">
        <v>1</v>
      </c>
      <c r="R28" s="6" t="b">
        <v>1</v>
      </c>
      <c r="S28" s="6" t="b">
        <v>1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9" t="str">
        <f t="shared" si="1"/>
        <v>10 dari 31 (32%)</v>
      </c>
    </row>
    <row r="29" ht="22.5" customHeight="1">
      <c r="A29" s="10">
        <v>28.0</v>
      </c>
      <c r="B29" s="11"/>
      <c r="C29" s="22">
        <v>56526.0</v>
      </c>
      <c r="D29" s="12" t="s">
        <v>41</v>
      </c>
      <c r="E29" s="12" t="s">
        <v>48</v>
      </c>
      <c r="F29" s="15" t="s">
        <v>50</v>
      </c>
      <c r="G29" s="16" t="b">
        <v>1</v>
      </c>
      <c r="H29" s="16" t="b">
        <v>0</v>
      </c>
      <c r="I29" s="16" t="b">
        <v>0</v>
      </c>
      <c r="J29" s="16" t="b">
        <v>0</v>
      </c>
      <c r="K29" s="16" t="b">
        <v>1</v>
      </c>
      <c r="L29" s="16" t="b">
        <v>1</v>
      </c>
      <c r="M29" s="16" t="b">
        <v>1</v>
      </c>
      <c r="N29" s="16" t="b">
        <v>1</v>
      </c>
      <c r="O29" s="16" t="b">
        <v>1</v>
      </c>
      <c r="P29" s="16" t="b">
        <v>1</v>
      </c>
      <c r="Q29" s="16" t="b">
        <v>1</v>
      </c>
      <c r="R29" s="16" t="b">
        <v>1</v>
      </c>
      <c r="S29" s="16" t="b">
        <v>1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10 dari 31 (32%)</v>
      </c>
    </row>
    <row r="30" ht="22.5" customHeight="1">
      <c r="A30" s="2">
        <v>29.0</v>
      </c>
      <c r="B30" s="18"/>
      <c r="C30" s="22">
        <v>59795.0</v>
      </c>
      <c r="D30" s="12" t="s">
        <v>41</v>
      </c>
      <c r="E30" s="12" t="s">
        <v>48</v>
      </c>
      <c r="F30" s="15" t="s">
        <v>50</v>
      </c>
      <c r="G30" s="6" t="b">
        <v>1</v>
      </c>
      <c r="H30" s="6" t="b">
        <v>0</v>
      </c>
      <c r="I30" s="6" t="b">
        <v>0</v>
      </c>
      <c r="J30" s="6" t="b">
        <v>0</v>
      </c>
      <c r="K30" s="6" t="b">
        <v>1</v>
      </c>
      <c r="L30" s="6" t="b">
        <v>1</v>
      </c>
      <c r="M30" s="6" t="b">
        <v>1</v>
      </c>
      <c r="N30" s="6" t="b">
        <v>1</v>
      </c>
      <c r="O30" s="6" t="b">
        <v>1</v>
      </c>
      <c r="P30" s="6" t="b">
        <v>1</v>
      </c>
      <c r="Q30" s="6" t="b">
        <v>1</v>
      </c>
      <c r="R30" s="6" t="b">
        <v>1</v>
      </c>
      <c r="S30" s="6" t="b">
        <v>1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1"/>
        <v>10 dari 31 (32%)</v>
      </c>
    </row>
    <row r="31" ht="22.5" customHeight="1">
      <c r="A31" s="10">
        <v>30.0</v>
      </c>
      <c r="B31" s="11"/>
      <c r="C31" s="22">
        <v>44349.0</v>
      </c>
      <c r="D31" s="12" t="s">
        <v>41</v>
      </c>
      <c r="E31" s="12" t="s">
        <v>48</v>
      </c>
      <c r="F31" s="15" t="s">
        <v>50</v>
      </c>
      <c r="G31" s="16" t="b">
        <v>1</v>
      </c>
      <c r="H31" s="16" t="b">
        <v>0</v>
      </c>
      <c r="I31" s="16" t="b">
        <v>0</v>
      </c>
      <c r="J31" s="16" t="b">
        <v>0</v>
      </c>
      <c r="K31" s="16" t="b">
        <v>0</v>
      </c>
      <c r="L31" s="16" t="b">
        <v>0</v>
      </c>
      <c r="M31" s="16" t="b">
        <v>0</v>
      </c>
      <c r="N31" s="16" t="b">
        <v>0</v>
      </c>
      <c r="O31" s="16" t="b">
        <v>0</v>
      </c>
      <c r="P31" s="16" t="b">
        <v>0</v>
      </c>
      <c r="Q31" s="16" t="b">
        <v>0</v>
      </c>
      <c r="R31" s="16" t="b">
        <v>0</v>
      </c>
      <c r="S31" s="16" t="b">
        <v>0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7" t="str">
        <f t="shared" si="1"/>
        <v>1 dari 31 (3%)</v>
      </c>
    </row>
    <row r="32" ht="22.5" customHeight="1">
      <c r="A32" s="2">
        <v>31.0</v>
      </c>
      <c r="B32" s="18"/>
      <c r="C32" s="20">
        <v>60927.0</v>
      </c>
      <c r="D32" s="12" t="s">
        <v>51</v>
      </c>
      <c r="E32" s="12" t="s">
        <v>65</v>
      </c>
      <c r="F32" s="15" t="s">
        <v>50</v>
      </c>
      <c r="G32" s="6" t="b">
        <v>1</v>
      </c>
      <c r="H32" s="6" t="b">
        <v>0</v>
      </c>
      <c r="I32" s="6" t="b">
        <v>0</v>
      </c>
      <c r="J32" s="6" t="b">
        <v>0</v>
      </c>
      <c r="K32" s="6" t="b">
        <v>1</v>
      </c>
      <c r="L32" s="6" t="b">
        <v>1</v>
      </c>
      <c r="M32" s="6" t="b">
        <v>1</v>
      </c>
      <c r="N32" s="6" t="b">
        <v>1</v>
      </c>
      <c r="O32" s="6" t="b">
        <v>1</v>
      </c>
      <c r="P32" s="6" t="b">
        <v>1</v>
      </c>
      <c r="Q32" s="6" t="b">
        <v>1</v>
      </c>
      <c r="R32" s="6" t="b">
        <v>1</v>
      </c>
      <c r="S32" s="6" t="b">
        <v>1</v>
      </c>
      <c r="T32" s="6" t="b">
        <v>0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10 dari 31 (32%)</v>
      </c>
    </row>
    <row r="33" ht="22.5" customHeight="1">
      <c r="A33" s="10">
        <v>32.0</v>
      </c>
      <c r="B33" s="11"/>
      <c r="C33" s="20">
        <v>60614.0</v>
      </c>
      <c r="D33" s="12" t="s">
        <v>51</v>
      </c>
      <c r="E33" s="12" t="s">
        <v>140</v>
      </c>
      <c r="F33" s="15" t="s">
        <v>50</v>
      </c>
      <c r="G33" s="16" t="b">
        <v>1</v>
      </c>
      <c r="H33" s="16" t="b">
        <v>0</v>
      </c>
      <c r="I33" s="16" t="b">
        <v>0</v>
      </c>
      <c r="J33" s="16" t="b">
        <v>0</v>
      </c>
      <c r="K33" s="16" t="b">
        <v>1</v>
      </c>
      <c r="L33" s="16" t="b">
        <v>1</v>
      </c>
      <c r="M33" s="16" t="b">
        <v>1</v>
      </c>
      <c r="N33" s="16" t="b">
        <v>0</v>
      </c>
      <c r="O33" s="16" t="b">
        <v>1</v>
      </c>
      <c r="P33" s="16" t="b">
        <v>1</v>
      </c>
      <c r="Q33" s="16" t="b">
        <v>1</v>
      </c>
      <c r="R33" s="16" t="b">
        <v>1</v>
      </c>
      <c r="S33" s="16" t="b">
        <v>1</v>
      </c>
      <c r="T33" s="16" t="b">
        <v>0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0</v>
      </c>
      <c r="AJ33" s="16" t="b">
        <v>0</v>
      </c>
      <c r="AK33" s="16" t="b">
        <v>0</v>
      </c>
      <c r="AL33" s="17" t="str">
        <f t="shared" si="1"/>
        <v>9 dari 31 (29%)</v>
      </c>
    </row>
    <row r="34" ht="22.5" customHeight="1">
      <c r="A34" s="2">
        <v>33.0</v>
      </c>
      <c r="B34" s="18"/>
      <c r="C34" s="20">
        <v>61204.0</v>
      </c>
      <c r="D34" s="12" t="s">
        <v>56</v>
      </c>
      <c r="E34" s="12" t="s">
        <v>64</v>
      </c>
      <c r="F34" s="13"/>
      <c r="G34" s="6" t="b">
        <v>1</v>
      </c>
      <c r="H34" s="6" t="b">
        <v>1</v>
      </c>
      <c r="I34" s="6" t="b">
        <v>1</v>
      </c>
      <c r="J34" s="6" t="b">
        <v>1</v>
      </c>
      <c r="K34" s="6" t="b">
        <v>1</v>
      </c>
      <c r="L34" s="6" t="b">
        <v>1</v>
      </c>
      <c r="M34" s="6" t="b">
        <v>1</v>
      </c>
      <c r="N34" s="6" t="b">
        <v>1</v>
      </c>
      <c r="O34" s="6" t="b">
        <v>1</v>
      </c>
      <c r="P34" s="6" t="b">
        <v>1</v>
      </c>
      <c r="Q34" s="6" t="b">
        <v>1</v>
      </c>
      <c r="R34" s="6" t="b">
        <v>1</v>
      </c>
      <c r="S34" s="6" t="b">
        <v>1</v>
      </c>
      <c r="T34" s="6" t="b">
        <v>1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1</v>
      </c>
      <c r="AJ34" s="6" t="b">
        <v>0</v>
      </c>
      <c r="AK34" s="6" t="b">
        <v>0</v>
      </c>
      <c r="AL34" s="9" t="str">
        <f t="shared" si="1"/>
        <v>15 dari 31 (48%)</v>
      </c>
    </row>
    <row r="35" ht="22.5" customHeight="1">
      <c r="A35" s="10">
        <v>34.0</v>
      </c>
      <c r="B35" s="11"/>
      <c r="C35" s="20">
        <v>59794.0</v>
      </c>
      <c r="D35" s="12" t="s">
        <v>80</v>
      </c>
      <c r="E35" s="12" t="s">
        <v>43</v>
      </c>
      <c r="F35" s="15" t="s">
        <v>50</v>
      </c>
      <c r="G35" s="16" t="b">
        <v>1</v>
      </c>
      <c r="H35" s="16" t="b">
        <v>0</v>
      </c>
      <c r="I35" s="16" t="b">
        <v>0</v>
      </c>
      <c r="J35" s="16" t="b">
        <v>0</v>
      </c>
      <c r="K35" s="16" t="b">
        <v>0</v>
      </c>
      <c r="L35" s="16" t="b">
        <v>0</v>
      </c>
      <c r="M35" s="16" t="b">
        <v>0</v>
      </c>
      <c r="N35" s="16" t="b">
        <v>0</v>
      </c>
      <c r="O35" s="16" t="b">
        <v>0</v>
      </c>
      <c r="P35" s="16" t="b">
        <v>0</v>
      </c>
      <c r="Q35" s="16" t="b">
        <v>0</v>
      </c>
      <c r="R35" s="16" t="b">
        <v>0</v>
      </c>
      <c r="S35" s="16" t="b">
        <v>0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7" t="str">
        <f t="shared" si="1"/>
        <v>1 dari 31 (3%)</v>
      </c>
    </row>
    <row r="36" ht="22.5" customHeight="1">
      <c r="A36" s="2">
        <v>35.0</v>
      </c>
      <c r="B36" s="18"/>
      <c r="C36" s="20">
        <v>58498.0</v>
      </c>
      <c r="D36" s="12" t="s">
        <v>68</v>
      </c>
      <c r="E36" s="12" t="s">
        <v>155</v>
      </c>
      <c r="F36" s="13"/>
      <c r="G36" s="6" t="b">
        <v>1</v>
      </c>
      <c r="H36" s="6" t="b">
        <v>1</v>
      </c>
      <c r="I36" s="6" t="b">
        <v>0</v>
      </c>
      <c r="J36" s="6" t="b">
        <v>1</v>
      </c>
      <c r="K36" s="6" t="b">
        <v>1</v>
      </c>
      <c r="L36" s="6" t="b">
        <v>1</v>
      </c>
      <c r="M36" s="6" t="b">
        <v>1</v>
      </c>
      <c r="N36" s="6" t="b">
        <v>1</v>
      </c>
      <c r="O36" s="6" t="b">
        <v>1</v>
      </c>
      <c r="P36" s="6" t="b">
        <v>1</v>
      </c>
      <c r="Q36" s="6" t="b">
        <v>1</v>
      </c>
      <c r="R36" s="6" t="b">
        <v>1</v>
      </c>
      <c r="S36" s="6" t="b">
        <v>1</v>
      </c>
      <c r="T36" s="6" t="b">
        <v>1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1</v>
      </c>
      <c r="AJ36" s="6" t="b">
        <v>0</v>
      </c>
      <c r="AK36" s="6" t="b">
        <v>0</v>
      </c>
      <c r="AL36" s="9" t="str">
        <f t="shared" si="1"/>
        <v>14 dari 31 (45%)</v>
      </c>
    </row>
    <row r="37" ht="22.5" customHeight="1">
      <c r="A37" s="10">
        <v>36.0</v>
      </c>
      <c r="B37" s="11"/>
      <c r="C37" s="22">
        <v>59731.0</v>
      </c>
      <c r="D37" s="12" t="s">
        <v>68</v>
      </c>
      <c r="E37" s="12" t="s">
        <v>155</v>
      </c>
      <c r="F37" s="13"/>
      <c r="G37" s="16" t="b">
        <v>1</v>
      </c>
      <c r="H37" s="16" t="b">
        <v>1</v>
      </c>
      <c r="I37" s="16" t="b">
        <v>0</v>
      </c>
      <c r="J37" s="16" t="b">
        <v>1</v>
      </c>
      <c r="K37" s="16" t="b">
        <v>1</v>
      </c>
      <c r="L37" s="16" t="b">
        <v>1</v>
      </c>
      <c r="M37" s="16" t="b">
        <v>1</v>
      </c>
      <c r="N37" s="16" t="b">
        <v>1</v>
      </c>
      <c r="O37" s="16" t="b">
        <v>1</v>
      </c>
      <c r="P37" s="16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1</v>
      </c>
      <c r="AJ37" s="16" t="b">
        <v>0</v>
      </c>
      <c r="AK37" s="16" t="b">
        <v>0</v>
      </c>
      <c r="AL37" s="17" t="str">
        <f t="shared" si="1"/>
        <v>14 dari 31 (45%)</v>
      </c>
    </row>
    <row r="38" ht="22.5" customHeight="1">
      <c r="A38" s="30">
        <v>37.0</v>
      </c>
      <c r="B38" s="31"/>
      <c r="C38" s="32">
        <v>61273.0</v>
      </c>
      <c r="D38" s="51" t="s">
        <v>68</v>
      </c>
      <c r="E38" s="51" t="s">
        <v>109</v>
      </c>
      <c r="F38" s="53"/>
      <c r="G38" s="35" t="b">
        <v>0</v>
      </c>
      <c r="H38" s="35" t="b">
        <v>0</v>
      </c>
      <c r="I38" s="35" t="b">
        <v>0</v>
      </c>
      <c r="J38" s="35" t="b">
        <v>0</v>
      </c>
      <c r="K38" s="35" t="b">
        <v>0</v>
      </c>
      <c r="L38" s="35" t="b">
        <v>0</v>
      </c>
      <c r="M38" s="35" t="b">
        <v>0</v>
      </c>
      <c r="N38" s="35" t="b">
        <v>0</v>
      </c>
      <c r="O38" s="35" t="b">
        <v>0</v>
      </c>
      <c r="P38" s="35" t="b">
        <v>0</v>
      </c>
      <c r="Q38" s="35" t="b">
        <v>0</v>
      </c>
      <c r="R38" s="35" t="b">
        <v>0</v>
      </c>
      <c r="S38" s="35" t="b">
        <v>0</v>
      </c>
      <c r="T38" s="35" t="b">
        <v>0</v>
      </c>
      <c r="U38" s="35" t="b">
        <v>0</v>
      </c>
      <c r="V38" s="35" t="b">
        <v>0</v>
      </c>
      <c r="W38" s="35" t="b">
        <v>0</v>
      </c>
      <c r="X38" s="35" t="b">
        <v>0</v>
      </c>
      <c r="Y38" s="35" t="b">
        <v>0</v>
      </c>
      <c r="Z38" s="35" t="b">
        <v>0</v>
      </c>
      <c r="AA38" s="35" t="b">
        <v>0</v>
      </c>
      <c r="AB38" s="35" t="b">
        <v>0</v>
      </c>
      <c r="AC38" s="35" t="b">
        <v>0</v>
      </c>
      <c r="AD38" s="35" t="b">
        <v>0</v>
      </c>
      <c r="AE38" s="35" t="b">
        <v>0</v>
      </c>
      <c r="AF38" s="35" t="b">
        <v>0</v>
      </c>
      <c r="AG38" s="35" t="b">
        <v>0</v>
      </c>
      <c r="AH38" s="35" t="b">
        <v>0</v>
      </c>
      <c r="AI38" s="35" t="b">
        <v>0</v>
      </c>
      <c r="AJ38" s="35" t="b">
        <v>0</v>
      </c>
      <c r="AK38" s="35" t="b">
        <v>0</v>
      </c>
      <c r="AL38" s="38" t="str">
        <f t="shared" si="1"/>
        <v>0 dari 31 (0%)</v>
      </c>
    </row>
    <row r="39" ht="22.5" customHeight="1">
      <c r="A39" s="61">
        <v>38.0</v>
      </c>
      <c r="B39" s="62"/>
      <c r="C39" s="32">
        <v>61338.0</v>
      </c>
      <c r="D39" s="51" t="s">
        <v>68</v>
      </c>
      <c r="E39" s="51" t="s">
        <v>109</v>
      </c>
      <c r="F39" s="53"/>
      <c r="G39" s="63" t="b">
        <v>0</v>
      </c>
      <c r="H39" s="63" t="b">
        <v>0</v>
      </c>
      <c r="I39" s="63" t="b">
        <v>0</v>
      </c>
      <c r="J39" s="63" t="b">
        <v>0</v>
      </c>
      <c r="K39" s="63" t="b">
        <v>0</v>
      </c>
      <c r="L39" s="63" t="b">
        <v>0</v>
      </c>
      <c r="M39" s="63" t="b">
        <v>0</v>
      </c>
      <c r="N39" s="63" t="b">
        <v>0</v>
      </c>
      <c r="O39" s="63" t="b">
        <v>0</v>
      </c>
      <c r="P39" s="63" t="b">
        <v>0</v>
      </c>
      <c r="Q39" s="63" t="b">
        <v>0</v>
      </c>
      <c r="R39" s="63" t="b">
        <v>0</v>
      </c>
      <c r="S39" s="63" t="b">
        <v>0</v>
      </c>
      <c r="T39" s="63" t="b">
        <v>0</v>
      </c>
      <c r="U39" s="63" t="b">
        <v>0</v>
      </c>
      <c r="V39" s="63" t="b">
        <v>0</v>
      </c>
      <c r="W39" s="63" t="b">
        <v>0</v>
      </c>
      <c r="X39" s="63" t="b">
        <v>0</v>
      </c>
      <c r="Y39" s="63" t="b">
        <v>0</v>
      </c>
      <c r="Z39" s="63" t="b">
        <v>0</v>
      </c>
      <c r="AA39" s="63" t="b">
        <v>0</v>
      </c>
      <c r="AB39" s="63" t="b">
        <v>0</v>
      </c>
      <c r="AC39" s="63" t="b">
        <v>0</v>
      </c>
      <c r="AD39" s="63" t="b">
        <v>0</v>
      </c>
      <c r="AE39" s="63" t="b">
        <v>0</v>
      </c>
      <c r="AF39" s="63" t="b">
        <v>0</v>
      </c>
      <c r="AG39" s="63" t="b">
        <v>0</v>
      </c>
      <c r="AH39" s="63" t="b">
        <v>0</v>
      </c>
      <c r="AI39" s="63" t="b">
        <v>0</v>
      </c>
      <c r="AJ39" s="63" t="b">
        <v>0</v>
      </c>
      <c r="AK39" s="63" t="b">
        <v>0</v>
      </c>
      <c r="AL39" s="64" t="str">
        <f t="shared" si="1"/>
        <v>0 dari 31 (0%)</v>
      </c>
    </row>
    <row r="40" ht="22.5" customHeight="1">
      <c r="A40" s="2">
        <v>39.0</v>
      </c>
      <c r="B40" s="18"/>
      <c r="C40" s="22">
        <v>59980.0</v>
      </c>
      <c r="D40" s="12" t="s">
        <v>98</v>
      </c>
      <c r="E40" s="12" t="s">
        <v>147</v>
      </c>
      <c r="F40" s="13"/>
      <c r="G40" s="6" t="b">
        <v>1</v>
      </c>
      <c r="H40" s="6" t="b">
        <v>1</v>
      </c>
      <c r="I40" s="6" t="b">
        <v>0</v>
      </c>
      <c r="J40" s="6" t="b">
        <v>1</v>
      </c>
      <c r="K40" s="6" t="b">
        <v>1</v>
      </c>
      <c r="L40" s="6" t="b">
        <v>1</v>
      </c>
      <c r="M40" s="6" t="b">
        <v>1</v>
      </c>
      <c r="N40" s="6" t="b">
        <v>1</v>
      </c>
      <c r="O40" s="6" t="b">
        <v>1</v>
      </c>
      <c r="P40" s="6" t="b">
        <v>1</v>
      </c>
      <c r="Q40" s="6" t="b">
        <v>1</v>
      </c>
      <c r="R40" s="6" t="b">
        <v>1</v>
      </c>
      <c r="S40" s="6" t="b">
        <v>1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0</v>
      </c>
      <c r="AJ40" s="6" t="b">
        <v>0</v>
      </c>
      <c r="AK40" s="6" t="b">
        <v>0</v>
      </c>
      <c r="AL40" s="9" t="str">
        <f t="shared" si="1"/>
        <v>12 dari 31 (39%)</v>
      </c>
    </row>
    <row r="41" ht="22.5" customHeight="1">
      <c r="A41" s="10">
        <v>40.0</v>
      </c>
      <c r="B41" s="11"/>
      <c r="C41" s="22">
        <v>60241.0</v>
      </c>
      <c r="D41" s="12" t="s">
        <v>98</v>
      </c>
      <c r="E41" s="12" t="s">
        <v>147</v>
      </c>
      <c r="F41" s="15" t="s">
        <v>50</v>
      </c>
      <c r="G41" s="16" t="b">
        <v>1</v>
      </c>
      <c r="H41" s="16" t="b">
        <v>0</v>
      </c>
      <c r="I41" s="16" t="b">
        <v>0</v>
      </c>
      <c r="J41" s="16" t="b">
        <v>0</v>
      </c>
      <c r="K41" s="16" t="b">
        <v>0</v>
      </c>
      <c r="L41" s="16" t="b">
        <v>0</v>
      </c>
      <c r="M41" s="16" t="b">
        <v>0</v>
      </c>
      <c r="N41" s="16" t="b">
        <v>0</v>
      </c>
      <c r="O41" s="16" t="b">
        <v>0</v>
      </c>
      <c r="P41" s="16" t="b">
        <v>0</v>
      </c>
      <c r="Q41" s="16" t="b">
        <v>0</v>
      </c>
      <c r="R41" s="16" t="b">
        <v>0</v>
      </c>
      <c r="S41" s="16" t="b">
        <v>0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7" t="str">
        <f t="shared" si="1"/>
        <v>1 dari 31 (3%)</v>
      </c>
    </row>
    <row r="42" ht="22.5" customHeight="1">
      <c r="A42" s="2">
        <v>41.0</v>
      </c>
      <c r="B42" s="18"/>
      <c r="C42" s="20">
        <v>55639.0</v>
      </c>
      <c r="D42" s="12" t="s">
        <v>98</v>
      </c>
      <c r="E42" s="12" t="s">
        <v>147</v>
      </c>
      <c r="F42" s="14" t="s">
        <v>50</v>
      </c>
      <c r="G42" s="6" t="b">
        <v>1</v>
      </c>
      <c r="H42" s="6" t="b">
        <v>0</v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6" t="b">
        <v>0</v>
      </c>
      <c r="R42" s="6" t="b">
        <v>0</v>
      </c>
      <c r="S42" s="6" t="b">
        <v>0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1 dari 31 (3%)</v>
      </c>
    </row>
    <row r="43" ht="22.5" customHeight="1">
      <c r="A43" s="10">
        <v>42.0</v>
      </c>
      <c r="B43" s="11"/>
      <c r="C43" s="20">
        <v>59698.0</v>
      </c>
      <c r="D43" s="12" t="s">
        <v>56</v>
      </c>
      <c r="E43" s="12" t="s">
        <v>60</v>
      </c>
      <c r="F43" s="13"/>
      <c r="G43" s="16" t="b">
        <v>1</v>
      </c>
      <c r="H43" s="16" t="b">
        <v>1</v>
      </c>
      <c r="I43" s="16" t="b">
        <v>1</v>
      </c>
      <c r="J43" s="16" t="b">
        <v>1</v>
      </c>
      <c r="K43" s="16" t="b">
        <v>1</v>
      </c>
      <c r="L43" s="16" t="b">
        <v>1</v>
      </c>
      <c r="M43" s="16" t="b">
        <v>1</v>
      </c>
      <c r="N43" s="16" t="b">
        <v>1</v>
      </c>
      <c r="O43" s="16" t="b">
        <v>1</v>
      </c>
      <c r="P43" s="16" t="b">
        <v>1</v>
      </c>
      <c r="Q43" s="16" t="b">
        <v>1</v>
      </c>
      <c r="R43" s="16" t="b">
        <v>1</v>
      </c>
      <c r="S43" s="16" t="b">
        <v>1</v>
      </c>
      <c r="T43" s="16" t="b">
        <v>1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1</v>
      </c>
      <c r="AJ43" s="16" t="b">
        <v>0</v>
      </c>
      <c r="AK43" s="16" t="b">
        <v>0</v>
      </c>
      <c r="AL43" s="17" t="str">
        <f t="shared" si="1"/>
        <v>15 dari 31 (48%)</v>
      </c>
    </row>
    <row r="44" ht="22.5" customHeight="1">
      <c r="A44" s="2">
        <v>43.0</v>
      </c>
      <c r="B44" s="18"/>
      <c r="C44" s="20">
        <v>60858.0</v>
      </c>
      <c r="D44" s="12" t="s">
        <v>53</v>
      </c>
      <c r="E44" s="12" t="s">
        <v>139</v>
      </c>
      <c r="F44" s="14" t="s">
        <v>50</v>
      </c>
      <c r="G44" s="6" t="b">
        <v>1</v>
      </c>
      <c r="H44" s="6" t="b">
        <v>0</v>
      </c>
      <c r="I44" s="6" t="b">
        <v>0</v>
      </c>
      <c r="J44" s="6" t="b">
        <v>1</v>
      </c>
      <c r="K44" s="6" t="b">
        <v>1</v>
      </c>
      <c r="L44" s="6" t="b">
        <v>1</v>
      </c>
      <c r="M44" s="6" t="b">
        <v>1</v>
      </c>
      <c r="N44" s="6" t="b">
        <v>1</v>
      </c>
      <c r="O44" s="6" t="b">
        <v>1</v>
      </c>
      <c r="P44" s="6" t="b">
        <v>1</v>
      </c>
      <c r="Q44" s="6" t="b">
        <v>1</v>
      </c>
      <c r="R44" s="6" t="b">
        <v>1</v>
      </c>
      <c r="S44" s="6" t="b">
        <v>1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1</v>
      </c>
      <c r="AJ44" s="6" t="b">
        <v>0</v>
      </c>
      <c r="AK44" s="6" t="b">
        <v>0</v>
      </c>
      <c r="AL44" s="9" t="str">
        <f t="shared" si="1"/>
        <v>12 dari 31 (39%)</v>
      </c>
    </row>
    <row r="45" ht="22.5" customHeight="1">
      <c r="A45" s="10">
        <v>44.0</v>
      </c>
      <c r="B45" s="11"/>
      <c r="C45" s="20">
        <v>58554.0</v>
      </c>
      <c r="D45" s="12" t="s">
        <v>53</v>
      </c>
      <c r="E45" s="12" t="s">
        <v>48</v>
      </c>
      <c r="F45" s="13"/>
      <c r="G45" s="16" t="b">
        <v>1</v>
      </c>
      <c r="H45" s="16" t="b">
        <v>1</v>
      </c>
      <c r="I45" s="16" t="b">
        <v>1</v>
      </c>
      <c r="J45" s="16" t="b">
        <v>1</v>
      </c>
      <c r="K45" s="16" t="b">
        <v>1</v>
      </c>
      <c r="L45" s="16" t="b">
        <v>1</v>
      </c>
      <c r="M45" s="16" t="b">
        <v>1</v>
      </c>
      <c r="N45" s="16" t="b">
        <v>1</v>
      </c>
      <c r="O45" s="16" t="b">
        <v>1</v>
      </c>
      <c r="P45" s="16" t="b">
        <v>1</v>
      </c>
      <c r="Q45" s="16" t="b">
        <v>1</v>
      </c>
      <c r="R45" s="16" t="b">
        <v>1</v>
      </c>
      <c r="S45" s="16" t="b">
        <v>1</v>
      </c>
      <c r="T45" s="16" t="b">
        <v>0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1</v>
      </c>
      <c r="AJ45" s="16" t="b">
        <v>0</v>
      </c>
      <c r="AK45" s="16" t="b">
        <v>0</v>
      </c>
      <c r="AL45" s="17" t="str">
        <f t="shared" si="1"/>
        <v>14 dari 31 (45%)</v>
      </c>
    </row>
    <row r="46" ht="22.5" customHeight="1">
      <c r="A46" s="2">
        <v>45.0</v>
      </c>
      <c r="B46" s="18"/>
      <c r="C46" s="22">
        <v>61304.0</v>
      </c>
      <c r="D46" s="12" t="s">
        <v>98</v>
      </c>
      <c r="E46" s="12" t="s">
        <v>99</v>
      </c>
      <c r="F46" s="14" t="s">
        <v>50</v>
      </c>
      <c r="G46" s="6" t="b">
        <v>1</v>
      </c>
      <c r="H46" s="6" t="b">
        <v>0</v>
      </c>
      <c r="I46" s="6" t="b">
        <v>0</v>
      </c>
      <c r="J46" s="6" t="b">
        <v>0</v>
      </c>
      <c r="K46" s="6" t="b">
        <v>0</v>
      </c>
      <c r="L46" s="6" t="b">
        <v>0</v>
      </c>
      <c r="M46" s="6" t="b">
        <v>0</v>
      </c>
      <c r="N46" s="6" t="b">
        <v>0</v>
      </c>
      <c r="O46" s="6" t="b">
        <v>0</v>
      </c>
      <c r="P46" s="6" t="b">
        <v>0</v>
      </c>
      <c r="Q46" s="6" t="b">
        <v>0</v>
      </c>
      <c r="R46" s="6" t="b">
        <v>0</v>
      </c>
      <c r="S46" s="6" t="b">
        <v>0</v>
      </c>
      <c r="T46" s="6" t="b">
        <v>0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1"/>
        <v>1 dari 31 (3%)</v>
      </c>
    </row>
    <row r="47" ht="22.5" customHeight="1">
      <c r="A47" s="61">
        <v>46.0</v>
      </c>
      <c r="B47" s="62"/>
      <c r="C47" s="32">
        <v>61366.0</v>
      </c>
      <c r="D47" s="51" t="s">
        <v>54</v>
      </c>
      <c r="E47" s="51" t="s">
        <v>76</v>
      </c>
      <c r="F47" s="136" t="s">
        <v>105</v>
      </c>
      <c r="G47" s="63" t="b">
        <v>0</v>
      </c>
      <c r="H47" s="63" t="b">
        <v>0</v>
      </c>
      <c r="I47" s="63" t="b">
        <v>0</v>
      </c>
      <c r="J47" s="63" t="b">
        <v>0</v>
      </c>
      <c r="K47" s="63" t="b">
        <v>0</v>
      </c>
      <c r="L47" s="63" t="b">
        <v>0</v>
      </c>
      <c r="M47" s="63" t="b">
        <v>0</v>
      </c>
      <c r="N47" s="63" t="b">
        <v>0</v>
      </c>
      <c r="O47" s="63" t="b">
        <v>0</v>
      </c>
      <c r="P47" s="63" t="b">
        <v>0</v>
      </c>
      <c r="Q47" s="63" t="b">
        <v>0</v>
      </c>
      <c r="R47" s="63" t="b">
        <v>0</v>
      </c>
      <c r="S47" s="63" t="b">
        <v>0</v>
      </c>
      <c r="T47" s="63" t="b">
        <v>0</v>
      </c>
      <c r="U47" s="63" t="b">
        <v>0</v>
      </c>
      <c r="V47" s="63" t="b">
        <v>0</v>
      </c>
      <c r="W47" s="63" t="b">
        <v>0</v>
      </c>
      <c r="X47" s="63" t="b">
        <v>0</v>
      </c>
      <c r="Y47" s="63" t="b">
        <v>0</v>
      </c>
      <c r="Z47" s="63" t="b">
        <v>0</v>
      </c>
      <c r="AA47" s="63" t="b">
        <v>0</v>
      </c>
      <c r="AB47" s="63" t="b">
        <v>0</v>
      </c>
      <c r="AC47" s="63" t="b">
        <v>0</v>
      </c>
      <c r="AD47" s="63" t="b">
        <v>0</v>
      </c>
      <c r="AE47" s="63" t="b">
        <v>0</v>
      </c>
      <c r="AF47" s="63" t="b">
        <v>0</v>
      </c>
      <c r="AG47" s="63" t="b">
        <v>0</v>
      </c>
      <c r="AH47" s="63" t="b">
        <v>0</v>
      </c>
      <c r="AI47" s="63" t="b">
        <v>0</v>
      </c>
      <c r="AJ47" s="63" t="b">
        <v>0</v>
      </c>
      <c r="AK47" s="63" t="b">
        <v>0</v>
      </c>
      <c r="AL47" s="64" t="str">
        <f t="shared" si="1"/>
        <v>0 dari 31 (0%)</v>
      </c>
    </row>
    <row r="48" ht="22.5" customHeight="1">
      <c r="A48" s="10">
        <v>47.0</v>
      </c>
      <c r="B48" s="18"/>
      <c r="C48" s="22">
        <v>61227.0</v>
      </c>
      <c r="D48" s="12" t="s">
        <v>98</v>
      </c>
      <c r="E48" s="12" t="s">
        <v>99</v>
      </c>
      <c r="F48" s="14" t="s">
        <v>50</v>
      </c>
      <c r="G48" s="6" t="b">
        <v>1</v>
      </c>
      <c r="H48" s="6" t="b">
        <v>0</v>
      </c>
      <c r="I48" s="6" t="b">
        <v>0</v>
      </c>
      <c r="J48" s="6" t="b">
        <v>0</v>
      </c>
      <c r="K48" s="6" t="b">
        <v>0</v>
      </c>
      <c r="L48" s="6" t="b">
        <v>0</v>
      </c>
      <c r="M48" s="6" t="b">
        <v>0</v>
      </c>
      <c r="N48" s="6" t="b">
        <v>0</v>
      </c>
      <c r="O48" s="6" t="b">
        <v>0</v>
      </c>
      <c r="P48" s="6" t="b">
        <v>0</v>
      </c>
      <c r="Q48" s="6" t="b">
        <v>0</v>
      </c>
      <c r="R48" s="6" t="b">
        <v>0</v>
      </c>
      <c r="S48" s="6" t="b">
        <v>0</v>
      </c>
      <c r="T48" s="6" t="b">
        <v>0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1 dari 31 (3%)</v>
      </c>
    </row>
    <row r="49" ht="22.5" customHeight="1">
      <c r="A49" s="2">
        <v>48.0</v>
      </c>
      <c r="B49" s="11"/>
      <c r="C49" s="22">
        <v>57244.0</v>
      </c>
      <c r="D49" s="12" t="s">
        <v>68</v>
      </c>
      <c r="E49" s="12" t="s">
        <v>109</v>
      </c>
      <c r="F49" s="13"/>
      <c r="G49" s="16" t="b">
        <v>1</v>
      </c>
      <c r="H49" s="16" t="b">
        <v>1</v>
      </c>
      <c r="I49" s="16" t="b">
        <v>1</v>
      </c>
      <c r="J49" s="16" t="b">
        <v>1</v>
      </c>
      <c r="K49" s="16" t="b">
        <v>1</v>
      </c>
      <c r="L49" s="16" t="b">
        <v>1</v>
      </c>
      <c r="M49" s="16" t="b">
        <v>1</v>
      </c>
      <c r="N49" s="16" t="b">
        <v>1</v>
      </c>
      <c r="O49" s="16" t="b">
        <v>1</v>
      </c>
      <c r="P49" s="16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1</v>
      </c>
      <c r="AJ49" s="16" t="b">
        <v>0</v>
      </c>
      <c r="AK49" s="16" t="b">
        <v>0</v>
      </c>
      <c r="AL49" s="17" t="str">
        <f t="shared" si="1"/>
        <v>15 dari 31 (48%)</v>
      </c>
    </row>
    <row r="50" ht="22.5" customHeight="1">
      <c r="A50" s="61">
        <v>49.0</v>
      </c>
      <c r="B50" s="62"/>
      <c r="C50" s="32">
        <v>61365.0</v>
      </c>
      <c r="D50" s="51" t="s">
        <v>51</v>
      </c>
      <c r="E50" s="51" t="s">
        <v>52</v>
      </c>
      <c r="F50" s="136" t="s">
        <v>105</v>
      </c>
      <c r="G50" s="35" t="b">
        <v>0</v>
      </c>
      <c r="H50" s="35" t="b">
        <v>0</v>
      </c>
      <c r="I50" s="35" t="b">
        <v>0</v>
      </c>
      <c r="J50" s="35" t="b">
        <v>0</v>
      </c>
      <c r="K50" s="35" t="b">
        <v>0</v>
      </c>
      <c r="L50" s="35" t="b">
        <v>0</v>
      </c>
      <c r="M50" s="35" t="b">
        <v>0</v>
      </c>
      <c r="N50" s="35" t="b">
        <v>0</v>
      </c>
      <c r="O50" s="35" t="b">
        <v>0</v>
      </c>
      <c r="P50" s="35" t="b">
        <v>0</v>
      </c>
      <c r="Q50" s="35" t="b">
        <v>0</v>
      </c>
      <c r="R50" s="35" t="b">
        <v>0</v>
      </c>
      <c r="S50" s="35" t="b">
        <v>0</v>
      </c>
      <c r="T50" s="35" t="b">
        <v>0</v>
      </c>
      <c r="U50" s="35" t="b">
        <v>0</v>
      </c>
      <c r="V50" s="35" t="b">
        <v>0</v>
      </c>
      <c r="W50" s="35" t="b">
        <v>0</v>
      </c>
      <c r="X50" s="35" t="b">
        <v>0</v>
      </c>
      <c r="Y50" s="35" t="b">
        <v>0</v>
      </c>
      <c r="Z50" s="35" t="b">
        <v>0</v>
      </c>
      <c r="AA50" s="35" t="b">
        <v>0</v>
      </c>
      <c r="AB50" s="35" t="b">
        <v>0</v>
      </c>
      <c r="AC50" s="35" t="b">
        <v>0</v>
      </c>
      <c r="AD50" s="35" t="b">
        <v>0</v>
      </c>
      <c r="AE50" s="35" t="b">
        <v>0</v>
      </c>
      <c r="AF50" s="35" t="b">
        <v>0</v>
      </c>
      <c r="AG50" s="35" t="b">
        <v>0</v>
      </c>
      <c r="AH50" s="35" t="b">
        <v>0</v>
      </c>
      <c r="AI50" s="35" t="b">
        <v>0</v>
      </c>
      <c r="AJ50" s="35" t="b">
        <v>0</v>
      </c>
      <c r="AK50" s="35" t="b">
        <v>0</v>
      </c>
      <c r="AL50" s="38" t="str">
        <f t="shared" si="1"/>
        <v>0 dari 31 (0%)</v>
      </c>
    </row>
    <row r="51" ht="22.5" customHeight="1">
      <c r="A51" s="10">
        <v>50.0</v>
      </c>
      <c r="B51" s="11"/>
      <c r="C51" s="22">
        <v>55649.0</v>
      </c>
      <c r="D51" s="12" t="s">
        <v>98</v>
      </c>
      <c r="E51" s="12" t="s">
        <v>99</v>
      </c>
      <c r="F51" s="14" t="s">
        <v>50</v>
      </c>
      <c r="G51" s="6" t="b">
        <v>1</v>
      </c>
      <c r="H51" s="6" t="b">
        <v>0</v>
      </c>
      <c r="I51" s="6" t="b">
        <v>0</v>
      </c>
      <c r="J51" s="6" t="b">
        <v>0</v>
      </c>
      <c r="K51" s="6" t="b">
        <v>0</v>
      </c>
      <c r="L51" s="6" t="b">
        <v>0</v>
      </c>
      <c r="M51" s="6" t="b">
        <v>0</v>
      </c>
      <c r="N51" s="6" t="b">
        <v>0</v>
      </c>
      <c r="O51" s="6" t="b">
        <v>0</v>
      </c>
      <c r="P51" s="6" t="b">
        <v>0</v>
      </c>
      <c r="Q51" s="6" t="b">
        <v>0</v>
      </c>
      <c r="R51" s="6" t="b">
        <v>0</v>
      </c>
      <c r="S51" s="6" t="b">
        <v>0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1 dari 31 (3%)</v>
      </c>
    </row>
    <row r="52" ht="22.5" customHeight="1">
      <c r="A52" s="2">
        <v>51.0</v>
      </c>
      <c r="B52" s="11"/>
      <c r="C52" s="20">
        <v>60625.0</v>
      </c>
      <c r="D52" s="12" t="s">
        <v>68</v>
      </c>
      <c r="E52" s="12" t="s">
        <v>109</v>
      </c>
      <c r="F52" s="13"/>
      <c r="G52" s="6" t="b">
        <v>1</v>
      </c>
      <c r="H52" s="6" t="b">
        <v>1</v>
      </c>
      <c r="I52" s="6" t="b">
        <v>1</v>
      </c>
      <c r="J52" s="6" t="b">
        <v>1</v>
      </c>
      <c r="K52" s="6" t="b">
        <v>1</v>
      </c>
      <c r="L52" s="6" t="b">
        <v>1</v>
      </c>
      <c r="M52" s="6" t="b">
        <v>1</v>
      </c>
      <c r="N52" s="6" t="b">
        <v>1</v>
      </c>
      <c r="O52" s="6" t="b">
        <v>1</v>
      </c>
      <c r="P52" s="6" t="b">
        <v>1</v>
      </c>
      <c r="Q52" s="6" t="b">
        <v>1</v>
      </c>
      <c r="R52" s="6" t="b">
        <v>1</v>
      </c>
      <c r="S52" s="6" t="b">
        <v>1</v>
      </c>
      <c r="T52" s="6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1</v>
      </c>
      <c r="AJ52" s="6" t="b">
        <v>0</v>
      </c>
      <c r="AK52" s="6" t="b">
        <v>0</v>
      </c>
      <c r="AL52" s="9" t="str">
        <f t="shared" si="1"/>
        <v>15 dari 31 (48%)</v>
      </c>
    </row>
    <row r="53" ht="22.5" customHeight="1">
      <c r="A53" s="10">
        <v>52.0</v>
      </c>
      <c r="B53" s="11"/>
      <c r="C53" s="20">
        <v>56477.0</v>
      </c>
      <c r="D53" s="12" t="s">
        <v>98</v>
      </c>
      <c r="E53" s="12" t="s">
        <v>99</v>
      </c>
      <c r="F53" s="15" t="s">
        <v>50</v>
      </c>
      <c r="G53" s="6" t="b">
        <v>1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  <c r="P53" s="6" t="b">
        <v>0</v>
      </c>
      <c r="Q53" s="6" t="b">
        <v>0</v>
      </c>
      <c r="R53" s="6" t="b">
        <v>0</v>
      </c>
      <c r="S53" s="6" t="b">
        <v>0</v>
      </c>
      <c r="T53" s="6" t="b">
        <v>0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1 dari 31 (3%)</v>
      </c>
    </row>
    <row r="54" ht="22.5" customHeight="1">
      <c r="A54" s="10">
        <v>53.0</v>
      </c>
      <c r="B54" s="11"/>
      <c r="C54" s="20">
        <v>60616.0</v>
      </c>
      <c r="D54" s="12" t="s">
        <v>56</v>
      </c>
      <c r="E54" s="12" t="s">
        <v>60</v>
      </c>
      <c r="F54" s="15" t="s">
        <v>50</v>
      </c>
      <c r="G54" s="6" t="b">
        <v>1</v>
      </c>
      <c r="H54" s="6" t="b">
        <v>0</v>
      </c>
      <c r="I54" s="6" t="b">
        <v>0</v>
      </c>
      <c r="J54" s="6" t="b">
        <v>1</v>
      </c>
      <c r="K54" s="6" t="b">
        <v>1</v>
      </c>
      <c r="L54" s="6" t="b">
        <v>1</v>
      </c>
      <c r="M54" s="6" t="b">
        <v>1</v>
      </c>
      <c r="N54" s="6" t="b">
        <v>1</v>
      </c>
      <c r="O54" s="6" t="b">
        <v>1</v>
      </c>
      <c r="P54" s="6" t="b">
        <v>1</v>
      </c>
      <c r="Q54" s="6" t="b">
        <v>1</v>
      </c>
      <c r="R54" s="6" t="b">
        <v>1</v>
      </c>
      <c r="S54" s="6" t="b">
        <v>1</v>
      </c>
      <c r="T54" s="6" t="b">
        <v>1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1</v>
      </c>
      <c r="AJ54" s="6" t="b">
        <v>0</v>
      </c>
      <c r="AK54" s="6" t="b">
        <v>0</v>
      </c>
      <c r="AL54" s="17" t="str">
        <f t="shared" si="1"/>
        <v>13 dari 31 (42%)</v>
      </c>
    </row>
    <row r="55" ht="22.5" customHeight="1">
      <c r="A55" s="2">
        <v>54.0</v>
      </c>
      <c r="B55" s="11"/>
      <c r="C55" s="20">
        <v>41476.0</v>
      </c>
      <c r="D55" s="12" t="s">
        <v>40</v>
      </c>
      <c r="E55" s="12" t="s">
        <v>121</v>
      </c>
      <c r="F55" s="13"/>
      <c r="G55" s="6" t="b">
        <v>1</v>
      </c>
      <c r="H55" s="6" t="b">
        <v>1</v>
      </c>
      <c r="I55" s="6" t="b">
        <v>1</v>
      </c>
      <c r="J55" s="6" t="b">
        <v>1</v>
      </c>
      <c r="K55" s="6" t="b">
        <v>1</v>
      </c>
      <c r="L55" s="6" t="b">
        <v>1</v>
      </c>
      <c r="M55" s="6" t="b">
        <v>1</v>
      </c>
      <c r="N55" s="6" t="b">
        <v>1</v>
      </c>
      <c r="O55" s="6" t="b">
        <v>1</v>
      </c>
      <c r="P55" s="6" t="b">
        <v>1</v>
      </c>
      <c r="Q55" s="6" t="b">
        <v>1</v>
      </c>
      <c r="R55" s="6" t="b">
        <v>1</v>
      </c>
      <c r="S55" s="6" t="b">
        <v>1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1</v>
      </c>
      <c r="AJ55" s="6" t="b">
        <v>0</v>
      </c>
      <c r="AK55" s="6" t="b">
        <v>0</v>
      </c>
      <c r="AL55" s="9" t="str">
        <f t="shared" si="1"/>
        <v>14 dari 31 (45%)</v>
      </c>
    </row>
    <row r="56" ht="22.5" customHeight="1">
      <c r="A56" s="10">
        <v>55.0</v>
      </c>
      <c r="B56" s="11"/>
      <c r="C56" s="20">
        <v>35594.0</v>
      </c>
      <c r="D56" s="12" t="s">
        <v>56</v>
      </c>
      <c r="E56" s="12" t="s">
        <v>60</v>
      </c>
      <c r="F56" s="13"/>
      <c r="G56" s="6" t="b">
        <v>1</v>
      </c>
      <c r="H56" s="6" t="b">
        <v>1</v>
      </c>
      <c r="I56" s="6" t="b">
        <v>1</v>
      </c>
      <c r="J56" s="6" t="b">
        <v>1</v>
      </c>
      <c r="K56" s="6" t="b">
        <v>1</v>
      </c>
      <c r="L56" s="6" t="b">
        <v>1</v>
      </c>
      <c r="M56" s="6" t="b">
        <v>1</v>
      </c>
      <c r="N56" s="6" t="b">
        <v>1</v>
      </c>
      <c r="O56" s="6" t="b">
        <v>1</v>
      </c>
      <c r="P56" s="6" t="b">
        <v>1</v>
      </c>
      <c r="Q56" s="6" t="b">
        <v>1</v>
      </c>
      <c r="R56" s="6" t="b">
        <v>1</v>
      </c>
      <c r="S56" s="6" t="b">
        <v>1</v>
      </c>
      <c r="T56" s="6" t="b">
        <v>1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1</v>
      </c>
      <c r="AJ56" s="6" t="b">
        <v>0</v>
      </c>
      <c r="AK56" s="6" t="b">
        <v>0</v>
      </c>
      <c r="AL56" s="9" t="str">
        <f t="shared" si="1"/>
        <v>15 dari 31 (48%)</v>
      </c>
    </row>
    <row r="57" ht="22.5" customHeight="1">
      <c r="A57" s="10">
        <v>56.0</v>
      </c>
      <c r="B57" s="11"/>
      <c r="C57" s="22">
        <v>56726.0</v>
      </c>
      <c r="D57" s="12" t="s">
        <v>68</v>
      </c>
      <c r="E57" s="12" t="s">
        <v>155</v>
      </c>
      <c r="F57" s="13"/>
      <c r="G57" s="6" t="b">
        <v>1</v>
      </c>
      <c r="H57" s="6" t="b">
        <v>1</v>
      </c>
      <c r="I57" s="6" t="b">
        <v>1</v>
      </c>
      <c r="J57" s="6" t="b">
        <v>1</v>
      </c>
      <c r="K57" s="6" t="b">
        <v>1</v>
      </c>
      <c r="L57" s="6" t="b">
        <v>1</v>
      </c>
      <c r="M57" s="6" t="b">
        <v>1</v>
      </c>
      <c r="N57" s="6" t="b">
        <v>1</v>
      </c>
      <c r="O57" s="6" t="b">
        <v>1</v>
      </c>
      <c r="P57" s="6" t="b">
        <v>1</v>
      </c>
      <c r="Q57" s="6" t="b">
        <v>1</v>
      </c>
      <c r="R57" s="6" t="b">
        <v>1</v>
      </c>
      <c r="S57" s="6" t="b">
        <v>1</v>
      </c>
      <c r="T57" s="6" t="b">
        <v>1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1</v>
      </c>
      <c r="AJ57" s="6" t="b">
        <v>0</v>
      </c>
      <c r="AK57" s="6" t="b">
        <v>0</v>
      </c>
      <c r="AL57" s="17" t="str">
        <f t="shared" si="1"/>
        <v>15 dari 31 (48%)</v>
      </c>
    </row>
    <row r="58" ht="22.5" customHeight="1">
      <c r="A58" s="2">
        <v>57.0</v>
      </c>
      <c r="B58" s="11"/>
      <c r="C58" s="22">
        <v>61277.0</v>
      </c>
      <c r="D58" s="12" t="s">
        <v>68</v>
      </c>
      <c r="E58" s="12" t="s">
        <v>155</v>
      </c>
      <c r="F58" s="13"/>
      <c r="G58" s="6" t="b">
        <v>1</v>
      </c>
      <c r="H58" s="6" t="b">
        <v>1</v>
      </c>
      <c r="I58" s="6" t="b">
        <v>1</v>
      </c>
      <c r="J58" s="6" t="b">
        <v>1</v>
      </c>
      <c r="K58" s="6" t="b">
        <v>1</v>
      </c>
      <c r="L58" s="6" t="b">
        <v>1</v>
      </c>
      <c r="M58" s="6" t="b">
        <v>1</v>
      </c>
      <c r="N58" s="6" t="b">
        <v>1</v>
      </c>
      <c r="O58" s="6" t="b">
        <v>1</v>
      </c>
      <c r="P58" s="6" t="b">
        <v>1</v>
      </c>
      <c r="Q58" s="6" t="b">
        <v>1</v>
      </c>
      <c r="R58" s="6" t="b">
        <v>1</v>
      </c>
      <c r="S58" s="6" t="b">
        <v>1</v>
      </c>
      <c r="T58" s="6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1</v>
      </c>
      <c r="AJ58" s="6" t="b">
        <v>0</v>
      </c>
      <c r="AK58" s="6" t="b">
        <v>0</v>
      </c>
      <c r="AL58" s="9" t="str">
        <f t="shared" si="1"/>
        <v>15 dari 31 (48%)</v>
      </c>
    </row>
    <row r="59" ht="22.5" customHeight="1">
      <c r="A59" s="10">
        <v>58.0</v>
      </c>
      <c r="B59" s="11"/>
      <c r="C59" s="22">
        <v>49266.0</v>
      </c>
      <c r="D59" s="12" t="s">
        <v>98</v>
      </c>
      <c r="E59" s="12" t="s">
        <v>99</v>
      </c>
      <c r="F59" s="15" t="s">
        <v>50</v>
      </c>
      <c r="G59" s="6" t="b">
        <v>1</v>
      </c>
      <c r="H59" s="6" t="b">
        <v>0</v>
      </c>
      <c r="I59" s="6" t="b">
        <v>0</v>
      </c>
      <c r="J59" s="6" t="b">
        <v>0</v>
      </c>
      <c r="K59" s="6" t="b">
        <v>0</v>
      </c>
      <c r="L59" s="6" t="b">
        <v>0</v>
      </c>
      <c r="M59" s="6" t="b">
        <v>0</v>
      </c>
      <c r="N59" s="6" t="b">
        <v>0</v>
      </c>
      <c r="O59" s="6" t="b">
        <v>0</v>
      </c>
      <c r="P59" s="6" t="b">
        <v>0</v>
      </c>
      <c r="Q59" s="6" t="b">
        <v>0</v>
      </c>
      <c r="R59" s="6" t="b">
        <v>0</v>
      </c>
      <c r="S59" s="6" t="b">
        <v>0</v>
      </c>
      <c r="T59" s="6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1"/>
        <v>1 dari 31 (3%)</v>
      </c>
    </row>
    <row r="60" ht="22.5" customHeight="1">
      <c r="A60" s="10">
        <v>59.0</v>
      </c>
      <c r="B60" s="11"/>
      <c r="C60" s="22">
        <v>38065.0</v>
      </c>
      <c r="D60" s="12" t="s">
        <v>98</v>
      </c>
      <c r="E60" s="12" t="s">
        <v>99</v>
      </c>
      <c r="F60" s="15" t="s">
        <v>50</v>
      </c>
      <c r="G60" s="6" t="b">
        <v>1</v>
      </c>
      <c r="H60" s="6" t="b">
        <v>0</v>
      </c>
      <c r="I60" s="6" t="b">
        <v>0</v>
      </c>
      <c r="J60" s="6" t="b">
        <v>0</v>
      </c>
      <c r="K60" s="6" t="b">
        <v>0</v>
      </c>
      <c r="L60" s="6" t="b">
        <v>0</v>
      </c>
      <c r="M60" s="6" t="b">
        <v>0</v>
      </c>
      <c r="N60" s="6" t="b">
        <v>0</v>
      </c>
      <c r="O60" s="6" t="b">
        <v>0</v>
      </c>
      <c r="P60" s="6" t="b">
        <v>0</v>
      </c>
      <c r="Q60" s="6" t="b">
        <v>0</v>
      </c>
      <c r="R60" s="6" t="b">
        <v>0</v>
      </c>
      <c r="S60" s="6" t="b">
        <v>0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1 dari 31 (3%)</v>
      </c>
    </row>
    <row r="61" ht="22.5" customHeight="1">
      <c r="A61" s="2">
        <v>60.0</v>
      </c>
      <c r="B61" s="11"/>
      <c r="C61" s="22">
        <v>56261.0</v>
      </c>
      <c r="D61" s="12" t="s">
        <v>68</v>
      </c>
      <c r="E61" s="12" t="s">
        <v>109</v>
      </c>
      <c r="F61" s="13"/>
      <c r="G61" s="6" t="b">
        <v>1</v>
      </c>
      <c r="H61" s="6" t="b">
        <v>1</v>
      </c>
      <c r="I61" s="6" t="b">
        <v>1</v>
      </c>
      <c r="J61" s="6" t="b">
        <v>1</v>
      </c>
      <c r="K61" s="6" t="b">
        <v>1</v>
      </c>
      <c r="L61" s="6" t="b">
        <v>1</v>
      </c>
      <c r="M61" s="6" t="b">
        <v>1</v>
      </c>
      <c r="N61" s="6" t="b">
        <v>1</v>
      </c>
      <c r="O61" s="6" t="b">
        <v>1</v>
      </c>
      <c r="P61" s="6" t="b">
        <v>1</v>
      </c>
      <c r="Q61" s="6" t="b">
        <v>1</v>
      </c>
      <c r="R61" s="6" t="b">
        <v>1</v>
      </c>
      <c r="S61" s="6" t="b">
        <v>1</v>
      </c>
      <c r="T61" s="6" t="b">
        <v>1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1</v>
      </c>
      <c r="AJ61" s="6" t="b">
        <v>0</v>
      </c>
      <c r="AK61" s="6" t="b">
        <v>0</v>
      </c>
      <c r="AL61" s="9" t="str">
        <f t="shared" si="1"/>
        <v>15 dari 31 (48%)</v>
      </c>
    </row>
    <row r="62" ht="22.5" customHeight="1">
      <c r="A62" s="10">
        <v>61.0</v>
      </c>
      <c r="B62" s="11"/>
      <c r="C62" s="20">
        <v>49149.0</v>
      </c>
      <c r="D62" s="12" t="s">
        <v>80</v>
      </c>
      <c r="E62" s="12" t="s">
        <v>100</v>
      </c>
      <c r="F62" s="13"/>
      <c r="G62" s="6" t="b">
        <v>1</v>
      </c>
      <c r="H62" s="6" t="b">
        <v>1</v>
      </c>
      <c r="I62" s="6" t="b">
        <v>0</v>
      </c>
      <c r="J62" s="6" t="b">
        <v>1</v>
      </c>
      <c r="K62" s="6" t="b">
        <v>1</v>
      </c>
      <c r="L62" s="6" t="b">
        <v>1</v>
      </c>
      <c r="M62" s="6" t="b">
        <v>1</v>
      </c>
      <c r="N62" s="6" t="b">
        <v>1</v>
      </c>
      <c r="O62" s="6" t="b">
        <v>1</v>
      </c>
      <c r="P62" s="6" t="b">
        <v>1</v>
      </c>
      <c r="Q62" s="6" t="b">
        <v>1</v>
      </c>
      <c r="R62" s="6" t="b">
        <v>1</v>
      </c>
      <c r="S62" s="6" t="b">
        <v>1</v>
      </c>
      <c r="T62" s="6" t="b">
        <v>1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13 dari 31 (42%)</v>
      </c>
    </row>
    <row r="63" ht="22.5" customHeight="1">
      <c r="A63" s="10">
        <v>62.0</v>
      </c>
      <c r="B63" s="11"/>
      <c r="C63" s="20">
        <v>61367.0</v>
      </c>
      <c r="D63" s="12" t="s">
        <v>54</v>
      </c>
      <c r="E63" s="12" t="s">
        <v>76</v>
      </c>
      <c r="F63" s="15" t="s">
        <v>50</v>
      </c>
      <c r="G63" s="6" t="b">
        <v>1</v>
      </c>
      <c r="H63" s="6" t="b">
        <v>0</v>
      </c>
      <c r="I63" s="6" t="b">
        <v>0</v>
      </c>
      <c r="J63" s="6" t="b">
        <v>0</v>
      </c>
      <c r="K63" s="6" t="b">
        <v>0</v>
      </c>
      <c r="L63" s="6" t="b">
        <v>0</v>
      </c>
      <c r="M63" s="6" t="b">
        <v>0</v>
      </c>
      <c r="N63" s="6" t="b">
        <v>0</v>
      </c>
      <c r="O63" s="6" t="b">
        <v>0</v>
      </c>
      <c r="P63" s="6" t="b">
        <v>0</v>
      </c>
      <c r="Q63" s="6" t="b">
        <v>0</v>
      </c>
      <c r="R63" s="6" t="b">
        <v>1</v>
      </c>
      <c r="S63" s="6" t="b">
        <v>1</v>
      </c>
      <c r="T63" s="6" t="b">
        <v>0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1</v>
      </c>
      <c r="AJ63" s="6" t="b">
        <v>0</v>
      </c>
      <c r="AK63" s="6" t="b">
        <v>0</v>
      </c>
      <c r="AL63" s="17" t="str">
        <f t="shared" si="1"/>
        <v>4 dari 31 (13%)</v>
      </c>
    </row>
    <row r="64" ht="22.5" customHeight="1">
      <c r="A64" s="30">
        <v>63.0</v>
      </c>
      <c r="B64" s="62"/>
      <c r="C64" s="60">
        <v>61368.0</v>
      </c>
      <c r="D64" s="51" t="s">
        <v>56</v>
      </c>
      <c r="E64" s="51" t="s">
        <v>60</v>
      </c>
      <c r="F64" s="53"/>
      <c r="G64" s="35" t="b">
        <v>0</v>
      </c>
      <c r="H64" s="35" t="b">
        <v>0</v>
      </c>
      <c r="I64" s="35" t="b">
        <v>0</v>
      </c>
      <c r="J64" s="35" t="b">
        <v>0</v>
      </c>
      <c r="K64" s="35" t="b">
        <v>0</v>
      </c>
      <c r="L64" s="35" t="b">
        <v>0</v>
      </c>
      <c r="M64" s="35" t="b">
        <v>0</v>
      </c>
      <c r="N64" s="35" t="b">
        <v>0</v>
      </c>
      <c r="O64" s="35" t="b">
        <v>0</v>
      </c>
      <c r="P64" s="35" t="b">
        <v>0</v>
      </c>
      <c r="Q64" s="35" t="b">
        <v>0</v>
      </c>
      <c r="R64" s="35" t="b">
        <v>0</v>
      </c>
      <c r="S64" s="35" t="b">
        <v>0</v>
      </c>
      <c r="T64" s="35" t="b">
        <v>0</v>
      </c>
      <c r="U64" s="35" t="b">
        <v>0</v>
      </c>
      <c r="V64" s="35" t="b">
        <v>0</v>
      </c>
      <c r="W64" s="35" t="b">
        <v>0</v>
      </c>
      <c r="X64" s="35" t="b">
        <v>0</v>
      </c>
      <c r="Y64" s="35" t="b">
        <v>0</v>
      </c>
      <c r="Z64" s="35" t="b">
        <v>0</v>
      </c>
      <c r="AA64" s="35" t="b">
        <v>0</v>
      </c>
      <c r="AB64" s="35" t="b">
        <v>0</v>
      </c>
      <c r="AC64" s="35" t="b">
        <v>0</v>
      </c>
      <c r="AD64" s="35" t="b">
        <v>0</v>
      </c>
      <c r="AE64" s="35" t="b">
        <v>0</v>
      </c>
      <c r="AF64" s="35" t="b">
        <v>0</v>
      </c>
      <c r="AG64" s="35" t="b">
        <v>0</v>
      </c>
      <c r="AH64" s="35" t="b">
        <v>0</v>
      </c>
      <c r="AI64" s="35" t="b">
        <v>0</v>
      </c>
      <c r="AJ64" s="35" t="b">
        <v>0</v>
      </c>
      <c r="AK64" s="35" t="b">
        <v>0</v>
      </c>
      <c r="AL64" s="38" t="str">
        <f t="shared" si="1"/>
        <v>0 dari 31 (0%)</v>
      </c>
    </row>
    <row r="65" ht="22.5" customHeight="1">
      <c r="A65" s="82">
        <v>64.0</v>
      </c>
      <c r="B65" s="83"/>
      <c r="C65" s="91">
        <v>60179.0</v>
      </c>
      <c r="D65" s="85" t="s">
        <v>53</v>
      </c>
      <c r="E65" s="85" t="s">
        <v>139</v>
      </c>
      <c r="F65" s="86" t="s">
        <v>67</v>
      </c>
      <c r="G65" s="87" t="b">
        <v>0</v>
      </c>
      <c r="H65" s="87" t="b">
        <v>0</v>
      </c>
      <c r="I65" s="87" t="b">
        <v>0</v>
      </c>
      <c r="J65" s="87" t="b">
        <v>0</v>
      </c>
      <c r="K65" s="87" t="b">
        <v>0</v>
      </c>
      <c r="L65" s="87" t="b">
        <v>0</v>
      </c>
      <c r="M65" s="87" t="b">
        <v>0</v>
      </c>
      <c r="N65" s="87" t="b">
        <v>0</v>
      </c>
      <c r="O65" s="87" t="b">
        <v>0</v>
      </c>
      <c r="P65" s="87" t="b">
        <v>0</v>
      </c>
      <c r="Q65" s="87" t="b">
        <v>0</v>
      </c>
      <c r="R65" s="87" t="b">
        <v>0</v>
      </c>
      <c r="S65" s="87" t="b">
        <v>0</v>
      </c>
      <c r="T65" s="87" t="b">
        <v>0</v>
      </c>
      <c r="U65" s="87" t="b">
        <v>0</v>
      </c>
      <c r="V65" s="87" t="b">
        <v>0</v>
      </c>
      <c r="W65" s="87" t="b">
        <v>0</v>
      </c>
      <c r="X65" s="87" t="b">
        <v>0</v>
      </c>
      <c r="Y65" s="87" t="b">
        <v>0</v>
      </c>
      <c r="Z65" s="87" t="b">
        <v>0</v>
      </c>
      <c r="AA65" s="87" t="b">
        <v>0</v>
      </c>
      <c r="AB65" s="87" t="b">
        <v>0</v>
      </c>
      <c r="AC65" s="87" t="b">
        <v>0</v>
      </c>
      <c r="AD65" s="87" t="b">
        <v>0</v>
      </c>
      <c r="AE65" s="87" t="b">
        <v>0</v>
      </c>
      <c r="AF65" s="87" t="b">
        <v>0</v>
      </c>
      <c r="AG65" s="87" t="b">
        <v>0</v>
      </c>
      <c r="AH65" s="87" t="b">
        <v>0</v>
      </c>
      <c r="AI65" s="87" t="b">
        <v>0</v>
      </c>
      <c r="AJ65" s="87" t="b">
        <v>0</v>
      </c>
      <c r="AK65" s="87" t="b">
        <v>0</v>
      </c>
      <c r="AL65" s="89" t="str">
        <f t="shared" si="1"/>
        <v>0 dari 31 (0%)</v>
      </c>
    </row>
    <row r="66" ht="22.5" customHeight="1">
      <c r="A66" s="10">
        <v>65.0</v>
      </c>
      <c r="B66" s="11"/>
      <c r="C66" s="20">
        <v>59656.0</v>
      </c>
      <c r="D66" s="12" t="s">
        <v>80</v>
      </c>
      <c r="E66" s="12" t="s">
        <v>100</v>
      </c>
      <c r="F66" s="13"/>
      <c r="G66" s="6" t="b">
        <v>1</v>
      </c>
      <c r="H66" s="6" t="b">
        <v>1</v>
      </c>
      <c r="I66" s="6" t="b">
        <v>0</v>
      </c>
      <c r="J66" s="6" t="b">
        <v>1</v>
      </c>
      <c r="K66" s="6" t="b">
        <v>1</v>
      </c>
      <c r="L66" s="6" t="b">
        <v>1</v>
      </c>
      <c r="M66" s="6" t="b">
        <v>1</v>
      </c>
      <c r="N66" s="6" t="b">
        <v>1</v>
      </c>
      <c r="O66" s="6" t="b">
        <v>1</v>
      </c>
      <c r="P66" s="6" t="b">
        <v>1</v>
      </c>
      <c r="Q66" s="6" t="b">
        <v>1</v>
      </c>
      <c r="R66" s="6" t="b">
        <v>1</v>
      </c>
      <c r="S66" s="6" t="b">
        <v>1</v>
      </c>
      <c r="T66" s="6" t="b">
        <v>1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1</v>
      </c>
      <c r="AJ66" s="6" t="b">
        <v>0</v>
      </c>
      <c r="AK66" s="6" t="b">
        <v>0</v>
      </c>
      <c r="AL66" s="17" t="str">
        <f t="shared" si="1"/>
        <v>14 dari 31 (45%)</v>
      </c>
    </row>
    <row r="67" ht="22.5" customHeight="1">
      <c r="A67" s="2">
        <v>66.0</v>
      </c>
      <c r="B67" s="11"/>
      <c r="C67" s="22">
        <v>51885.0</v>
      </c>
      <c r="D67" s="12" t="s">
        <v>98</v>
      </c>
      <c r="E67" s="12" t="s">
        <v>99</v>
      </c>
      <c r="F67" s="15" t="s">
        <v>50</v>
      </c>
      <c r="G67" s="6" t="b">
        <v>1</v>
      </c>
      <c r="H67" s="6" t="b">
        <v>0</v>
      </c>
      <c r="I67" s="6" t="b">
        <v>0</v>
      </c>
      <c r="J67" s="6" t="b">
        <v>0</v>
      </c>
      <c r="K67" s="6" t="b">
        <v>0</v>
      </c>
      <c r="L67" s="6" t="b">
        <v>0</v>
      </c>
      <c r="M67" s="6" t="b">
        <v>0</v>
      </c>
      <c r="N67" s="6" t="b">
        <v>0</v>
      </c>
      <c r="O67" s="6" t="b">
        <v>0</v>
      </c>
      <c r="P67" s="6" t="b">
        <v>0</v>
      </c>
      <c r="Q67" s="6" t="b">
        <v>0</v>
      </c>
      <c r="R67" s="6" t="b">
        <v>0</v>
      </c>
      <c r="S67" s="6" t="b">
        <v>0</v>
      </c>
      <c r="T67" s="6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1"/>
        <v>1 dari 31 (3%)</v>
      </c>
    </row>
    <row r="68" ht="22.5" customHeight="1">
      <c r="A68" s="10">
        <v>67.0</v>
      </c>
      <c r="B68" s="11"/>
      <c r="C68" s="22">
        <v>61369.0</v>
      </c>
      <c r="D68" s="12" t="s">
        <v>54</v>
      </c>
      <c r="E68" s="12" t="s">
        <v>76</v>
      </c>
      <c r="F68" s="15" t="s">
        <v>50</v>
      </c>
      <c r="G68" s="6" t="b">
        <v>1</v>
      </c>
      <c r="H68" s="6" t="b">
        <v>0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0</v>
      </c>
      <c r="R68" s="6" t="b">
        <v>1</v>
      </c>
      <c r="S68" s="6" t="b">
        <v>1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1</v>
      </c>
      <c r="AA68" s="6" t="b">
        <v>1</v>
      </c>
      <c r="AB68" s="6" t="b">
        <v>1</v>
      </c>
      <c r="AC68" s="6" t="b">
        <v>1</v>
      </c>
      <c r="AD68" s="6" t="b">
        <v>1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1</v>
      </c>
      <c r="AJ68" s="6" t="b">
        <v>0</v>
      </c>
      <c r="AK68" s="6" t="b">
        <v>0</v>
      </c>
      <c r="AL68" s="9" t="str">
        <f t="shared" si="1"/>
        <v>9 dari 31 (29%)</v>
      </c>
    </row>
    <row r="69" ht="22.5" customHeight="1">
      <c r="A69" s="10">
        <v>68.0</v>
      </c>
      <c r="B69" s="11"/>
      <c r="C69" s="22">
        <v>59158.0</v>
      </c>
      <c r="D69" s="12" t="s">
        <v>85</v>
      </c>
      <c r="E69" s="20" t="s">
        <v>90</v>
      </c>
      <c r="F69" s="13"/>
      <c r="G69" s="6" t="b">
        <v>1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  <c r="N69" s="6" t="b">
        <v>1</v>
      </c>
      <c r="O69" s="6" t="b">
        <v>1</v>
      </c>
      <c r="P69" s="6" t="b">
        <v>1</v>
      </c>
      <c r="Q69" s="6" t="b">
        <v>1</v>
      </c>
      <c r="R69" s="6" t="b">
        <v>1</v>
      </c>
      <c r="S69" s="6" t="b">
        <v>1</v>
      </c>
      <c r="T69" s="6" t="b">
        <v>1</v>
      </c>
      <c r="U69" s="6" t="b">
        <v>0</v>
      </c>
      <c r="V69" s="6" t="b">
        <v>0</v>
      </c>
      <c r="W69" s="6" t="b">
        <v>1</v>
      </c>
      <c r="X69" s="6" t="b">
        <v>1</v>
      </c>
      <c r="Y69" s="6" t="b">
        <v>1</v>
      </c>
      <c r="Z69" s="6" t="b">
        <v>1</v>
      </c>
      <c r="AA69" s="6" t="b">
        <v>1</v>
      </c>
      <c r="AB69" s="6" t="b">
        <v>1</v>
      </c>
      <c r="AC69" s="6" t="b">
        <v>1</v>
      </c>
      <c r="AD69" s="6" t="b">
        <v>1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0</v>
      </c>
      <c r="AL69" s="17" t="str">
        <f t="shared" si="1"/>
        <v>23 dari 31 (74%)</v>
      </c>
    </row>
    <row r="70" ht="22.5" customHeight="1">
      <c r="A70" s="2">
        <v>69.0</v>
      </c>
      <c r="B70" s="11"/>
      <c r="C70" s="22">
        <v>61370.0</v>
      </c>
      <c r="D70" s="12" t="s">
        <v>141</v>
      </c>
      <c r="E70" s="20" t="s">
        <v>109</v>
      </c>
      <c r="F70" s="15" t="s">
        <v>50</v>
      </c>
      <c r="G70" s="6" t="b">
        <v>1</v>
      </c>
      <c r="H70" s="6" t="b">
        <v>0</v>
      </c>
      <c r="I70" s="6" t="b">
        <v>0</v>
      </c>
      <c r="J70" s="6" t="b">
        <v>1</v>
      </c>
      <c r="K70" s="6" t="b">
        <v>1</v>
      </c>
      <c r="L70" s="6" t="b">
        <v>1</v>
      </c>
      <c r="M70" s="6" t="b">
        <v>1</v>
      </c>
      <c r="N70" s="6" t="b">
        <v>1</v>
      </c>
      <c r="O70" s="6" t="b">
        <v>1</v>
      </c>
      <c r="P70" s="6" t="b">
        <v>1</v>
      </c>
      <c r="Q70" s="6" t="b">
        <v>1</v>
      </c>
      <c r="R70" s="6" t="b">
        <v>1</v>
      </c>
      <c r="S70" s="6" t="b">
        <v>1</v>
      </c>
      <c r="T70" s="6" t="b">
        <v>0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1</v>
      </c>
      <c r="AJ70" s="6" t="b">
        <v>0</v>
      </c>
      <c r="AK70" s="6" t="b">
        <v>0</v>
      </c>
      <c r="AL70" s="9" t="str">
        <f t="shared" si="1"/>
        <v>12 dari 31 (39%)</v>
      </c>
    </row>
    <row r="71" ht="22.5" customHeight="1">
      <c r="A71" s="10">
        <v>70.0</v>
      </c>
      <c r="B71" s="11"/>
      <c r="C71" s="22">
        <v>61371.0</v>
      </c>
      <c r="D71" s="12" t="s">
        <v>54</v>
      </c>
      <c r="E71" s="20" t="s">
        <v>76</v>
      </c>
      <c r="F71" s="15" t="s">
        <v>50</v>
      </c>
      <c r="G71" s="6" t="b">
        <v>1</v>
      </c>
      <c r="H71" s="6" t="b">
        <v>0</v>
      </c>
      <c r="I71" s="6" t="b">
        <v>0</v>
      </c>
      <c r="J71" s="6" t="b">
        <v>0</v>
      </c>
      <c r="K71" s="6" t="b">
        <v>1</v>
      </c>
      <c r="L71" s="6" t="b">
        <v>1</v>
      </c>
      <c r="M71" s="6" t="b">
        <v>1</v>
      </c>
      <c r="N71" s="6" t="b">
        <v>1</v>
      </c>
      <c r="O71" s="6" t="b">
        <v>1</v>
      </c>
      <c r="P71" s="6" t="b">
        <v>1</v>
      </c>
      <c r="Q71" s="6" t="b">
        <v>1</v>
      </c>
      <c r="R71" s="6" t="b">
        <v>1</v>
      </c>
      <c r="S71" s="6" t="b">
        <v>1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1</v>
      </c>
      <c r="AJ71" s="6" t="b">
        <v>0</v>
      </c>
      <c r="AK71" s="6" t="b">
        <v>0</v>
      </c>
      <c r="AL71" s="9" t="str">
        <f t="shared" si="1"/>
        <v>11 dari 31 (35%)</v>
      </c>
    </row>
    <row r="72" ht="22.5" customHeight="1">
      <c r="A72" s="10">
        <v>71.0</v>
      </c>
      <c r="B72" s="11"/>
      <c r="C72" s="20">
        <v>61372.0</v>
      </c>
      <c r="D72" s="12" t="s">
        <v>54</v>
      </c>
      <c r="E72" s="20" t="s">
        <v>76</v>
      </c>
      <c r="F72" s="15" t="s">
        <v>50</v>
      </c>
      <c r="G72" s="6" t="b">
        <v>1</v>
      </c>
      <c r="H72" s="6" t="b">
        <v>0</v>
      </c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6" t="b">
        <v>0</v>
      </c>
      <c r="R72" s="6" t="b">
        <v>1</v>
      </c>
      <c r="S72" s="6" t="b">
        <v>1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1</v>
      </c>
      <c r="AJ72" s="6" t="b">
        <v>0</v>
      </c>
      <c r="AK72" s="6" t="b">
        <v>0</v>
      </c>
      <c r="AL72" s="17" t="str">
        <f t="shared" si="1"/>
        <v>4 dari 31 (13%)</v>
      </c>
    </row>
    <row r="73" ht="22.5" customHeight="1">
      <c r="A73" s="92">
        <v>72.0</v>
      </c>
      <c r="B73" s="83"/>
      <c r="C73" s="91">
        <v>52995.0</v>
      </c>
      <c r="D73" s="85" t="s">
        <v>80</v>
      </c>
      <c r="E73" s="91" t="s">
        <v>100</v>
      </c>
      <c r="F73" s="86" t="s">
        <v>67</v>
      </c>
      <c r="G73" s="87" t="b">
        <v>0</v>
      </c>
      <c r="H73" s="87" t="b">
        <v>0</v>
      </c>
      <c r="I73" s="87" t="b">
        <v>0</v>
      </c>
      <c r="J73" s="87" t="b">
        <v>0</v>
      </c>
      <c r="K73" s="87" t="b">
        <v>0</v>
      </c>
      <c r="L73" s="87" t="b">
        <v>0</v>
      </c>
      <c r="M73" s="87" t="b">
        <v>0</v>
      </c>
      <c r="N73" s="87" t="b">
        <v>0</v>
      </c>
      <c r="O73" s="87" t="b">
        <v>0</v>
      </c>
      <c r="P73" s="87" t="b">
        <v>0</v>
      </c>
      <c r="Q73" s="87" t="b">
        <v>0</v>
      </c>
      <c r="R73" s="87" t="b">
        <v>0</v>
      </c>
      <c r="S73" s="87" t="b">
        <v>0</v>
      </c>
      <c r="T73" s="87" t="b">
        <v>0</v>
      </c>
      <c r="U73" s="87" t="b">
        <v>0</v>
      </c>
      <c r="V73" s="87" t="b">
        <v>0</v>
      </c>
      <c r="W73" s="87" t="b">
        <v>0</v>
      </c>
      <c r="X73" s="87" t="b">
        <v>0</v>
      </c>
      <c r="Y73" s="87" t="b">
        <v>0</v>
      </c>
      <c r="Z73" s="87" t="b">
        <v>0</v>
      </c>
      <c r="AA73" s="87" t="b">
        <v>0</v>
      </c>
      <c r="AB73" s="87" t="b">
        <v>0</v>
      </c>
      <c r="AC73" s="87" t="b">
        <v>0</v>
      </c>
      <c r="AD73" s="87" t="b">
        <v>0</v>
      </c>
      <c r="AE73" s="87" t="b">
        <v>0</v>
      </c>
      <c r="AF73" s="87" t="b">
        <v>0</v>
      </c>
      <c r="AG73" s="87" t="b">
        <v>0</v>
      </c>
      <c r="AH73" s="87" t="b">
        <v>0</v>
      </c>
      <c r="AI73" s="87" t="b">
        <v>0</v>
      </c>
      <c r="AJ73" s="87" t="b">
        <v>0</v>
      </c>
      <c r="AK73" s="87" t="b">
        <v>0</v>
      </c>
      <c r="AL73" s="89" t="str">
        <f t="shared" si="1"/>
        <v>0 dari 31 (0%)</v>
      </c>
    </row>
    <row r="74" ht="22.5" customHeight="1">
      <c r="A74" s="10">
        <v>73.0</v>
      </c>
      <c r="B74" s="11"/>
      <c r="C74" s="20">
        <v>61326.0</v>
      </c>
      <c r="D74" s="12" t="s">
        <v>68</v>
      </c>
      <c r="E74" s="20" t="s">
        <v>109</v>
      </c>
      <c r="F74" s="13"/>
      <c r="G74" s="6" t="b">
        <v>1</v>
      </c>
      <c r="H74" s="6" t="b">
        <v>1</v>
      </c>
      <c r="I74" s="6" t="b">
        <v>1</v>
      </c>
      <c r="J74" s="6" t="b">
        <v>1</v>
      </c>
      <c r="K74" s="6" t="b">
        <v>1</v>
      </c>
      <c r="L74" s="6" t="b">
        <v>1</v>
      </c>
      <c r="M74" s="6" t="b">
        <v>1</v>
      </c>
      <c r="N74" s="6" t="b">
        <v>1</v>
      </c>
      <c r="O74" s="6" t="b">
        <v>1</v>
      </c>
      <c r="P74" s="6" t="b">
        <v>1</v>
      </c>
      <c r="Q74" s="6" t="b">
        <v>1</v>
      </c>
      <c r="R74" s="6" t="b">
        <v>1</v>
      </c>
      <c r="S74" s="6" t="b">
        <v>1</v>
      </c>
      <c r="T74" s="6" t="b">
        <v>1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1</v>
      </c>
      <c r="AJ74" s="6" t="b">
        <v>0</v>
      </c>
      <c r="AK74" s="6" t="b">
        <v>0</v>
      </c>
      <c r="AL74" s="9" t="str">
        <f t="shared" si="1"/>
        <v>15 dari 31 (48%)</v>
      </c>
    </row>
    <row r="75" ht="22.5" customHeight="1">
      <c r="A75" s="10">
        <v>74.0</v>
      </c>
      <c r="B75" s="11"/>
      <c r="C75" s="20">
        <v>33576.0</v>
      </c>
      <c r="D75" s="12" t="s">
        <v>54</v>
      </c>
      <c r="E75" s="20" t="s">
        <v>76</v>
      </c>
      <c r="F75" s="15" t="s">
        <v>50</v>
      </c>
      <c r="G75" s="6" t="b">
        <v>1</v>
      </c>
      <c r="H75" s="6" t="b">
        <v>0</v>
      </c>
      <c r="I75" s="6" t="b">
        <v>0</v>
      </c>
      <c r="J75" s="6" t="b">
        <v>0</v>
      </c>
      <c r="K75" s="6" t="b">
        <v>0</v>
      </c>
      <c r="L75" s="6" t="b">
        <v>0</v>
      </c>
      <c r="M75" s="6" t="b">
        <v>0</v>
      </c>
      <c r="N75" s="6" t="b">
        <v>0</v>
      </c>
      <c r="O75" s="6" t="b">
        <v>0</v>
      </c>
      <c r="P75" s="6" t="b">
        <v>0</v>
      </c>
      <c r="Q75" s="6" t="b">
        <v>0</v>
      </c>
      <c r="R75" s="6" t="b">
        <v>1</v>
      </c>
      <c r="S75" s="6" t="b">
        <v>1</v>
      </c>
      <c r="T75" s="6" t="b">
        <v>0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1</v>
      </c>
      <c r="AA75" s="6" t="b">
        <v>1</v>
      </c>
      <c r="AB75" s="6" t="b">
        <v>1</v>
      </c>
      <c r="AC75" s="6" t="b">
        <v>1</v>
      </c>
      <c r="AD75" s="6" t="b">
        <v>1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1</v>
      </c>
      <c r="AJ75" s="6" t="b">
        <v>0</v>
      </c>
      <c r="AK75" s="6" t="b">
        <v>0</v>
      </c>
      <c r="AL75" s="17" t="str">
        <f t="shared" si="1"/>
        <v>9 dari 31 (29%)</v>
      </c>
    </row>
    <row r="76" ht="22.5" customHeight="1">
      <c r="A76" s="2">
        <v>75.0</v>
      </c>
      <c r="B76" s="11"/>
      <c r="C76" s="20">
        <v>61373.0</v>
      </c>
      <c r="D76" s="12" t="s">
        <v>54</v>
      </c>
      <c r="E76" s="20" t="s">
        <v>76</v>
      </c>
      <c r="F76" s="15" t="s">
        <v>50</v>
      </c>
      <c r="G76" s="6" t="b">
        <v>1</v>
      </c>
      <c r="H76" s="6" t="b">
        <v>0</v>
      </c>
      <c r="I76" s="6" t="b">
        <v>0</v>
      </c>
      <c r="J76" s="6" t="b">
        <v>0</v>
      </c>
      <c r="K76" s="6" t="b">
        <v>0</v>
      </c>
      <c r="L76" s="6" t="b">
        <v>0</v>
      </c>
      <c r="M76" s="6" t="b">
        <v>0</v>
      </c>
      <c r="N76" s="6" t="b">
        <v>0</v>
      </c>
      <c r="O76" s="6" t="b">
        <v>0</v>
      </c>
      <c r="P76" s="6" t="b">
        <v>0</v>
      </c>
      <c r="Q76" s="6" t="b">
        <v>0</v>
      </c>
      <c r="R76" s="6" t="b">
        <v>1</v>
      </c>
      <c r="S76" s="6" t="b">
        <v>1</v>
      </c>
      <c r="T76" s="6" t="b">
        <v>0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1</v>
      </c>
      <c r="AA76" s="6" t="b">
        <v>1</v>
      </c>
      <c r="AB76" s="6" t="b">
        <v>1</v>
      </c>
      <c r="AC76" s="6" t="b">
        <v>1</v>
      </c>
      <c r="AD76" s="6" t="b">
        <v>1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1</v>
      </c>
      <c r="AJ76" s="6" t="b">
        <v>0</v>
      </c>
      <c r="AK76" s="6" t="b">
        <v>0</v>
      </c>
      <c r="AL76" s="9" t="str">
        <f t="shared" si="1"/>
        <v>9 dari 31 (29%)</v>
      </c>
    </row>
    <row r="77" ht="22.5" customHeight="1">
      <c r="A77" s="10">
        <v>76.0</v>
      </c>
      <c r="B77" s="11"/>
      <c r="C77" s="22">
        <v>61374.0</v>
      </c>
      <c r="D77" s="12" t="s">
        <v>85</v>
      </c>
      <c r="E77" s="20" t="s">
        <v>86</v>
      </c>
      <c r="F77" s="13"/>
      <c r="G77" s="6" t="b">
        <v>1</v>
      </c>
      <c r="H77" s="6" t="b">
        <v>1</v>
      </c>
      <c r="I77" s="6" t="b">
        <v>1</v>
      </c>
      <c r="J77" s="6" t="b">
        <v>1</v>
      </c>
      <c r="K77" s="6" t="b">
        <v>1</v>
      </c>
      <c r="L77" s="6" t="b">
        <v>1</v>
      </c>
      <c r="M77" s="6" t="b">
        <v>1</v>
      </c>
      <c r="N77" s="6" t="b">
        <v>1</v>
      </c>
      <c r="O77" s="6" t="b">
        <v>1</v>
      </c>
      <c r="P77" s="6" t="b">
        <v>1</v>
      </c>
      <c r="Q77" s="6" t="b">
        <v>1</v>
      </c>
      <c r="R77" s="6" t="b">
        <v>1</v>
      </c>
      <c r="S77" s="6" t="b">
        <v>1</v>
      </c>
      <c r="T77" s="6" t="b">
        <v>1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1</v>
      </c>
      <c r="AJ77" s="6" t="b">
        <v>0</v>
      </c>
      <c r="AK77" s="6" t="b">
        <v>0</v>
      </c>
      <c r="AL77" s="9" t="str">
        <f t="shared" si="1"/>
        <v>15 dari 31 (48%)</v>
      </c>
    </row>
    <row r="78" ht="22.5" customHeight="1">
      <c r="A78" s="10">
        <v>77.0</v>
      </c>
      <c r="B78" s="11"/>
      <c r="C78" s="22">
        <v>50167.0</v>
      </c>
      <c r="D78" s="12" t="s">
        <v>98</v>
      </c>
      <c r="E78" s="20" t="s">
        <v>99</v>
      </c>
      <c r="F78" s="15" t="s">
        <v>50</v>
      </c>
      <c r="G78" s="6" t="b">
        <v>1</v>
      </c>
      <c r="H78" s="6" t="b">
        <v>0</v>
      </c>
      <c r="I78" s="6" t="b">
        <v>0</v>
      </c>
      <c r="J78" s="6" t="b">
        <v>0</v>
      </c>
      <c r="K78" s="6" t="b">
        <v>0</v>
      </c>
      <c r="L78" s="6" t="b">
        <v>0</v>
      </c>
      <c r="M78" s="6" t="b">
        <v>0</v>
      </c>
      <c r="N78" s="6" t="b">
        <v>0</v>
      </c>
      <c r="O78" s="6" t="b">
        <v>0</v>
      </c>
      <c r="P78" s="6" t="b">
        <v>0</v>
      </c>
      <c r="Q78" s="6" t="b">
        <v>0</v>
      </c>
      <c r="R78" s="6" t="b">
        <v>0</v>
      </c>
      <c r="S78" s="6" t="b">
        <v>0</v>
      </c>
      <c r="T78" s="6" t="b">
        <v>0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0</v>
      </c>
      <c r="AJ78" s="6" t="b">
        <v>0</v>
      </c>
      <c r="AK78" s="6" t="b">
        <v>0</v>
      </c>
      <c r="AL78" s="17" t="str">
        <f t="shared" si="1"/>
        <v>1 dari 31 (3%)</v>
      </c>
    </row>
    <row r="79" ht="22.5" customHeight="1">
      <c r="A79" s="2">
        <v>78.0</v>
      </c>
      <c r="B79" s="11"/>
      <c r="C79" s="22">
        <v>61375.0</v>
      </c>
      <c r="D79" s="12" t="s">
        <v>85</v>
      </c>
      <c r="E79" s="12" t="s">
        <v>165</v>
      </c>
      <c r="F79" s="13"/>
      <c r="G79" s="6" t="b">
        <v>1</v>
      </c>
      <c r="H79" s="6" t="b">
        <v>1</v>
      </c>
      <c r="I79" s="6" t="b">
        <v>1</v>
      </c>
      <c r="J79" s="6" t="b">
        <v>1</v>
      </c>
      <c r="K79" s="6" t="b">
        <v>1</v>
      </c>
      <c r="L79" s="6" t="b">
        <v>1</v>
      </c>
      <c r="M79" s="6" t="b">
        <v>1</v>
      </c>
      <c r="N79" s="6" t="b">
        <v>1</v>
      </c>
      <c r="O79" s="6" t="b">
        <v>1</v>
      </c>
      <c r="P79" s="6" t="b">
        <v>1</v>
      </c>
      <c r="Q79" s="6" t="b">
        <v>1</v>
      </c>
      <c r="R79" s="6" t="b">
        <v>1</v>
      </c>
      <c r="S79" s="6" t="b">
        <v>1</v>
      </c>
      <c r="T79" s="6" t="b">
        <v>1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1</v>
      </c>
      <c r="AJ79" s="6" t="b">
        <v>0</v>
      </c>
      <c r="AK79" s="6" t="b">
        <v>0</v>
      </c>
      <c r="AL79" s="9" t="str">
        <f t="shared" si="1"/>
        <v>15 dari 31 (48%)</v>
      </c>
    </row>
    <row r="80" ht="22.5" customHeight="1">
      <c r="A80" s="10">
        <v>79.0</v>
      </c>
      <c r="B80" s="11"/>
      <c r="C80" s="22">
        <v>61376.0</v>
      </c>
      <c r="D80" s="12" t="s">
        <v>85</v>
      </c>
      <c r="E80" s="12" t="s">
        <v>165</v>
      </c>
      <c r="F80" s="13"/>
      <c r="G80" s="6" t="b">
        <v>1</v>
      </c>
      <c r="H80" s="6" t="b">
        <v>1</v>
      </c>
      <c r="I80" s="6" t="b">
        <v>1</v>
      </c>
      <c r="J80" s="6" t="b">
        <v>1</v>
      </c>
      <c r="K80" s="6" t="b">
        <v>1</v>
      </c>
      <c r="L80" s="6" t="b">
        <v>1</v>
      </c>
      <c r="M80" s="6" t="b">
        <v>1</v>
      </c>
      <c r="N80" s="6" t="b">
        <v>1</v>
      </c>
      <c r="O80" s="6" t="b">
        <v>1</v>
      </c>
      <c r="P80" s="6" t="b">
        <v>1</v>
      </c>
      <c r="Q80" s="6" t="b">
        <v>1</v>
      </c>
      <c r="R80" s="6" t="b">
        <v>1</v>
      </c>
      <c r="S80" s="6" t="b">
        <v>1</v>
      </c>
      <c r="T80" s="6" t="b">
        <v>1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1</v>
      </c>
      <c r="AJ80" s="6" t="b">
        <v>0</v>
      </c>
      <c r="AK80" s="6" t="b">
        <v>0</v>
      </c>
      <c r="AL80" s="9" t="str">
        <f t="shared" si="1"/>
        <v>15 dari 31 (48%)</v>
      </c>
    </row>
    <row r="81" ht="22.5" customHeight="1">
      <c r="A81" s="82">
        <v>80.0</v>
      </c>
      <c r="B81" s="83"/>
      <c r="C81" s="84">
        <v>61228.0</v>
      </c>
      <c r="D81" s="85" t="s">
        <v>98</v>
      </c>
      <c r="E81" s="85" t="s">
        <v>99</v>
      </c>
      <c r="F81" s="86" t="s">
        <v>67</v>
      </c>
      <c r="G81" s="87" t="b">
        <v>0</v>
      </c>
      <c r="H81" s="87" t="b">
        <v>0</v>
      </c>
      <c r="I81" s="87" t="b">
        <v>0</v>
      </c>
      <c r="J81" s="87" t="b">
        <v>0</v>
      </c>
      <c r="K81" s="87" t="b">
        <v>0</v>
      </c>
      <c r="L81" s="87" t="b">
        <v>0</v>
      </c>
      <c r="M81" s="87" t="b">
        <v>0</v>
      </c>
      <c r="N81" s="87" t="b">
        <v>0</v>
      </c>
      <c r="O81" s="87" t="b">
        <v>0</v>
      </c>
      <c r="P81" s="87" t="b">
        <v>0</v>
      </c>
      <c r="Q81" s="87" t="b">
        <v>0</v>
      </c>
      <c r="R81" s="87" t="b">
        <v>0</v>
      </c>
      <c r="S81" s="87" t="b">
        <v>0</v>
      </c>
      <c r="T81" s="87" t="b">
        <v>0</v>
      </c>
      <c r="U81" s="87" t="b">
        <v>0</v>
      </c>
      <c r="V81" s="87" t="b">
        <v>0</v>
      </c>
      <c r="W81" s="87" t="b">
        <v>0</v>
      </c>
      <c r="X81" s="87" t="b">
        <v>0</v>
      </c>
      <c r="Y81" s="87" t="b">
        <v>0</v>
      </c>
      <c r="Z81" s="87" t="b">
        <v>0</v>
      </c>
      <c r="AA81" s="87" t="b">
        <v>0</v>
      </c>
      <c r="AB81" s="87" t="b">
        <v>0</v>
      </c>
      <c r="AC81" s="87" t="b">
        <v>0</v>
      </c>
      <c r="AD81" s="87" t="b">
        <v>0</v>
      </c>
      <c r="AE81" s="87" t="b">
        <v>0</v>
      </c>
      <c r="AF81" s="87" t="b">
        <v>0</v>
      </c>
      <c r="AG81" s="87" t="b">
        <v>0</v>
      </c>
      <c r="AH81" s="87" t="b">
        <v>0</v>
      </c>
      <c r="AI81" s="87" t="b">
        <v>0</v>
      </c>
      <c r="AJ81" s="87" t="b">
        <v>0</v>
      </c>
      <c r="AK81" s="87" t="b">
        <v>0</v>
      </c>
      <c r="AL81" s="88" t="str">
        <f t="shared" si="1"/>
        <v>0 dari 31 (0%)</v>
      </c>
    </row>
    <row r="82" ht="22.5" customHeight="1">
      <c r="A82" s="2">
        <v>81.0</v>
      </c>
      <c r="B82" s="11"/>
      <c r="C82" s="20">
        <v>52955.0</v>
      </c>
      <c r="D82" s="12" t="s">
        <v>80</v>
      </c>
      <c r="E82" s="12" t="s">
        <v>100</v>
      </c>
      <c r="F82" s="13"/>
      <c r="G82" s="6" t="b">
        <v>1</v>
      </c>
      <c r="H82" s="6" t="b">
        <v>1</v>
      </c>
      <c r="I82" s="6" t="b">
        <v>0</v>
      </c>
      <c r="J82" s="6" t="b">
        <v>1</v>
      </c>
      <c r="K82" s="6" t="b">
        <v>1</v>
      </c>
      <c r="L82" s="6" t="b">
        <v>1</v>
      </c>
      <c r="M82" s="6" t="b">
        <v>1</v>
      </c>
      <c r="N82" s="6" t="b">
        <v>1</v>
      </c>
      <c r="O82" s="6" t="b">
        <v>1</v>
      </c>
      <c r="P82" s="6" t="b">
        <v>1</v>
      </c>
      <c r="Q82" s="6" t="b">
        <v>1</v>
      </c>
      <c r="R82" s="6" t="b">
        <v>1</v>
      </c>
      <c r="S82" s="6" t="b">
        <v>1</v>
      </c>
      <c r="T82" s="6" t="b">
        <v>1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1</v>
      </c>
      <c r="AJ82" s="6" t="b">
        <v>0</v>
      </c>
      <c r="AK82" s="6" t="b">
        <v>0</v>
      </c>
      <c r="AL82" s="9" t="str">
        <f t="shared" si="1"/>
        <v>14 dari 31 (45%)</v>
      </c>
    </row>
    <row r="83" ht="22.5" customHeight="1">
      <c r="A83" s="10">
        <v>82.0</v>
      </c>
      <c r="B83" s="11"/>
      <c r="C83" s="20">
        <v>39017.0</v>
      </c>
      <c r="D83" s="12" t="s">
        <v>40</v>
      </c>
      <c r="E83" s="12" t="s">
        <v>116</v>
      </c>
      <c r="F83" s="13"/>
      <c r="G83" s="6" t="b">
        <v>1</v>
      </c>
      <c r="H83" s="6" t="b">
        <v>1</v>
      </c>
      <c r="I83" s="6" t="b">
        <v>0</v>
      </c>
      <c r="J83" s="6" t="b">
        <v>1</v>
      </c>
      <c r="K83" s="6" t="b">
        <v>1</v>
      </c>
      <c r="L83" s="6" t="b">
        <v>1</v>
      </c>
      <c r="M83" s="6" t="b">
        <v>1</v>
      </c>
      <c r="N83" s="6" t="b">
        <v>1</v>
      </c>
      <c r="O83" s="6" t="b">
        <v>1</v>
      </c>
      <c r="P83" s="6" t="b">
        <v>1</v>
      </c>
      <c r="Q83" s="6" t="b">
        <v>1</v>
      </c>
      <c r="R83" s="6" t="b">
        <v>1</v>
      </c>
      <c r="S83" s="6" t="b">
        <v>0</v>
      </c>
      <c r="T83" s="6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0</v>
      </c>
      <c r="AJ83" s="6" t="b">
        <v>0</v>
      </c>
      <c r="AK83" s="6" t="b">
        <v>0</v>
      </c>
      <c r="AL83" s="9" t="str">
        <f t="shared" si="1"/>
        <v>12 dari 31 (39%)</v>
      </c>
    </row>
    <row r="84" ht="22.5" customHeight="1">
      <c r="A84" s="10">
        <v>83.0</v>
      </c>
      <c r="B84" s="11"/>
      <c r="C84" s="20">
        <v>61074.0</v>
      </c>
      <c r="D84" s="12" t="s">
        <v>85</v>
      </c>
      <c r="E84" s="12" t="s">
        <v>128</v>
      </c>
      <c r="F84" s="13"/>
      <c r="G84" s="6" t="b">
        <v>1</v>
      </c>
      <c r="H84" s="6" t="b">
        <v>1</v>
      </c>
      <c r="I84" s="6" t="b">
        <v>1</v>
      </c>
      <c r="J84" s="6" t="b">
        <v>1</v>
      </c>
      <c r="K84" s="6" t="b">
        <v>1</v>
      </c>
      <c r="L84" s="6" t="b">
        <v>1</v>
      </c>
      <c r="M84" s="6" t="b">
        <v>1</v>
      </c>
      <c r="N84" s="6" t="b">
        <v>1</v>
      </c>
      <c r="O84" s="6" t="b">
        <v>1</v>
      </c>
      <c r="P84" s="6" t="b">
        <v>0</v>
      </c>
      <c r="Q84" s="6" t="b">
        <v>1</v>
      </c>
      <c r="R84" s="6" t="b">
        <v>1</v>
      </c>
      <c r="S84" s="6" t="b">
        <v>1</v>
      </c>
      <c r="T84" s="6" t="b">
        <v>1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1</v>
      </c>
      <c r="AJ84" s="6" t="b">
        <v>0</v>
      </c>
      <c r="AK84" s="6" t="b">
        <v>0</v>
      </c>
      <c r="AL84" s="17" t="str">
        <f t="shared" si="1"/>
        <v>14 dari 31 (45%)</v>
      </c>
    </row>
    <row r="85" ht="22.5" customHeight="1">
      <c r="A85" s="2">
        <v>84.0</v>
      </c>
      <c r="B85" s="11"/>
      <c r="C85" s="20">
        <v>61377.0</v>
      </c>
      <c r="D85" s="12" t="s">
        <v>93</v>
      </c>
      <c r="E85" s="12" t="s">
        <v>113</v>
      </c>
      <c r="F85" s="15" t="s">
        <v>50</v>
      </c>
      <c r="G85" s="6" t="b">
        <v>1</v>
      </c>
      <c r="H85" s="6" t="b">
        <v>0</v>
      </c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  <c r="P85" s="6" t="b">
        <v>0</v>
      </c>
      <c r="Q85" s="6" t="b">
        <v>0</v>
      </c>
      <c r="R85" s="6" t="b">
        <v>0</v>
      </c>
      <c r="S85" s="6" t="b">
        <v>0</v>
      </c>
      <c r="T85" s="6" t="b">
        <v>0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0</v>
      </c>
      <c r="AJ85" s="6" t="b">
        <v>0</v>
      </c>
      <c r="AK85" s="6" t="b">
        <v>0</v>
      </c>
      <c r="AL85" s="9" t="str">
        <f t="shared" si="1"/>
        <v>1 dari 31 (3%)</v>
      </c>
    </row>
    <row r="86" ht="22.5" customHeight="1">
      <c r="A86" s="10">
        <v>85.0</v>
      </c>
      <c r="B86" s="11"/>
      <c r="C86" s="20">
        <v>61385.0</v>
      </c>
      <c r="D86" s="12" t="s">
        <v>93</v>
      </c>
      <c r="E86" s="12" t="s">
        <v>103</v>
      </c>
      <c r="F86" s="13"/>
      <c r="G86" s="6" t="b">
        <v>1</v>
      </c>
      <c r="H86" s="6" t="b">
        <v>1</v>
      </c>
      <c r="I86" s="6" t="b">
        <v>0</v>
      </c>
      <c r="J86" s="6" t="b">
        <v>1</v>
      </c>
      <c r="K86" s="6" t="b">
        <v>1</v>
      </c>
      <c r="L86" s="6" t="b">
        <v>1</v>
      </c>
      <c r="M86" s="6" t="b">
        <v>1</v>
      </c>
      <c r="N86" s="6" t="b">
        <v>1</v>
      </c>
      <c r="O86" s="6" t="b">
        <v>1</v>
      </c>
      <c r="P86" s="6" t="b">
        <v>1</v>
      </c>
      <c r="Q86" s="6" t="b">
        <v>1</v>
      </c>
      <c r="R86" s="6" t="b">
        <v>1</v>
      </c>
      <c r="S86" s="6" t="b">
        <v>1</v>
      </c>
      <c r="T86" s="6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13 dari 31 (42%)</v>
      </c>
    </row>
    <row r="87" ht="22.5" customHeight="1">
      <c r="A87" s="10">
        <v>86.0</v>
      </c>
      <c r="B87" s="11"/>
      <c r="C87" s="22">
        <v>22627.0</v>
      </c>
      <c r="D87" s="12" t="s">
        <v>89</v>
      </c>
      <c r="E87" s="12" t="s">
        <v>95</v>
      </c>
      <c r="F87" s="15" t="s">
        <v>50</v>
      </c>
      <c r="G87" s="6" t="b">
        <v>1</v>
      </c>
      <c r="H87" s="6" t="b">
        <v>0</v>
      </c>
      <c r="I87" s="6" t="b">
        <v>0</v>
      </c>
      <c r="J87" s="6" t="b">
        <v>0</v>
      </c>
      <c r="K87" s="6" t="b">
        <v>0</v>
      </c>
      <c r="L87" s="6" t="b">
        <v>0</v>
      </c>
      <c r="M87" s="6" t="b">
        <v>0</v>
      </c>
      <c r="N87" s="6" t="b">
        <v>0</v>
      </c>
      <c r="O87" s="6" t="b">
        <v>0</v>
      </c>
      <c r="P87" s="6" t="b">
        <v>0</v>
      </c>
      <c r="Q87" s="6" t="b">
        <v>0</v>
      </c>
      <c r="R87" s="6" t="b">
        <v>0</v>
      </c>
      <c r="S87" s="6" t="b">
        <v>0</v>
      </c>
      <c r="T87" s="6" t="b">
        <v>0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1 dari 31 (3%)</v>
      </c>
    </row>
    <row r="88" ht="22.5" customHeight="1">
      <c r="A88" s="2">
        <v>87.0</v>
      </c>
      <c r="B88" s="11"/>
      <c r="C88" s="22">
        <v>46896.0</v>
      </c>
      <c r="D88" s="12" t="s">
        <v>89</v>
      </c>
      <c r="E88" s="12" t="s">
        <v>95</v>
      </c>
      <c r="F88" s="15" t="s">
        <v>50</v>
      </c>
      <c r="G88" s="6" t="b">
        <v>1</v>
      </c>
      <c r="H88" s="6" t="b">
        <v>0</v>
      </c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  <c r="P88" s="6" t="b">
        <v>0</v>
      </c>
      <c r="Q88" s="6" t="b">
        <v>0</v>
      </c>
      <c r="R88" s="6" t="b">
        <v>0</v>
      </c>
      <c r="S88" s="6" t="b">
        <v>0</v>
      </c>
      <c r="T88" s="6" t="b">
        <v>0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1 dari 31 (3%)</v>
      </c>
    </row>
    <row r="89" ht="22.5" customHeight="1">
      <c r="A89" s="10">
        <v>88.0</v>
      </c>
      <c r="B89" s="11"/>
      <c r="C89" s="22">
        <v>61379.0</v>
      </c>
      <c r="D89" s="12" t="s">
        <v>89</v>
      </c>
      <c r="E89" s="12" t="s">
        <v>95</v>
      </c>
      <c r="F89" s="15" t="s">
        <v>50</v>
      </c>
      <c r="G89" s="6" t="b">
        <v>1</v>
      </c>
      <c r="H89" s="6" t="b">
        <v>0</v>
      </c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6" t="b">
        <v>0</v>
      </c>
      <c r="R89" s="6" t="b">
        <v>0</v>
      </c>
      <c r="S89" s="6" t="b">
        <v>0</v>
      </c>
      <c r="T89" s="6" t="b">
        <v>0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1 dari 31 (3%)</v>
      </c>
    </row>
    <row r="90" ht="22.5" customHeight="1">
      <c r="A90" s="10">
        <v>89.0</v>
      </c>
      <c r="B90" s="11"/>
      <c r="C90" s="22">
        <v>45946.0</v>
      </c>
      <c r="D90" s="12" t="s">
        <v>89</v>
      </c>
      <c r="E90" s="12" t="s">
        <v>95</v>
      </c>
      <c r="F90" s="15" t="s">
        <v>50</v>
      </c>
      <c r="G90" s="6" t="b">
        <v>1</v>
      </c>
      <c r="H90" s="6" t="b">
        <v>0</v>
      </c>
      <c r="I90" s="6" t="b">
        <v>0</v>
      </c>
      <c r="J90" s="6" t="b">
        <v>0</v>
      </c>
      <c r="K90" s="6" t="b">
        <v>0</v>
      </c>
      <c r="L90" s="6" t="b">
        <v>0</v>
      </c>
      <c r="M90" s="6" t="b">
        <v>0</v>
      </c>
      <c r="N90" s="6" t="b">
        <v>0</v>
      </c>
      <c r="O90" s="6" t="b">
        <v>0</v>
      </c>
      <c r="P90" s="6" t="b">
        <v>0</v>
      </c>
      <c r="Q90" s="6" t="b">
        <v>0</v>
      </c>
      <c r="R90" s="6" t="b">
        <v>0</v>
      </c>
      <c r="S90" s="6" t="b">
        <v>0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1 dari 31 (3%)</v>
      </c>
    </row>
    <row r="91" ht="22.5" customHeight="1">
      <c r="A91" s="92">
        <v>90.0</v>
      </c>
      <c r="B91" s="83"/>
      <c r="C91" s="84">
        <v>61380.0</v>
      </c>
      <c r="D91" s="85" t="s">
        <v>89</v>
      </c>
      <c r="E91" s="85" t="s">
        <v>95</v>
      </c>
      <c r="F91" s="86" t="s">
        <v>67</v>
      </c>
      <c r="G91" s="87" t="b">
        <v>0</v>
      </c>
      <c r="H91" s="87" t="b">
        <v>0</v>
      </c>
      <c r="I91" s="87" t="b">
        <v>0</v>
      </c>
      <c r="J91" s="87" t="b">
        <v>0</v>
      </c>
      <c r="K91" s="87" t="b">
        <v>0</v>
      </c>
      <c r="L91" s="87" t="b">
        <v>0</v>
      </c>
      <c r="M91" s="87" t="b">
        <v>0</v>
      </c>
      <c r="N91" s="87" t="b">
        <v>0</v>
      </c>
      <c r="O91" s="87" t="b">
        <v>0</v>
      </c>
      <c r="P91" s="87" t="b">
        <v>0</v>
      </c>
      <c r="Q91" s="87" t="b">
        <v>0</v>
      </c>
      <c r="R91" s="87" t="b">
        <v>0</v>
      </c>
      <c r="S91" s="87" t="b">
        <v>0</v>
      </c>
      <c r="T91" s="87" t="b">
        <v>0</v>
      </c>
      <c r="U91" s="87" t="b">
        <v>0</v>
      </c>
      <c r="V91" s="87" t="b">
        <v>0</v>
      </c>
      <c r="W91" s="87" t="b">
        <v>0</v>
      </c>
      <c r="X91" s="87" t="b">
        <v>0</v>
      </c>
      <c r="Y91" s="87" t="b">
        <v>0</v>
      </c>
      <c r="Z91" s="87" t="b">
        <v>0</v>
      </c>
      <c r="AA91" s="87" t="b">
        <v>0</v>
      </c>
      <c r="AB91" s="87" t="b">
        <v>0</v>
      </c>
      <c r="AC91" s="87" t="b">
        <v>0</v>
      </c>
      <c r="AD91" s="87" t="b">
        <v>0</v>
      </c>
      <c r="AE91" s="87" t="b">
        <v>0</v>
      </c>
      <c r="AF91" s="87" t="b">
        <v>0</v>
      </c>
      <c r="AG91" s="87" t="b">
        <v>0</v>
      </c>
      <c r="AH91" s="87" t="b">
        <v>0</v>
      </c>
      <c r="AI91" s="87" t="b">
        <v>0</v>
      </c>
      <c r="AJ91" s="87" t="b">
        <v>0</v>
      </c>
      <c r="AK91" s="87" t="b">
        <v>0</v>
      </c>
      <c r="AL91" s="89" t="str">
        <f t="shared" si="1"/>
        <v>0 dari 31 (0%)</v>
      </c>
    </row>
    <row r="92" ht="22.5" customHeight="1">
      <c r="A92" s="82">
        <v>91.0</v>
      </c>
      <c r="B92" s="83"/>
      <c r="C92" s="146"/>
      <c r="D92" s="85" t="s">
        <v>89</v>
      </c>
      <c r="E92" s="85" t="s">
        <v>95</v>
      </c>
      <c r="F92" s="86" t="s">
        <v>67</v>
      </c>
      <c r="G92" s="87" t="b">
        <v>0</v>
      </c>
      <c r="H92" s="87" t="b">
        <v>0</v>
      </c>
      <c r="I92" s="87" t="b">
        <v>0</v>
      </c>
      <c r="J92" s="87" t="b">
        <v>0</v>
      </c>
      <c r="K92" s="87" t="b">
        <v>0</v>
      </c>
      <c r="L92" s="87" t="b">
        <v>0</v>
      </c>
      <c r="M92" s="87" t="b">
        <v>0</v>
      </c>
      <c r="N92" s="87" t="b">
        <v>0</v>
      </c>
      <c r="O92" s="87" t="b">
        <v>0</v>
      </c>
      <c r="P92" s="87" t="b">
        <v>0</v>
      </c>
      <c r="Q92" s="87" t="b">
        <v>0</v>
      </c>
      <c r="R92" s="87" t="b">
        <v>0</v>
      </c>
      <c r="S92" s="87" t="b">
        <v>0</v>
      </c>
      <c r="T92" s="87" t="b">
        <v>0</v>
      </c>
      <c r="U92" s="87" t="b">
        <v>0</v>
      </c>
      <c r="V92" s="87" t="b">
        <v>0</v>
      </c>
      <c r="W92" s="87" t="b">
        <v>0</v>
      </c>
      <c r="X92" s="87" t="b">
        <v>0</v>
      </c>
      <c r="Y92" s="87" t="b">
        <v>0</v>
      </c>
      <c r="Z92" s="87" t="b">
        <v>0</v>
      </c>
      <c r="AA92" s="87" t="b">
        <v>0</v>
      </c>
      <c r="AB92" s="87" t="b">
        <v>0</v>
      </c>
      <c r="AC92" s="87" t="b">
        <v>0</v>
      </c>
      <c r="AD92" s="87" t="b">
        <v>0</v>
      </c>
      <c r="AE92" s="87" t="b">
        <v>0</v>
      </c>
      <c r="AF92" s="87" t="b">
        <v>0</v>
      </c>
      <c r="AG92" s="87" t="b">
        <v>0</v>
      </c>
      <c r="AH92" s="87" t="b">
        <v>0</v>
      </c>
      <c r="AI92" s="87" t="b">
        <v>0</v>
      </c>
      <c r="AJ92" s="87" t="b">
        <v>0</v>
      </c>
      <c r="AK92" s="87" t="b">
        <v>0</v>
      </c>
      <c r="AL92" s="89" t="str">
        <f t="shared" si="1"/>
        <v>0 dari 31 (0%)</v>
      </c>
    </row>
    <row r="93" ht="22.5" customHeight="1">
      <c r="A93" s="10">
        <v>92.0</v>
      </c>
      <c r="B93" s="11"/>
      <c r="C93" s="22"/>
      <c r="D93" s="12" t="s">
        <v>89</v>
      </c>
      <c r="E93" s="12" t="s">
        <v>95</v>
      </c>
      <c r="F93" s="14" t="s">
        <v>50</v>
      </c>
      <c r="G93" s="6" t="b">
        <v>1</v>
      </c>
      <c r="H93" s="6" t="b">
        <v>0</v>
      </c>
      <c r="I93" s="6" t="b">
        <v>0</v>
      </c>
      <c r="J93" s="6" t="b">
        <v>0</v>
      </c>
      <c r="K93" s="6" t="b">
        <v>0</v>
      </c>
      <c r="L93" s="6" t="b">
        <v>0</v>
      </c>
      <c r="M93" s="6" t="b">
        <v>0</v>
      </c>
      <c r="N93" s="6" t="b">
        <v>0</v>
      </c>
      <c r="O93" s="6" t="b">
        <v>0</v>
      </c>
      <c r="P93" s="6" t="b">
        <v>0</v>
      </c>
      <c r="Q93" s="6" t="b">
        <v>0</v>
      </c>
      <c r="R93" s="6" t="b">
        <v>0</v>
      </c>
      <c r="S93" s="6" t="b">
        <v>0</v>
      </c>
      <c r="T93" s="6" t="b">
        <v>0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0</v>
      </c>
      <c r="AJ93" s="6" t="b">
        <v>0</v>
      </c>
      <c r="AK93" s="6" t="b">
        <v>0</v>
      </c>
      <c r="AL93" s="17" t="str">
        <f t="shared" si="1"/>
        <v>1 dari 31 (3%)</v>
      </c>
    </row>
    <row r="94" ht="22.5" customHeight="1">
      <c r="A94" s="92">
        <v>93.0</v>
      </c>
      <c r="B94" s="83"/>
      <c r="C94" s="146"/>
      <c r="D94" s="85" t="s">
        <v>89</v>
      </c>
      <c r="E94" s="85" t="s">
        <v>95</v>
      </c>
      <c r="F94" s="86" t="s">
        <v>67</v>
      </c>
      <c r="G94" s="87" t="b">
        <v>0</v>
      </c>
      <c r="H94" s="87" t="b">
        <v>0</v>
      </c>
      <c r="I94" s="87" t="b">
        <v>0</v>
      </c>
      <c r="J94" s="87" t="b">
        <v>0</v>
      </c>
      <c r="K94" s="87" t="b">
        <v>0</v>
      </c>
      <c r="L94" s="87" t="b">
        <v>0</v>
      </c>
      <c r="M94" s="87" t="b">
        <v>0</v>
      </c>
      <c r="N94" s="87" t="b">
        <v>0</v>
      </c>
      <c r="O94" s="87" t="b">
        <v>0</v>
      </c>
      <c r="P94" s="87" t="b">
        <v>0</v>
      </c>
      <c r="Q94" s="87" t="b">
        <v>0</v>
      </c>
      <c r="R94" s="87" t="b">
        <v>0</v>
      </c>
      <c r="S94" s="87" t="b">
        <v>0</v>
      </c>
      <c r="T94" s="87" t="b">
        <v>0</v>
      </c>
      <c r="U94" s="87" t="b">
        <v>0</v>
      </c>
      <c r="V94" s="87" t="b">
        <v>0</v>
      </c>
      <c r="W94" s="87" t="b">
        <v>0</v>
      </c>
      <c r="X94" s="87" t="b">
        <v>0</v>
      </c>
      <c r="Y94" s="87" t="b">
        <v>0</v>
      </c>
      <c r="Z94" s="87" t="b">
        <v>0</v>
      </c>
      <c r="AA94" s="87" t="b">
        <v>0</v>
      </c>
      <c r="AB94" s="87" t="b">
        <v>0</v>
      </c>
      <c r="AC94" s="87" t="b">
        <v>0</v>
      </c>
      <c r="AD94" s="87" t="b">
        <v>0</v>
      </c>
      <c r="AE94" s="87" t="b">
        <v>0</v>
      </c>
      <c r="AF94" s="87" t="b">
        <v>0</v>
      </c>
      <c r="AG94" s="87" t="b">
        <v>0</v>
      </c>
      <c r="AH94" s="87" t="b">
        <v>0</v>
      </c>
      <c r="AI94" s="87" t="b">
        <v>0</v>
      </c>
      <c r="AJ94" s="87" t="b">
        <v>0</v>
      </c>
      <c r="AK94" s="87" t="b">
        <v>0</v>
      </c>
      <c r="AL94" s="89" t="str">
        <f t="shared" si="1"/>
        <v>0 dari 31 (0%)</v>
      </c>
    </row>
    <row r="95" ht="22.5" customHeight="1">
      <c r="A95" s="82">
        <v>94.0</v>
      </c>
      <c r="B95" s="83"/>
      <c r="C95" s="84"/>
      <c r="D95" s="85" t="s">
        <v>89</v>
      </c>
      <c r="E95" s="85" t="s">
        <v>95</v>
      </c>
      <c r="F95" s="86" t="s">
        <v>67</v>
      </c>
      <c r="G95" s="87" t="b">
        <v>0</v>
      </c>
      <c r="H95" s="87" t="b">
        <v>0</v>
      </c>
      <c r="I95" s="87" t="b">
        <v>0</v>
      </c>
      <c r="J95" s="87" t="b">
        <v>0</v>
      </c>
      <c r="K95" s="87" t="b">
        <v>0</v>
      </c>
      <c r="L95" s="87" t="b">
        <v>0</v>
      </c>
      <c r="M95" s="87" t="b">
        <v>0</v>
      </c>
      <c r="N95" s="87" t="b">
        <v>0</v>
      </c>
      <c r="O95" s="87" t="b">
        <v>0</v>
      </c>
      <c r="P95" s="87" t="b">
        <v>0</v>
      </c>
      <c r="Q95" s="87" t="b">
        <v>0</v>
      </c>
      <c r="R95" s="87" t="b">
        <v>0</v>
      </c>
      <c r="S95" s="87" t="b">
        <v>0</v>
      </c>
      <c r="T95" s="87" t="b">
        <v>0</v>
      </c>
      <c r="U95" s="87" t="b">
        <v>0</v>
      </c>
      <c r="V95" s="87" t="b">
        <v>0</v>
      </c>
      <c r="W95" s="87" t="b">
        <v>0</v>
      </c>
      <c r="X95" s="87" t="b">
        <v>0</v>
      </c>
      <c r="Y95" s="87" t="b">
        <v>0</v>
      </c>
      <c r="Z95" s="87" t="b">
        <v>0</v>
      </c>
      <c r="AA95" s="87" t="b">
        <v>0</v>
      </c>
      <c r="AB95" s="87" t="b">
        <v>0</v>
      </c>
      <c r="AC95" s="87" t="b">
        <v>0</v>
      </c>
      <c r="AD95" s="87" t="b">
        <v>0</v>
      </c>
      <c r="AE95" s="87" t="b">
        <v>0</v>
      </c>
      <c r="AF95" s="87" t="b">
        <v>0</v>
      </c>
      <c r="AG95" s="87" t="b">
        <v>0</v>
      </c>
      <c r="AH95" s="87" t="b">
        <v>0</v>
      </c>
      <c r="AI95" s="87" t="b">
        <v>0</v>
      </c>
      <c r="AJ95" s="87" t="b">
        <v>0</v>
      </c>
      <c r="AK95" s="87" t="b">
        <v>0</v>
      </c>
      <c r="AL95" s="89" t="str">
        <f t="shared" si="1"/>
        <v>0 dari 31 (0%)</v>
      </c>
    </row>
    <row r="96" ht="22.5" customHeight="1">
      <c r="A96" s="10">
        <v>95.0</v>
      </c>
      <c r="B96" s="11"/>
      <c r="D96" s="12" t="s">
        <v>89</v>
      </c>
      <c r="E96" s="12" t="s">
        <v>95</v>
      </c>
      <c r="F96" s="13"/>
      <c r="G96" s="6" t="b">
        <v>0</v>
      </c>
      <c r="H96" s="6" t="b">
        <v>0</v>
      </c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  <c r="P96" s="6" t="b">
        <v>0</v>
      </c>
      <c r="Q96" s="6" t="b">
        <v>0</v>
      </c>
      <c r="R96" s="6" t="b">
        <v>0</v>
      </c>
      <c r="S96" s="6" t="b">
        <v>0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0 dari 31 (0%)</v>
      </c>
    </row>
    <row r="98">
      <c r="B98" s="71" t="s">
        <v>38</v>
      </c>
      <c r="C98" s="72"/>
      <c r="D98" s="72"/>
      <c r="E98" s="72"/>
      <c r="F98" s="73"/>
      <c r="G98" s="74">
        <f>COUNTIF(JULI_18[ID Encounter], TRUE)</f>
        <v>79</v>
      </c>
      <c r="H98" s="74">
        <f>COUNTIF(JULI_18[ID Condition], TRUE)</f>
        <v>28</v>
      </c>
      <c r="I98" s="74">
        <f>COUNTIF(JULI_18[ID Clinical Impression], TRUE)</f>
        <v>20</v>
      </c>
      <c r="J98" s="74">
        <f>COUNTIF(JULI_18[ID Observation Tensi], TRUE)</f>
        <v>35</v>
      </c>
      <c r="K98" s="74">
        <f>COUNTIF(JULI_18[ID Observation Nadi], TRUE)</f>
        <v>43</v>
      </c>
      <c r="L98" s="74">
        <f>COUNTIF(JULI_18[ID Observation RR], TRUE)</f>
        <v>43</v>
      </c>
      <c r="M98" s="74">
        <f>COUNTIF(JULI_18[ID Observation Suhu], TRUE)</f>
        <v>43</v>
      </c>
      <c r="N98" s="74">
        <f>COUNTIF(JULI_18[ID Observation SPO2], TRUE)</f>
        <v>41</v>
      </c>
      <c r="O98" s="74">
        <f>COUNTIF(JULI_18[ID Observation GCS], TRUE)</f>
        <v>43</v>
      </c>
      <c r="P98" s="74">
        <f>COUNTIF(JULI_18[ID Observation Tinggi], TRUE)</f>
        <v>42</v>
      </c>
      <c r="Q98" s="74">
        <f>COUNTIF(JULI_18[ID Observation Berat], TRUE)</f>
        <v>43</v>
      </c>
      <c r="R98" s="74">
        <f>COUNTIF(JULI_18[ID Observation Perut], TRUE)</f>
        <v>51</v>
      </c>
      <c r="S98" s="74">
        <f>COUNTIF(JULI_18[ID Observation Kesadaran], TRUE)</f>
        <v>50</v>
      </c>
      <c r="T98" s="74">
        <f>COUNTIF(JULI_18[ID Procedure], TRUE)</f>
        <v>26</v>
      </c>
      <c r="U98" s="74">
        <f>COUNTIF(JULI_18[ID Composition], TRUE)</f>
        <v>0</v>
      </c>
      <c r="V98" s="74">
        <f>COUNTIF(JULI_18[ID Vaksin/Imunisasi], TRUE)</f>
        <v>0</v>
      </c>
      <c r="W98" s="74">
        <f>COUNTIF(JULI_18[ID Medication Request], TRUE)</f>
        <v>1</v>
      </c>
      <c r="X98" s="74">
        <f>COUNTIF(JULI_18[ID Medication Dispense], TRUE)</f>
        <v>1</v>
      </c>
      <c r="Y98" s="74">
        <f>COUNTIF(JULI_18[ID Medication Statement], TRUE)</f>
        <v>1</v>
      </c>
      <c r="Z98" s="74">
        <f>COUNTIF(JULI_18[ID Service Request Radiologi], TRUE)</f>
        <v>6</v>
      </c>
      <c r="AA98" s="74">
        <f>COUNTIF(JULI_18[ID Specimen Radiologi], TRUE)</f>
        <v>6</v>
      </c>
      <c r="AB98" s="74">
        <f>COUNTIF(JULI_18[ID Observation Radiologi], TRUE)</f>
        <v>6</v>
      </c>
      <c r="AC98" s="74">
        <f>COUNTIF(JULI_18[ID Diagnostic Report Radiologi], TRUE)</f>
        <v>6</v>
      </c>
      <c r="AD98" s="74">
        <f>COUNTIF(JULI_18[Image Study], TRUE)</f>
        <v>6</v>
      </c>
      <c r="AE98" s="74">
        <f>COUNTIF(JULI_18[ID Service Request Lab PK], TRUE)</f>
        <v>0</v>
      </c>
      <c r="AF98" s="74">
        <f>COUNTIF(JULI_18[ID Specimen Lab PK], TRUE)</f>
        <v>0</v>
      </c>
      <c r="AG98" s="74">
        <f>COUNTIF(JULI_18[ID Observation Lab PK], TRUE)</f>
        <v>0</v>
      </c>
      <c r="AH98" s="74">
        <f>COUNTIF(JULI_18[ID Diagnostic Report Lab PK], TRUE)</f>
        <v>0</v>
      </c>
      <c r="AI98" s="74">
        <f>COUNTIF(JULI_18[ID Care Plan], TRUE)</f>
        <v>37</v>
      </c>
      <c r="AJ98" s="74">
        <f>COUNTIF(JULI_18[ID Allergy], TRUE)</f>
        <v>0</v>
      </c>
      <c r="AK98" s="74">
        <f>COUNTIF(JULI_18[ID Questionnaire], TRUE)</f>
        <v>0</v>
      </c>
      <c r="AL98" s="75" t="str">
        <f>COUNTIF(JULI_18[[ID Encounter]:[ID Questionnaire]], TRUE()) &amp; " dari " &amp; (ROWS(JULI_18[[ID Encounter]:[ID Questionnaire]])*COLUMNS(JULI_18[[ID Encounter]:[ID Questionnaire]])) &amp; " (" &amp; TEXT(COUNTIF(JULI_18[[ID Encounter]:[ID Questionnaire]], TRUE())/(ROWS(JULI_18[[ID Encounter]:[ID Questionnaire]])*COLUMNS(JULI_18[[ID Encounter]:[ID Questionnaire]])),"0%") &amp; ")"</f>
        <v>657 dari 2945 (22%)</v>
      </c>
    </row>
    <row r="99">
      <c r="B99" s="76"/>
      <c r="C99" s="77"/>
      <c r="D99" s="77"/>
      <c r="E99" s="77"/>
      <c r="F99" s="78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</row>
  </sheetData>
  <mergeCells count="33">
    <mergeCell ref="B98:F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H98:AH99"/>
    <mergeCell ref="AI98:AI99"/>
    <mergeCell ref="AJ98:AJ99"/>
    <mergeCell ref="AK98:AK99"/>
    <mergeCell ref="AL98:AL99"/>
    <mergeCell ref="AA98:AA99"/>
    <mergeCell ref="AB98:AB99"/>
    <mergeCell ref="AC98:AC99"/>
    <mergeCell ref="AD98:AD99"/>
    <mergeCell ref="AE98:AE99"/>
    <mergeCell ref="AF98:AF99"/>
    <mergeCell ref="AG98:AG99"/>
  </mergeCell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46222.0</v>
      </c>
      <c r="C2" s="22">
        <v>61386.0</v>
      </c>
      <c r="D2" s="12" t="s">
        <v>93</v>
      </c>
      <c r="E2" s="12" t="s">
        <v>172</v>
      </c>
      <c r="F2" s="15" t="s">
        <v>50</v>
      </c>
      <c r="G2" s="6" t="b">
        <v>1</v>
      </c>
      <c r="H2" s="6" t="b">
        <v>0</v>
      </c>
      <c r="I2" s="6" t="b">
        <v>0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9" si="1">COUNTIF(G2:AK2, TRUE()) &amp; " dari " &amp; COLUMNS(G2:AK2) &amp; " (" &amp; TEXT(COUNTIF(G2:AK2, TRUE())/COLUMNS(G2:AK2),"0%") &amp; ")"</f>
        <v>11 dari 31 (35%)</v>
      </c>
    </row>
    <row r="3" ht="22.5" customHeight="1">
      <c r="A3" s="10">
        <v>2.0</v>
      </c>
      <c r="B3" s="11"/>
      <c r="C3" s="22">
        <v>27847.0</v>
      </c>
      <c r="D3" s="12" t="s">
        <v>93</v>
      </c>
      <c r="E3" s="12" t="s">
        <v>162</v>
      </c>
      <c r="F3" s="13"/>
      <c r="G3" s="16" t="b">
        <v>1</v>
      </c>
      <c r="H3" s="16" t="b">
        <v>1</v>
      </c>
      <c r="I3" s="16" t="b">
        <v>1</v>
      </c>
      <c r="J3" s="16" t="b">
        <v>0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1</v>
      </c>
      <c r="S3" s="16" t="b">
        <v>1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1</v>
      </c>
      <c r="AJ3" s="16" t="b">
        <v>0</v>
      </c>
      <c r="AK3" s="16" t="b">
        <v>0</v>
      </c>
      <c r="AL3" s="17" t="str">
        <f t="shared" si="1"/>
        <v>13 dari 31 (42%)</v>
      </c>
    </row>
    <row r="4" ht="22.5" customHeight="1">
      <c r="A4" s="2">
        <v>3.0</v>
      </c>
      <c r="B4" s="18"/>
      <c r="C4" s="20">
        <v>61390.0</v>
      </c>
      <c r="D4" s="12" t="s">
        <v>93</v>
      </c>
      <c r="E4" s="12" t="s">
        <v>162</v>
      </c>
      <c r="F4" s="13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1</v>
      </c>
      <c r="AJ4" s="6" t="b">
        <v>0</v>
      </c>
      <c r="AK4" s="6" t="b">
        <v>0</v>
      </c>
      <c r="AL4" s="9" t="str">
        <f t="shared" si="1"/>
        <v>14 dari 31 (45%)</v>
      </c>
    </row>
    <row r="5" ht="22.5" customHeight="1">
      <c r="A5" s="61">
        <v>4.0</v>
      </c>
      <c r="B5" s="62"/>
      <c r="C5" s="32">
        <v>61391.0</v>
      </c>
      <c r="D5" s="51" t="s">
        <v>93</v>
      </c>
      <c r="E5" s="51" t="s">
        <v>113</v>
      </c>
      <c r="F5" s="53"/>
      <c r="G5" s="63" t="b">
        <v>0</v>
      </c>
      <c r="H5" s="63" t="b">
        <v>0</v>
      </c>
      <c r="I5" s="63" t="b">
        <v>0</v>
      </c>
      <c r="J5" s="63" t="b">
        <v>0</v>
      </c>
      <c r="K5" s="63" t="b">
        <v>0</v>
      </c>
      <c r="L5" s="63" t="b">
        <v>0</v>
      </c>
      <c r="M5" s="63" t="b">
        <v>0</v>
      </c>
      <c r="N5" s="63" t="b">
        <v>0</v>
      </c>
      <c r="O5" s="63" t="b">
        <v>0</v>
      </c>
      <c r="P5" s="63" t="b">
        <v>0</v>
      </c>
      <c r="Q5" s="63" t="b">
        <v>0</v>
      </c>
      <c r="R5" s="63" t="b">
        <v>0</v>
      </c>
      <c r="S5" s="63" t="b">
        <v>0</v>
      </c>
      <c r="T5" s="63" t="b">
        <v>0</v>
      </c>
      <c r="U5" s="63" t="b">
        <v>0</v>
      </c>
      <c r="V5" s="63" t="b">
        <v>0</v>
      </c>
      <c r="W5" s="63" t="b">
        <v>0</v>
      </c>
      <c r="X5" s="63" t="b">
        <v>0</v>
      </c>
      <c r="Y5" s="63" t="b">
        <v>0</v>
      </c>
      <c r="Z5" s="63" t="b">
        <v>0</v>
      </c>
      <c r="AA5" s="63" t="b">
        <v>0</v>
      </c>
      <c r="AB5" s="63" t="b">
        <v>0</v>
      </c>
      <c r="AC5" s="63" t="b">
        <v>0</v>
      </c>
      <c r="AD5" s="63" t="b">
        <v>0</v>
      </c>
      <c r="AE5" s="63" t="b">
        <v>0</v>
      </c>
      <c r="AF5" s="63" t="b">
        <v>0</v>
      </c>
      <c r="AG5" s="63" t="b">
        <v>0</v>
      </c>
      <c r="AH5" s="63" t="b">
        <v>0</v>
      </c>
      <c r="AI5" s="63" t="b">
        <v>0</v>
      </c>
      <c r="AJ5" s="63" t="b">
        <v>0</v>
      </c>
      <c r="AK5" s="63" t="b">
        <v>0</v>
      </c>
      <c r="AL5" s="64" t="str">
        <f t="shared" si="1"/>
        <v>0 dari 31 (0%)</v>
      </c>
    </row>
    <row r="6" ht="22.5" customHeight="1">
      <c r="A6" s="2">
        <v>5.0</v>
      </c>
      <c r="B6" s="18"/>
      <c r="C6" s="22">
        <v>61389.0</v>
      </c>
      <c r="D6" s="12" t="s">
        <v>89</v>
      </c>
      <c r="E6" s="12" t="s">
        <v>95</v>
      </c>
      <c r="F6" s="15" t="s">
        <v>50</v>
      </c>
      <c r="G6" s="6" t="b">
        <v>1</v>
      </c>
      <c r="H6" s="6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9" t="str">
        <f t="shared" si="1"/>
        <v>1 dari 31 (3%)</v>
      </c>
    </row>
    <row r="7" ht="22.5" customHeight="1">
      <c r="A7" s="10">
        <v>6.0</v>
      </c>
      <c r="B7" s="11"/>
      <c r="C7" s="22">
        <v>61387.0</v>
      </c>
      <c r="D7" s="12" t="s">
        <v>89</v>
      </c>
      <c r="E7" s="12" t="s">
        <v>95</v>
      </c>
      <c r="F7" s="15" t="s">
        <v>50</v>
      </c>
      <c r="G7" s="16" t="b">
        <v>1</v>
      </c>
      <c r="H7" s="16" t="b">
        <v>0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  <c r="N7" s="16" t="b">
        <v>0</v>
      </c>
      <c r="O7" s="16" t="b">
        <v>0</v>
      </c>
      <c r="P7" s="16" t="b">
        <v>0</v>
      </c>
      <c r="Q7" s="16" t="b">
        <v>0</v>
      </c>
      <c r="R7" s="16" t="b">
        <v>0</v>
      </c>
      <c r="S7" s="16" t="b">
        <v>0</v>
      </c>
      <c r="T7" s="16" t="b">
        <v>0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7" t="str">
        <f t="shared" si="1"/>
        <v>1 dari 31 (3%)</v>
      </c>
    </row>
    <row r="8" ht="22.5" customHeight="1">
      <c r="A8" s="30">
        <v>7.0</v>
      </c>
      <c r="B8" s="31"/>
      <c r="C8" s="32">
        <v>32155.0</v>
      </c>
      <c r="D8" s="51" t="s">
        <v>89</v>
      </c>
      <c r="E8" s="51" t="s">
        <v>95</v>
      </c>
      <c r="F8" s="136" t="s">
        <v>105</v>
      </c>
      <c r="G8" s="35" t="b">
        <v>0</v>
      </c>
      <c r="H8" s="35" t="b">
        <v>0</v>
      </c>
      <c r="I8" s="35" t="b">
        <v>0</v>
      </c>
      <c r="J8" s="35" t="b">
        <v>0</v>
      </c>
      <c r="K8" s="35" t="b">
        <v>0</v>
      </c>
      <c r="L8" s="35" t="b">
        <v>0</v>
      </c>
      <c r="M8" s="35" t="b">
        <v>0</v>
      </c>
      <c r="N8" s="35" t="b">
        <v>0</v>
      </c>
      <c r="O8" s="35" t="b">
        <v>0</v>
      </c>
      <c r="P8" s="35" t="b">
        <v>0</v>
      </c>
      <c r="Q8" s="35" t="b">
        <v>0</v>
      </c>
      <c r="R8" s="35" t="b">
        <v>0</v>
      </c>
      <c r="S8" s="35" t="b">
        <v>0</v>
      </c>
      <c r="T8" s="35" t="b">
        <v>0</v>
      </c>
      <c r="U8" s="35" t="b">
        <v>0</v>
      </c>
      <c r="V8" s="35" t="b">
        <v>0</v>
      </c>
      <c r="W8" s="35" t="b">
        <v>0</v>
      </c>
      <c r="X8" s="35" t="b">
        <v>0</v>
      </c>
      <c r="Y8" s="35" t="b">
        <v>0</v>
      </c>
      <c r="Z8" s="35" t="b">
        <v>0</v>
      </c>
      <c r="AA8" s="35" t="b">
        <v>0</v>
      </c>
      <c r="AB8" s="35" t="b">
        <v>0</v>
      </c>
      <c r="AC8" s="35" t="b">
        <v>0</v>
      </c>
      <c r="AD8" s="35" t="b">
        <v>0</v>
      </c>
      <c r="AE8" s="35" t="b">
        <v>0</v>
      </c>
      <c r="AF8" s="35" t="b">
        <v>0</v>
      </c>
      <c r="AG8" s="35" t="b">
        <v>0</v>
      </c>
      <c r="AH8" s="35" t="b">
        <v>0</v>
      </c>
      <c r="AI8" s="35" t="b">
        <v>0</v>
      </c>
      <c r="AJ8" s="35" t="b">
        <v>0</v>
      </c>
      <c r="AK8" s="35" t="b">
        <v>0</v>
      </c>
      <c r="AL8" s="38" t="str">
        <f t="shared" si="1"/>
        <v>0 dari 31 (0%)</v>
      </c>
    </row>
    <row r="9" ht="22.5" customHeight="1">
      <c r="A9" s="61">
        <v>8.0</v>
      </c>
      <c r="B9" s="62"/>
      <c r="C9" s="60">
        <v>61388.0</v>
      </c>
      <c r="D9" s="51" t="s">
        <v>89</v>
      </c>
      <c r="E9" s="51" t="s">
        <v>95</v>
      </c>
      <c r="F9" s="136" t="s">
        <v>105</v>
      </c>
      <c r="G9" s="63" t="b">
        <v>0</v>
      </c>
      <c r="H9" s="63" t="b">
        <v>0</v>
      </c>
      <c r="I9" s="63" t="b">
        <v>0</v>
      </c>
      <c r="J9" s="63" t="b">
        <v>0</v>
      </c>
      <c r="K9" s="63" t="b">
        <v>0</v>
      </c>
      <c r="L9" s="63" t="b">
        <v>0</v>
      </c>
      <c r="M9" s="63" t="b">
        <v>0</v>
      </c>
      <c r="N9" s="63" t="b">
        <v>0</v>
      </c>
      <c r="O9" s="63" t="b">
        <v>0</v>
      </c>
      <c r="P9" s="63" t="b">
        <v>0</v>
      </c>
      <c r="Q9" s="63" t="b">
        <v>0</v>
      </c>
      <c r="R9" s="63" t="b">
        <v>0</v>
      </c>
      <c r="S9" s="63" t="b">
        <v>0</v>
      </c>
      <c r="T9" s="63" t="b">
        <v>0</v>
      </c>
      <c r="U9" s="63" t="b">
        <v>0</v>
      </c>
      <c r="V9" s="63" t="b">
        <v>0</v>
      </c>
      <c r="W9" s="63" t="b">
        <v>0</v>
      </c>
      <c r="X9" s="63" t="b">
        <v>0</v>
      </c>
      <c r="Y9" s="63" t="b">
        <v>0</v>
      </c>
      <c r="Z9" s="63" t="b">
        <v>0</v>
      </c>
      <c r="AA9" s="63" t="b">
        <v>0</v>
      </c>
      <c r="AB9" s="63" t="b">
        <v>0</v>
      </c>
      <c r="AC9" s="63" t="b">
        <v>0</v>
      </c>
      <c r="AD9" s="63" t="b">
        <v>0</v>
      </c>
      <c r="AE9" s="63" t="b">
        <v>0</v>
      </c>
      <c r="AF9" s="63" t="b">
        <v>0</v>
      </c>
      <c r="AG9" s="63" t="b">
        <v>0</v>
      </c>
      <c r="AH9" s="63" t="b">
        <v>0</v>
      </c>
      <c r="AI9" s="63" t="b">
        <v>0</v>
      </c>
      <c r="AJ9" s="63" t="b">
        <v>0</v>
      </c>
      <c r="AK9" s="63" t="b">
        <v>0</v>
      </c>
      <c r="AL9" s="64" t="str">
        <f t="shared" si="1"/>
        <v>0 dari 31 (0%)</v>
      </c>
    </row>
    <row r="11">
      <c r="B11" s="71" t="s">
        <v>38</v>
      </c>
      <c r="C11" s="72"/>
      <c r="D11" s="72"/>
      <c r="E11" s="72"/>
      <c r="F11" s="73"/>
      <c r="G11" s="74">
        <f>COUNTIF(JULI_19[ID Encounter], TRUE)</f>
        <v>5</v>
      </c>
      <c r="H11" s="74">
        <f>COUNTIF(JULI_19[ID Condition], TRUE)</f>
        <v>2</v>
      </c>
      <c r="I11" s="74">
        <f>COUNTIF(JULI_19[ID Clinical Impression], TRUE)</f>
        <v>2</v>
      </c>
      <c r="J11" s="74">
        <f>COUNTIF(JULI_19[ID Observation Tensi], TRUE)</f>
        <v>2</v>
      </c>
      <c r="K11" s="74">
        <f>COUNTIF(JULI_19[ID Observation Nadi], TRUE)</f>
        <v>3</v>
      </c>
      <c r="L11" s="74">
        <f>COUNTIF(JULI_19[ID Observation RR], TRUE)</f>
        <v>3</v>
      </c>
      <c r="M11" s="74">
        <f>COUNTIF(JULI_19[ID Observation Suhu], TRUE)</f>
        <v>3</v>
      </c>
      <c r="N11" s="74">
        <f>COUNTIF(JULI_19[ID Observation SPO2], TRUE)</f>
        <v>3</v>
      </c>
      <c r="O11" s="74">
        <f>COUNTIF(JULI_19[ID Observation GCS], TRUE)</f>
        <v>3</v>
      </c>
      <c r="P11" s="74">
        <f>COUNTIF(JULI_19[ID Observation Tinggi], TRUE)</f>
        <v>3</v>
      </c>
      <c r="Q11" s="74">
        <f>COUNTIF(JULI_19[ID Observation Berat], TRUE)</f>
        <v>3</v>
      </c>
      <c r="R11" s="74">
        <f>COUNTIF(JULI_19[ID Observation Perut], TRUE)</f>
        <v>3</v>
      </c>
      <c r="S11" s="74">
        <f>COUNTIF(JULI_19[ID Observation Kesadaran], TRUE)</f>
        <v>3</v>
      </c>
      <c r="T11" s="74">
        <f>COUNTIF(JULI_19[ID Procedure], TRUE)</f>
        <v>0</v>
      </c>
      <c r="U11" s="74">
        <f>COUNTIF(JULI_19[ID Composition], TRUE)</f>
        <v>0</v>
      </c>
      <c r="V11" s="74">
        <f>COUNTIF(JULI_19[ID Vaksin/Imunisasi], TRUE)</f>
        <v>0</v>
      </c>
      <c r="W11" s="74">
        <f>COUNTIF(JULI_19[ID Medication Request], TRUE)</f>
        <v>0</v>
      </c>
      <c r="X11" s="74">
        <f>COUNTIF(JULI_19[ID Medication Dispense], TRUE)</f>
        <v>0</v>
      </c>
      <c r="Y11" s="74">
        <f>COUNTIF(JULI_19[ID Medication Statement], TRUE)</f>
        <v>0</v>
      </c>
      <c r="Z11" s="74">
        <f>COUNTIF(JULI_19[ID Service Request Radiologi], TRUE)</f>
        <v>0</v>
      </c>
      <c r="AA11" s="74">
        <f>COUNTIF(JULI_19[ID Specimen Radiologi], TRUE)</f>
        <v>0</v>
      </c>
      <c r="AB11" s="74">
        <f>COUNTIF(JULI_19[ID Observation Radiologi], TRUE)</f>
        <v>0</v>
      </c>
      <c r="AC11" s="74">
        <f>COUNTIF(JULI_19[ID Diagnostic Report Radiologi], TRUE)</f>
        <v>0</v>
      </c>
      <c r="AD11" s="74">
        <f>COUNTIF(JULI_19[Image Study], TRUE)</f>
        <v>0</v>
      </c>
      <c r="AE11" s="74">
        <f>COUNTIF(JULI_19[ID Service Request Lab PK], TRUE)</f>
        <v>0</v>
      </c>
      <c r="AF11" s="74">
        <f>COUNTIF(JULI_19[ID Specimen Lab PK], TRUE)</f>
        <v>0</v>
      </c>
      <c r="AG11" s="74">
        <f>COUNTIF(JULI_19[ID Observation Lab PK], TRUE)</f>
        <v>0</v>
      </c>
      <c r="AH11" s="74">
        <f>COUNTIF(JULI_19[ID Diagnostic Report Lab PK], TRUE)</f>
        <v>0</v>
      </c>
      <c r="AI11" s="74">
        <f>COUNTIF(JULI_19[ID Care Plan], TRUE)</f>
        <v>2</v>
      </c>
      <c r="AJ11" s="74">
        <f>COUNTIF(JULI_19[ID Allergy], TRUE)</f>
        <v>0</v>
      </c>
      <c r="AK11" s="74">
        <f>COUNTIF(JULI_19[ID Questionnaire], TRUE)</f>
        <v>0</v>
      </c>
      <c r="AL11" s="75" t="str">
        <f>COUNTIF(JULI_19[[ID Encounter]:[ID Questionnaire]], TRUE()) &amp; " dari " &amp; (ROWS(JULI_19[[ID Encounter]:[ID Questionnaire]])*COLUMNS(JULI_19[[ID Encounter]:[ID Questionnaire]])) &amp; " (" &amp; TEXT(COUNTIF(JULI_19[[ID Encounter]:[ID Questionnaire]], TRUE())/(ROWS(JULI_19[[ID Encounter]:[ID Questionnaire]])*COLUMNS(JULI_19[[ID Encounter]:[ID Questionnaire]])),"0%") &amp; ")"</f>
        <v>40 dari 248 (16%)</v>
      </c>
    </row>
    <row r="12">
      <c r="B12" s="76"/>
      <c r="C12" s="77"/>
      <c r="D12" s="77"/>
      <c r="E12" s="77"/>
      <c r="F12" s="78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</row>
  </sheetData>
  <mergeCells count="33">
    <mergeCell ref="B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H11:AH12"/>
    <mergeCell ref="AI11:AI12"/>
    <mergeCell ref="AJ11:AJ12"/>
    <mergeCell ref="AK11:AK12"/>
    <mergeCell ref="AL11:AL12"/>
    <mergeCell ref="AA11:AA12"/>
    <mergeCell ref="AB11:AB12"/>
    <mergeCell ref="AC11:AC12"/>
    <mergeCell ref="AD11:AD12"/>
    <mergeCell ref="AE11:AE12"/>
    <mergeCell ref="AF11:AF12"/>
    <mergeCell ref="AG11:AG12"/>
  </mergeCell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17" max="18" width="21.0"/>
    <col customWidth="1" min="26" max="26" width="27.13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46223.0</v>
      </c>
      <c r="C2" s="22">
        <v>58202.0</v>
      </c>
      <c r="D2" s="7" t="s">
        <v>63</v>
      </c>
      <c r="E2" s="7" t="s">
        <v>64</v>
      </c>
      <c r="F2" s="13"/>
      <c r="G2" s="6" t="b">
        <v>1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R2" s="6" t="b">
        <v>1</v>
      </c>
      <c r="S2" s="6" t="b">
        <v>1</v>
      </c>
      <c r="T2" s="6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184" si="1">COUNTIF(G2:AK2, TRUE()) &amp; " dari " &amp; COLUMNS(G2:AK2) &amp; " (" &amp; TEXT(COUNTIF(G2:AK2, TRUE())/COLUMNS(G2:AK2),"0%") &amp; ")"</f>
        <v>14 dari 31 (45%)</v>
      </c>
    </row>
    <row r="3" ht="22.5" customHeight="1">
      <c r="A3" s="10">
        <v>2.0</v>
      </c>
      <c r="B3" s="11"/>
      <c r="C3" s="22">
        <v>33599.0</v>
      </c>
      <c r="D3" s="7" t="s">
        <v>63</v>
      </c>
      <c r="E3" s="7" t="s">
        <v>64</v>
      </c>
      <c r="F3" s="13"/>
      <c r="G3" s="16" t="b">
        <v>1</v>
      </c>
      <c r="H3" s="16" t="b">
        <v>1</v>
      </c>
      <c r="I3" s="16" t="b">
        <v>1</v>
      </c>
      <c r="J3" s="16" t="b">
        <v>1</v>
      </c>
      <c r="K3" s="16" t="b">
        <v>1</v>
      </c>
      <c r="L3" s="16" t="b">
        <v>1</v>
      </c>
      <c r="M3" s="16" t="b">
        <v>1</v>
      </c>
      <c r="N3" s="16" t="b">
        <v>1</v>
      </c>
      <c r="O3" s="16" t="b">
        <v>1</v>
      </c>
      <c r="P3" s="16" t="b">
        <v>1</v>
      </c>
      <c r="Q3" s="16" t="b">
        <v>1</v>
      </c>
      <c r="R3" s="16" t="b">
        <v>0</v>
      </c>
      <c r="S3" s="16" t="b">
        <v>1</v>
      </c>
      <c r="T3" s="16" t="b">
        <v>1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13 dari 31 (42%)</v>
      </c>
    </row>
    <row r="4" ht="22.5" customHeight="1">
      <c r="A4" s="2">
        <v>3.0</v>
      </c>
      <c r="B4" s="18"/>
      <c r="C4" s="22">
        <v>60893.0</v>
      </c>
      <c r="D4" s="7" t="s">
        <v>63</v>
      </c>
      <c r="E4" s="7" t="s">
        <v>64</v>
      </c>
      <c r="F4" s="13"/>
      <c r="G4" s="6" t="b">
        <v>1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  <c r="O4" s="6" t="b">
        <v>1</v>
      </c>
      <c r="P4" s="6" t="b">
        <v>1</v>
      </c>
      <c r="Q4" s="6" t="b">
        <v>1</v>
      </c>
      <c r="R4" s="6" t="b">
        <v>1</v>
      </c>
      <c r="S4" s="6" t="b">
        <v>1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13 dari 31 (42%)</v>
      </c>
    </row>
    <row r="5" ht="22.5" customHeight="1">
      <c r="A5" s="10">
        <v>4.0</v>
      </c>
      <c r="B5" s="11"/>
      <c r="C5" s="22">
        <v>32420.0</v>
      </c>
      <c r="D5" s="7" t="s">
        <v>63</v>
      </c>
      <c r="E5" s="7" t="s">
        <v>64</v>
      </c>
      <c r="F5" s="13"/>
      <c r="G5" s="16" t="b">
        <v>1</v>
      </c>
      <c r="H5" s="16" t="b">
        <v>1</v>
      </c>
      <c r="I5" s="16" t="b">
        <v>1</v>
      </c>
      <c r="J5" s="16" t="b">
        <v>1</v>
      </c>
      <c r="K5" s="16" t="b">
        <v>1</v>
      </c>
      <c r="L5" s="16" t="b">
        <v>1</v>
      </c>
      <c r="M5" s="16" t="b">
        <v>1</v>
      </c>
      <c r="N5" s="16" t="b">
        <v>1</v>
      </c>
      <c r="O5" s="16" t="b">
        <v>1</v>
      </c>
      <c r="P5" s="16" t="b">
        <v>1</v>
      </c>
      <c r="Q5" s="16" t="b">
        <v>1</v>
      </c>
      <c r="R5" s="16" t="b">
        <v>1</v>
      </c>
      <c r="S5" s="16" t="b">
        <v>1</v>
      </c>
      <c r="T5" s="16" t="b">
        <v>0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1</v>
      </c>
      <c r="AJ5" s="16" t="b">
        <v>0</v>
      </c>
      <c r="AK5" s="16" t="b">
        <v>0</v>
      </c>
      <c r="AL5" s="17" t="str">
        <f t="shared" si="1"/>
        <v>14 dari 31 (45%)</v>
      </c>
    </row>
    <row r="6" ht="22.5" customHeight="1">
      <c r="A6" s="2">
        <v>5.0</v>
      </c>
      <c r="B6" s="18"/>
      <c r="C6" s="20">
        <v>25651.0</v>
      </c>
      <c r="D6" s="7" t="s">
        <v>63</v>
      </c>
      <c r="E6" s="7" t="s">
        <v>64</v>
      </c>
      <c r="F6" s="13"/>
      <c r="G6" s="6" t="b">
        <v>1</v>
      </c>
      <c r="H6" s="6" t="b">
        <v>1</v>
      </c>
      <c r="I6" s="6" t="b">
        <v>1</v>
      </c>
      <c r="J6" s="6" t="b">
        <v>1</v>
      </c>
      <c r="K6" s="6" t="b">
        <v>1</v>
      </c>
      <c r="L6" s="6" t="b">
        <v>1</v>
      </c>
      <c r="M6" s="6" t="b">
        <v>1</v>
      </c>
      <c r="N6" s="6" t="b">
        <v>1</v>
      </c>
      <c r="O6" s="6" t="b">
        <v>1</v>
      </c>
      <c r="P6" s="6" t="b">
        <v>1</v>
      </c>
      <c r="Q6" s="6" t="b">
        <v>1</v>
      </c>
      <c r="R6" s="6" t="b">
        <v>1</v>
      </c>
      <c r="S6" s="6" t="b">
        <v>1</v>
      </c>
      <c r="T6" s="6" t="b">
        <v>1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1</v>
      </c>
      <c r="AJ6" s="6" t="b">
        <v>0</v>
      </c>
      <c r="AK6" s="6" t="b">
        <v>0</v>
      </c>
      <c r="AL6" s="9" t="str">
        <f t="shared" si="1"/>
        <v>15 dari 31 (48%)</v>
      </c>
    </row>
    <row r="7" ht="22.5" customHeight="1">
      <c r="A7" s="10">
        <v>6.0</v>
      </c>
      <c r="B7" s="11"/>
      <c r="C7" s="20">
        <v>61122.0</v>
      </c>
      <c r="D7" s="7" t="s">
        <v>63</v>
      </c>
      <c r="E7" s="7" t="s">
        <v>64</v>
      </c>
      <c r="F7" s="13"/>
      <c r="G7" s="16" t="b">
        <v>1</v>
      </c>
      <c r="H7" s="16" t="b">
        <v>1</v>
      </c>
      <c r="I7" s="16" t="b">
        <v>1</v>
      </c>
      <c r="J7" s="16" t="b">
        <v>1</v>
      </c>
      <c r="K7" s="16" t="b">
        <v>1</v>
      </c>
      <c r="L7" s="16" t="b">
        <v>1</v>
      </c>
      <c r="M7" s="16" t="b">
        <v>1</v>
      </c>
      <c r="N7" s="16" t="b">
        <v>1</v>
      </c>
      <c r="O7" s="16" t="b">
        <v>1</v>
      </c>
      <c r="P7" s="16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7" t="str">
        <f t="shared" si="1"/>
        <v>14 dari 31 (45%)</v>
      </c>
    </row>
    <row r="8" ht="22.5" customHeight="1">
      <c r="A8" s="2">
        <v>7.0</v>
      </c>
      <c r="B8" s="18"/>
      <c r="C8" s="20">
        <v>60594.0</v>
      </c>
      <c r="D8" s="7" t="s">
        <v>63</v>
      </c>
      <c r="E8" s="7" t="s">
        <v>64</v>
      </c>
      <c r="F8" s="13"/>
      <c r="G8" s="6" t="b">
        <v>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  <c r="N8" s="6" t="b">
        <v>1</v>
      </c>
      <c r="O8" s="6" t="b">
        <v>1</v>
      </c>
      <c r="P8" s="6" t="b">
        <v>1</v>
      </c>
      <c r="Q8" s="6" t="b">
        <v>1</v>
      </c>
      <c r="R8" s="6" t="b">
        <v>1</v>
      </c>
      <c r="S8" s="6" t="b">
        <v>1</v>
      </c>
      <c r="T8" s="6" t="b">
        <v>1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9" t="str">
        <f t="shared" si="1"/>
        <v>14 dari 31 (45%)</v>
      </c>
    </row>
    <row r="9" ht="22.5" customHeight="1">
      <c r="A9" s="10">
        <v>8.0</v>
      </c>
      <c r="B9" s="11"/>
      <c r="C9" s="22">
        <v>54319.0</v>
      </c>
      <c r="D9" s="7" t="s">
        <v>63</v>
      </c>
      <c r="E9" s="7" t="s">
        <v>64</v>
      </c>
      <c r="F9" s="13"/>
      <c r="G9" s="16" t="b">
        <v>1</v>
      </c>
      <c r="H9" s="16" t="b">
        <v>1</v>
      </c>
      <c r="I9" s="16" t="b">
        <v>1</v>
      </c>
      <c r="J9" s="16" t="b">
        <v>1</v>
      </c>
      <c r="K9" s="16" t="b">
        <v>1</v>
      </c>
      <c r="L9" s="16" t="b">
        <v>1</v>
      </c>
      <c r="M9" s="16" t="b">
        <v>1</v>
      </c>
      <c r="N9" s="16" t="b">
        <v>1</v>
      </c>
      <c r="O9" s="16" t="b">
        <v>1</v>
      </c>
      <c r="P9" s="16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1</v>
      </c>
      <c r="AJ9" s="16" t="b">
        <v>0</v>
      </c>
      <c r="AK9" s="16" t="b">
        <v>0</v>
      </c>
      <c r="AL9" s="17" t="str">
        <f t="shared" si="1"/>
        <v>15 dari 31 (48%)</v>
      </c>
    </row>
    <row r="10" ht="22.5" customHeight="1">
      <c r="A10" s="2">
        <v>9.0</v>
      </c>
      <c r="B10" s="18"/>
      <c r="C10" s="22">
        <v>60495.0</v>
      </c>
      <c r="D10" s="7" t="s">
        <v>63</v>
      </c>
      <c r="E10" s="7" t="s">
        <v>64</v>
      </c>
      <c r="F10" s="13"/>
      <c r="G10" s="6" t="b">
        <v>1</v>
      </c>
      <c r="H10" s="6" t="b">
        <v>1</v>
      </c>
      <c r="I10" s="6" t="b">
        <v>1</v>
      </c>
      <c r="J10" s="6" t="b">
        <v>1</v>
      </c>
      <c r="K10" s="6" t="b">
        <v>1</v>
      </c>
      <c r="L10" s="6" t="b">
        <v>1</v>
      </c>
      <c r="M10" s="6" t="b">
        <v>1</v>
      </c>
      <c r="N10" s="6" t="b">
        <v>1</v>
      </c>
      <c r="O10" s="6" t="b">
        <v>1</v>
      </c>
      <c r="P10" s="6" t="b">
        <v>1</v>
      </c>
      <c r="Q10" s="6" t="b">
        <v>1</v>
      </c>
      <c r="R10" s="6" t="b">
        <v>1</v>
      </c>
      <c r="S10" s="6" t="b">
        <v>1</v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1</v>
      </c>
      <c r="AJ10" s="6" t="b">
        <v>0</v>
      </c>
      <c r="AK10" s="6" t="b">
        <v>0</v>
      </c>
      <c r="AL10" s="9" t="str">
        <f t="shared" si="1"/>
        <v>14 dari 31 (45%)</v>
      </c>
    </row>
    <row r="11" ht="22.5" customHeight="1">
      <c r="A11" s="10">
        <v>10.0</v>
      </c>
      <c r="B11" s="11"/>
      <c r="C11" s="22">
        <v>59811.0</v>
      </c>
      <c r="D11" s="7" t="s">
        <v>63</v>
      </c>
      <c r="E11" s="7" t="s">
        <v>64</v>
      </c>
      <c r="F11" s="13"/>
      <c r="G11" s="16" t="b">
        <v>1</v>
      </c>
      <c r="H11" s="16" t="b">
        <v>1</v>
      </c>
      <c r="I11" s="16" t="b">
        <v>1</v>
      </c>
      <c r="J11" s="16" t="b">
        <v>1</v>
      </c>
      <c r="K11" s="16" t="b">
        <v>1</v>
      </c>
      <c r="L11" s="16" t="b">
        <v>1</v>
      </c>
      <c r="M11" s="16" t="b">
        <v>1</v>
      </c>
      <c r="N11" s="16" t="b">
        <v>1</v>
      </c>
      <c r="O11" s="16" t="b">
        <v>1</v>
      </c>
      <c r="P11" s="16" t="b">
        <v>1</v>
      </c>
      <c r="Q11" s="16" t="b">
        <v>1</v>
      </c>
      <c r="R11" s="16" t="b">
        <v>1</v>
      </c>
      <c r="S11" s="16" t="b">
        <v>1</v>
      </c>
      <c r="T11" s="16" t="b">
        <v>0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7" t="str">
        <f t="shared" si="1"/>
        <v>13 dari 31 (42%)</v>
      </c>
    </row>
    <row r="12" ht="22.5" customHeight="1">
      <c r="A12" s="2">
        <v>11.0</v>
      </c>
      <c r="B12" s="18"/>
      <c r="C12" s="20">
        <v>61031.0</v>
      </c>
      <c r="D12" s="7" t="s">
        <v>63</v>
      </c>
      <c r="E12" s="7" t="s">
        <v>64</v>
      </c>
      <c r="F12" s="13"/>
      <c r="G12" s="6" t="b">
        <v>1</v>
      </c>
      <c r="H12" s="6" t="b">
        <v>1</v>
      </c>
      <c r="I12" s="6" t="b">
        <v>1</v>
      </c>
      <c r="J12" s="6" t="b">
        <v>1</v>
      </c>
      <c r="K12" s="6" t="b">
        <v>1</v>
      </c>
      <c r="L12" s="6" t="b">
        <v>1</v>
      </c>
      <c r="M12" s="6" t="b">
        <v>1</v>
      </c>
      <c r="N12" s="6" t="b">
        <v>1</v>
      </c>
      <c r="O12" s="6" t="b">
        <v>1</v>
      </c>
      <c r="P12" s="6" t="b">
        <v>1</v>
      </c>
      <c r="Q12" s="6" t="b">
        <v>1</v>
      </c>
      <c r="R12" s="6" t="b">
        <v>1</v>
      </c>
      <c r="S12" s="6" t="b">
        <v>1</v>
      </c>
      <c r="T12" s="6" t="b">
        <v>1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14 dari 31 (45%)</v>
      </c>
    </row>
    <row r="13" ht="22.5" customHeight="1">
      <c r="A13" s="10">
        <v>12.0</v>
      </c>
      <c r="B13" s="11"/>
      <c r="C13" s="20">
        <v>59238.0</v>
      </c>
      <c r="D13" s="7" t="s">
        <v>63</v>
      </c>
      <c r="E13" s="7" t="s">
        <v>64</v>
      </c>
      <c r="F13" s="13"/>
      <c r="G13" s="16" t="b">
        <v>1</v>
      </c>
      <c r="H13" s="16" t="b">
        <v>1</v>
      </c>
      <c r="I13" s="16" t="b">
        <v>1</v>
      </c>
      <c r="J13" s="16" t="b">
        <v>1</v>
      </c>
      <c r="K13" s="16" t="b">
        <v>1</v>
      </c>
      <c r="L13" s="16" t="b">
        <v>1</v>
      </c>
      <c r="M13" s="16" t="b">
        <v>1</v>
      </c>
      <c r="N13" s="16" t="b">
        <v>1</v>
      </c>
      <c r="O13" s="16" t="b">
        <v>1</v>
      </c>
      <c r="P13" s="16" t="b">
        <v>1</v>
      </c>
      <c r="Q13" s="16" t="b">
        <v>1</v>
      </c>
      <c r="R13" s="16" t="b">
        <v>1</v>
      </c>
      <c r="S13" s="16" t="b">
        <v>1</v>
      </c>
      <c r="T13" s="16" t="b">
        <v>0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1</v>
      </c>
      <c r="AJ13" s="16" t="b">
        <v>0</v>
      </c>
      <c r="AK13" s="16" t="b">
        <v>0</v>
      </c>
      <c r="AL13" s="17" t="str">
        <f t="shared" si="1"/>
        <v>14 dari 31 (45%)</v>
      </c>
    </row>
    <row r="14" ht="22.5" customHeight="1">
      <c r="A14" s="2">
        <v>13.0</v>
      </c>
      <c r="B14" s="18"/>
      <c r="C14" s="20">
        <v>35822.0</v>
      </c>
      <c r="D14" s="7" t="s">
        <v>63</v>
      </c>
      <c r="E14" s="7" t="s">
        <v>64</v>
      </c>
      <c r="F14" s="13"/>
      <c r="G14" s="6" t="b">
        <v>1</v>
      </c>
      <c r="H14" s="6" t="b">
        <v>1</v>
      </c>
      <c r="I14" s="6" t="b">
        <v>1</v>
      </c>
      <c r="J14" s="6" t="b">
        <v>1</v>
      </c>
      <c r="K14" s="6" t="b">
        <v>1</v>
      </c>
      <c r="L14" s="6" t="b">
        <v>1</v>
      </c>
      <c r="M14" s="6" t="b">
        <v>1</v>
      </c>
      <c r="N14" s="6" t="b">
        <v>1</v>
      </c>
      <c r="O14" s="6" t="b">
        <v>1</v>
      </c>
      <c r="P14" s="6" t="b">
        <v>1</v>
      </c>
      <c r="Q14" s="6" t="b">
        <v>1</v>
      </c>
      <c r="R14" s="6" t="b">
        <v>1</v>
      </c>
      <c r="S14" s="6" t="b">
        <v>1</v>
      </c>
      <c r="T14" s="6" t="b">
        <v>0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13 dari 31 (42%)</v>
      </c>
    </row>
    <row r="15" ht="22.5" customHeight="1">
      <c r="A15" s="10">
        <v>14.0</v>
      </c>
      <c r="B15" s="11"/>
      <c r="C15" s="20">
        <v>20730.0</v>
      </c>
      <c r="D15" s="7" t="s">
        <v>63</v>
      </c>
      <c r="E15" s="7" t="s">
        <v>64</v>
      </c>
      <c r="F15" s="13"/>
      <c r="G15" s="16" t="b">
        <v>1</v>
      </c>
      <c r="H15" s="16" t="b">
        <v>1</v>
      </c>
      <c r="I15" s="16" t="b">
        <v>1</v>
      </c>
      <c r="J15" s="16" t="b">
        <v>1</v>
      </c>
      <c r="K15" s="16" t="b">
        <v>1</v>
      </c>
      <c r="L15" s="16" t="b">
        <v>1</v>
      </c>
      <c r="M15" s="16" t="b">
        <v>1</v>
      </c>
      <c r="N15" s="16" t="b">
        <v>1</v>
      </c>
      <c r="O15" s="16" t="b">
        <v>1</v>
      </c>
      <c r="P15" s="16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1</v>
      </c>
      <c r="AJ15" s="16" t="b">
        <v>0</v>
      </c>
      <c r="AK15" s="16" t="b">
        <v>0</v>
      </c>
      <c r="AL15" s="17" t="str">
        <f t="shared" si="1"/>
        <v>15 dari 31 (48%)</v>
      </c>
    </row>
    <row r="16" ht="22.5" customHeight="1">
      <c r="A16" s="2">
        <v>15.0</v>
      </c>
      <c r="B16" s="18"/>
      <c r="C16" s="20">
        <v>60421.0</v>
      </c>
      <c r="D16" s="7" t="s">
        <v>63</v>
      </c>
      <c r="E16" s="7" t="s">
        <v>64</v>
      </c>
      <c r="F16" s="13"/>
      <c r="G16" s="6" t="b">
        <v>1</v>
      </c>
      <c r="H16" s="6" t="b">
        <v>1</v>
      </c>
      <c r="I16" s="6" t="b">
        <v>1</v>
      </c>
      <c r="J16" s="6" t="b">
        <v>1</v>
      </c>
      <c r="K16" s="6" t="b">
        <v>1</v>
      </c>
      <c r="L16" s="6" t="b">
        <v>1</v>
      </c>
      <c r="M16" s="6" t="b">
        <v>1</v>
      </c>
      <c r="N16" s="6" t="b">
        <v>1</v>
      </c>
      <c r="O16" s="6" t="b">
        <v>1</v>
      </c>
      <c r="P16" s="6" t="b">
        <v>1</v>
      </c>
      <c r="Q16" s="6" t="b">
        <v>1</v>
      </c>
      <c r="R16" s="6" t="b">
        <v>1</v>
      </c>
      <c r="S16" s="6" t="b">
        <v>1</v>
      </c>
      <c r="T16" s="6" t="b">
        <v>1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14 dari 31 (45%)</v>
      </c>
    </row>
    <row r="17" ht="22.5" customHeight="1">
      <c r="A17" s="10">
        <v>16.0</v>
      </c>
      <c r="B17" s="11"/>
      <c r="C17" s="22">
        <v>60497.0</v>
      </c>
      <c r="D17" s="7" t="s">
        <v>63</v>
      </c>
      <c r="E17" s="7" t="s">
        <v>64</v>
      </c>
      <c r="F17" s="13"/>
      <c r="G17" s="16" t="b">
        <v>1</v>
      </c>
      <c r="H17" s="16" t="b">
        <v>1</v>
      </c>
      <c r="I17" s="16" t="b">
        <v>1</v>
      </c>
      <c r="J17" s="16" t="b">
        <v>1</v>
      </c>
      <c r="K17" s="16" t="b">
        <v>1</v>
      </c>
      <c r="L17" s="16" t="b">
        <v>1</v>
      </c>
      <c r="M17" s="16" t="b">
        <v>1</v>
      </c>
      <c r="N17" s="16" t="b">
        <v>1</v>
      </c>
      <c r="O17" s="16" t="b">
        <v>1</v>
      </c>
      <c r="P17" s="16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1</v>
      </c>
      <c r="AJ17" s="16" t="b">
        <v>0</v>
      </c>
      <c r="AK17" s="16" t="b">
        <v>0</v>
      </c>
      <c r="AL17" s="17" t="str">
        <f t="shared" si="1"/>
        <v>15 dari 31 (48%)</v>
      </c>
    </row>
    <row r="18" ht="22.5" customHeight="1">
      <c r="A18" s="2">
        <v>17.0</v>
      </c>
      <c r="B18" s="18"/>
      <c r="C18" s="20">
        <v>57936.0</v>
      </c>
      <c r="D18" s="7" t="s">
        <v>63</v>
      </c>
      <c r="E18" s="7" t="s">
        <v>64</v>
      </c>
      <c r="F18" s="13"/>
      <c r="G18" s="6" t="b">
        <v>1</v>
      </c>
      <c r="H18" s="6" t="b">
        <v>1</v>
      </c>
      <c r="I18" s="6" t="b">
        <v>1</v>
      </c>
      <c r="J18" s="6" t="b">
        <v>1</v>
      </c>
      <c r="K18" s="6" t="b">
        <v>1</v>
      </c>
      <c r="L18" s="6" t="b">
        <v>1</v>
      </c>
      <c r="M18" s="6" t="b">
        <v>1</v>
      </c>
      <c r="N18" s="6" t="b">
        <v>1</v>
      </c>
      <c r="O18" s="6" t="b">
        <v>1</v>
      </c>
      <c r="P18" s="6" t="b">
        <v>1</v>
      </c>
      <c r="Q18" s="6" t="b">
        <v>1</v>
      </c>
      <c r="R18" s="6" t="b">
        <v>1</v>
      </c>
      <c r="S18" s="6" t="b">
        <v>1</v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13 dari 31 (42%)</v>
      </c>
    </row>
    <row r="19" ht="22.5" customHeight="1">
      <c r="A19" s="10">
        <v>18.0</v>
      </c>
      <c r="B19" s="11"/>
      <c r="C19" s="20">
        <v>60120.0</v>
      </c>
      <c r="D19" s="7" t="s">
        <v>63</v>
      </c>
      <c r="E19" s="7" t="s">
        <v>64</v>
      </c>
      <c r="F19" s="13"/>
      <c r="G19" s="16" t="b">
        <v>1</v>
      </c>
      <c r="H19" s="16" t="b">
        <v>1</v>
      </c>
      <c r="I19" s="16" t="b">
        <v>1</v>
      </c>
      <c r="J19" s="16" t="b">
        <v>1</v>
      </c>
      <c r="K19" s="16" t="b">
        <v>1</v>
      </c>
      <c r="L19" s="16" t="b">
        <v>1</v>
      </c>
      <c r="M19" s="16" t="b">
        <v>1</v>
      </c>
      <c r="N19" s="16" t="b">
        <v>1</v>
      </c>
      <c r="O19" s="16" t="b">
        <v>1</v>
      </c>
      <c r="P19" s="16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14 dari 31 (45%)</v>
      </c>
    </row>
    <row r="20" ht="22.5" customHeight="1">
      <c r="A20" s="2">
        <v>19.0</v>
      </c>
      <c r="B20" s="18"/>
      <c r="C20" s="20">
        <v>12426.0</v>
      </c>
      <c r="D20" s="7" t="s">
        <v>63</v>
      </c>
      <c r="E20" s="7" t="s">
        <v>64</v>
      </c>
      <c r="F20" s="13"/>
      <c r="G20" s="6" t="b">
        <v>1</v>
      </c>
      <c r="H20" s="6" t="b">
        <v>1</v>
      </c>
      <c r="I20" s="6" t="b">
        <v>1</v>
      </c>
      <c r="J20" s="6" t="b">
        <v>1</v>
      </c>
      <c r="K20" s="6" t="b">
        <v>1</v>
      </c>
      <c r="L20" s="6" t="b">
        <v>1</v>
      </c>
      <c r="M20" s="6" t="b">
        <v>1</v>
      </c>
      <c r="N20" s="6" t="b">
        <v>1</v>
      </c>
      <c r="O20" s="6" t="b">
        <v>1</v>
      </c>
      <c r="P20" s="6" t="b">
        <v>1</v>
      </c>
      <c r="Q20" s="6" t="b">
        <v>1</v>
      </c>
      <c r="R20" s="6" t="b">
        <v>1</v>
      </c>
      <c r="S20" s="6" t="b">
        <v>1</v>
      </c>
      <c r="T20" s="6" t="b">
        <v>1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1</v>
      </c>
      <c r="AA20" s="6" t="b">
        <v>1</v>
      </c>
      <c r="AB20" s="6" t="b">
        <v>1</v>
      </c>
      <c r="AC20" s="6" t="b">
        <v>1</v>
      </c>
      <c r="AD20" s="6" t="b">
        <v>1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1</v>
      </c>
      <c r="AJ20" s="6" t="b">
        <v>0</v>
      </c>
      <c r="AK20" s="6" t="b">
        <v>0</v>
      </c>
      <c r="AL20" s="9" t="str">
        <f t="shared" si="1"/>
        <v>20 dari 31 (65%)</v>
      </c>
    </row>
    <row r="21" ht="22.5" customHeight="1">
      <c r="A21" s="10">
        <v>20.0</v>
      </c>
      <c r="B21" s="11"/>
      <c r="C21" s="20">
        <v>40902.0</v>
      </c>
      <c r="D21" s="7" t="s">
        <v>63</v>
      </c>
      <c r="E21" s="7" t="s">
        <v>64</v>
      </c>
      <c r="F21" s="13"/>
      <c r="G21" s="16" t="b">
        <v>1</v>
      </c>
      <c r="H21" s="16" t="b">
        <v>1</v>
      </c>
      <c r="I21" s="16" t="b">
        <v>1</v>
      </c>
      <c r="J21" s="16" t="b">
        <v>1</v>
      </c>
      <c r="K21" s="16" t="b">
        <v>1</v>
      </c>
      <c r="L21" s="16" t="b">
        <v>1</v>
      </c>
      <c r="M21" s="16" t="b">
        <v>1</v>
      </c>
      <c r="N21" s="16" t="b">
        <v>1</v>
      </c>
      <c r="O21" s="16" t="b">
        <v>1</v>
      </c>
      <c r="P21" s="16" t="b">
        <v>1</v>
      </c>
      <c r="Q21" s="16" t="b">
        <v>1</v>
      </c>
      <c r="R21" s="16" t="b">
        <v>1</v>
      </c>
      <c r="S21" s="16" t="b">
        <v>1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1</v>
      </c>
      <c r="AJ21" s="16" t="b">
        <v>0</v>
      </c>
      <c r="AK21" s="16" t="b">
        <v>0</v>
      </c>
      <c r="AL21" s="17" t="str">
        <f t="shared" si="1"/>
        <v>14 dari 31 (45%)</v>
      </c>
    </row>
    <row r="22" ht="22.5" customHeight="1">
      <c r="A22" s="2">
        <v>21.0</v>
      </c>
      <c r="B22" s="18"/>
      <c r="C22" s="20">
        <v>56859.0</v>
      </c>
      <c r="D22" s="7" t="s">
        <v>63</v>
      </c>
      <c r="E22" s="7" t="s">
        <v>64</v>
      </c>
      <c r="F22" s="13"/>
      <c r="G22" s="6" t="b">
        <v>0</v>
      </c>
      <c r="H22" s="6" t="b">
        <v>0</v>
      </c>
      <c r="I22" s="6" t="b">
        <v>0</v>
      </c>
      <c r="J22" s="6" t="b">
        <v>0</v>
      </c>
      <c r="K22" s="6" t="b">
        <v>0</v>
      </c>
      <c r="L22" s="6" t="b">
        <v>0</v>
      </c>
      <c r="M22" s="6" t="b">
        <v>0</v>
      </c>
      <c r="N22" s="6" t="b">
        <v>0</v>
      </c>
      <c r="O22" s="6" t="b">
        <v>0</v>
      </c>
      <c r="P22" s="6" t="b">
        <v>0</v>
      </c>
      <c r="Q22" s="6" t="b">
        <v>0</v>
      </c>
      <c r="R22" s="6" t="b">
        <v>0</v>
      </c>
      <c r="S22" s="6" t="b">
        <v>0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0 dari 31 (0%)</v>
      </c>
    </row>
    <row r="23" ht="22.5" customHeight="1">
      <c r="A23" s="61">
        <v>22.0</v>
      </c>
      <c r="B23" s="62"/>
      <c r="C23" s="60">
        <v>30720.0</v>
      </c>
      <c r="D23" s="52" t="s">
        <v>63</v>
      </c>
      <c r="E23" s="52" t="s">
        <v>64</v>
      </c>
      <c r="F23" s="53"/>
      <c r="G23" s="63" t="b">
        <v>0</v>
      </c>
      <c r="H23" s="63" t="b">
        <v>0</v>
      </c>
      <c r="I23" s="63" t="b">
        <v>0</v>
      </c>
      <c r="J23" s="63" t="b">
        <v>0</v>
      </c>
      <c r="K23" s="63" t="b">
        <v>0</v>
      </c>
      <c r="L23" s="63" t="b">
        <v>0</v>
      </c>
      <c r="M23" s="63" t="b">
        <v>0</v>
      </c>
      <c r="N23" s="63" t="b">
        <v>0</v>
      </c>
      <c r="O23" s="63" t="b">
        <v>0</v>
      </c>
      <c r="P23" s="63" t="b">
        <v>0</v>
      </c>
      <c r="Q23" s="63" t="b">
        <v>0</v>
      </c>
      <c r="R23" s="63" t="b">
        <v>0</v>
      </c>
      <c r="S23" s="63" t="b">
        <v>0</v>
      </c>
      <c r="T23" s="63" t="b">
        <v>0</v>
      </c>
      <c r="U23" s="63" t="b">
        <v>0</v>
      </c>
      <c r="V23" s="63" t="b">
        <v>0</v>
      </c>
      <c r="W23" s="63" t="b">
        <v>0</v>
      </c>
      <c r="X23" s="63" t="b">
        <v>0</v>
      </c>
      <c r="Y23" s="63" t="b">
        <v>0</v>
      </c>
      <c r="Z23" s="63" t="b">
        <v>0</v>
      </c>
      <c r="AA23" s="63" t="b">
        <v>0</v>
      </c>
      <c r="AB23" s="63" t="b">
        <v>0</v>
      </c>
      <c r="AC23" s="63" t="b">
        <v>0</v>
      </c>
      <c r="AD23" s="63" t="b">
        <v>0</v>
      </c>
      <c r="AE23" s="63" t="b">
        <v>0</v>
      </c>
      <c r="AF23" s="63" t="b">
        <v>0</v>
      </c>
      <c r="AG23" s="63" t="b">
        <v>0</v>
      </c>
      <c r="AH23" s="63" t="b">
        <v>0</v>
      </c>
      <c r="AI23" s="63" t="b">
        <v>0</v>
      </c>
      <c r="AJ23" s="63" t="b">
        <v>0</v>
      </c>
      <c r="AK23" s="63" t="b">
        <v>0</v>
      </c>
      <c r="AL23" s="64" t="str">
        <f t="shared" si="1"/>
        <v>0 dari 31 (0%)</v>
      </c>
    </row>
    <row r="24" ht="22.5" customHeight="1">
      <c r="A24" s="2">
        <v>23.0</v>
      </c>
      <c r="B24" s="18"/>
      <c r="C24" s="20">
        <v>61162.0</v>
      </c>
      <c r="D24" s="7" t="s">
        <v>63</v>
      </c>
      <c r="E24" s="7" t="s">
        <v>64</v>
      </c>
      <c r="F24" s="13"/>
      <c r="G24" s="6" t="b">
        <v>0</v>
      </c>
      <c r="H24" s="6" t="b">
        <v>0</v>
      </c>
      <c r="I24" s="6" t="b">
        <v>0</v>
      </c>
      <c r="J24" s="6" t="b">
        <v>0</v>
      </c>
      <c r="K24" s="6" t="b">
        <v>0</v>
      </c>
      <c r="L24" s="6" t="b">
        <v>0</v>
      </c>
      <c r="M24" s="6" t="b">
        <v>0</v>
      </c>
      <c r="N24" s="6" t="b">
        <v>0</v>
      </c>
      <c r="O24" s="6" t="b">
        <v>0</v>
      </c>
      <c r="P24" s="6" t="b">
        <v>0</v>
      </c>
      <c r="Q24" s="6" t="b">
        <v>0</v>
      </c>
      <c r="R24" s="6" t="b">
        <v>0</v>
      </c>
      <c r="S24" s="6" t="b">
        <v>0</v>
      </c>
      <c r="T24" s="6" t="b">
        <v>0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0 dari 31 (0%)</v>
      </c>
    </row>
    <row r="25" ht="22.5" customHeight="1">
      <c r="A25" s="10">
        <v>24.0</v>
      </c>
      <c r="B25" s="11"/>
      <c r="C25" s="20">
        <v>60434.0</v>
      </c>
      <c r="D25" s="7" t="s">
        <v>63</v>
      </c>
      <c r="E25" s="7" t="s">
        <v>64</v>
      </c>
      <c r="F25" s="13"/>
      <c r="G25" s="16" t="b">
        <v>0</v>
      </c>
      <c r="H25" s="16" t="b">
        <v>0</v>
      </c>
      <c r="I25" s="16" t="b">
        <v>0</v>
      </c>
      <c r="J25" s="16" t="b">
        <v>0</v>
      </c>
      <c r="K25" s="16" t="b">
        <v>0</v>
      </c>
      <c r="L25" s="16" t="b">
        <v>0</v>
      </c>
      <c r="M25" s="16" t="b">
        <v>0</v>
      </c>
      <c r="N25" s="16" t="b">
        <v>0</v>
      </c>
      <c r="O25" s="16" t="b">
        <v>0</v>
      </c>
      <c r="P25" s="16" t="b">
        <v>0</v>
      </c>
      <c r="Q25" s="16" t="b">
        <v>0</v>
      </c>
      <c r="R25" s="16" t="b">
        <v>0</v>
      </c>
      <c r="S25" s="16" t="b">
        <v>0</v>
      </c>
      <c r="T25" s="16" t="b">
        <v>0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0 dari 31 (0%)</v>
      </c>
    </row>
    <row r="26" ht="22.5" customHeight="1">
      <c r="A26" s="2">
        <v>25.0</v>
      </c>
      <c r="B26" s="18"/>
      <c r="C26" s="20">
        <v>56066.0</v>
      </c>
      <c r="D26" s="7" t="s">
        <v>63</v>
      </c>
      <c r="E26" s="7" t="s">
        <v>64</v>
      </c>
      <c r="F26" s="13"/>
      <c r="G26" s="6" t="b">
        <v>0</v>
      </c>
      <c r="H26" s="6" t="b">
        <v>0</v>
      </c>
      <c r="I26" s="6" t="b">
        <v>0</v>
      </c>
      <c r="J26" s="6" t="b">
        <v>0</v>
      </c>
      <c r="K26" s="6" t="b">
        <v>0</v>
      </c>
      <c r="L26" s="6" t="b">
        <v>0</v>
      </c>
      <c r="M26" s="6" t="b">
        <v>0</v>
      </c>
      <c r="N26" s="6" t="b">
        <v>0</v>
      </c>
      <c r="O26" s="6" t="b">
        <v>0</v>
      </c>
      <c r="P26" s="6" t="b">
        <v>0</v>
      </c>
      <c r="Q26" s="6" t="b">
        <v>0</v>
      </c>
      <c r="R26" s="6" t="b">
        <v>0</v>
      </c>
      <c r="S26" s="6" t="b">
        <v>0</v>
      </c>
      <c r="T26" s="6" t="b">
        <v>0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0 dari 31 (0%)</v>
      </c>
    </row>
    <row r="27" ht="22.5" customHeight="1">
      <c r="A27" s="10">
        <v>26.0</v>
      </c>
      <c r="B27" s="11"/>
      <c r="C27" s="22">
        <v>54334.0</v>
      </c>
      <c r="D27" s="7" t="s">
        <v>63</v>
      </c>
      <c r="E27" s="7" t="s">
        <v>64</v>
      </c>
      <c r="F27" s="13"/>
      <c r="G27" s="16" t="b">
        <v>0</v>
      </c>
      <c r="H27" s="16" t="b">
        <v>0</v>
      </c>
      <c r="I27" s="16" t="b">
        <v>0</v>
      </c>
      <c r="J27" s="16" t="b">
        <v>0</v>
      </c>
      <c r="K27" s="16" t="b">
        <v>0</v>
      </c>
      <c r="L27" s="16" t="b">
        <v>0</v>
      </c>
      <c r="M27" s="16" t="b">
        <v>0</v>
      </c>
      <c r="N27" s="16" t="b">
        <v>0</v>
      </c>
      <c r="O27" s="16" t="b">
        <v>0</v>
      </c>
      <c r="P27" s="16" t="b">
        <v>0</v>
      </c>
      <c r="Q27" s="16" t="b">
        <v>0</v>
      </c>
      <c r="R27" s="16" t="b">
        <v>0</v>
      </c>
      <c r="S27" s="16" t="b">
        <v>0</v>
      </c>
      <c r="T27" s="16" t="b">
        <v>0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0 dari 31 (0%)</v>
      </c>
    </row>
    <row r="28" ht="22.5" customHeight="1">
      <c r="A28" s="2">
        <v>27.0</v>
      </c>
      <c r="B28" s="18"/>
      <c r="C28" s="22">
        <v>59913.0</v>
      </c>
      <c r="D28" s="7" t="s">
        <v>63</v>
      </c>
      <c r="E28" s="7" t="s">
        <v>64</v>
      </c>
      <c r="F28" s="13"/>
      <c r="G28" s="6" t="b">
        <v>0</v>
      </c>
      <c r="H28" s="6" t="b">
        <v>0</v>
      </c>
      <c r="I28" s="6" t="b">
        <v>0</v>
      </c>
      <c r="J28" s="6" t="b">
        <v>0</v>
      </c>
      <c r="K28" s="6" t="b">
        <v>0</v>
      </c>
      <c r="L28" s="6" t="b">
        <v>0</v>
      </c>
      <c r="M28" s="6" t="b">
        <v>0</v>
      </c>
      <c r="N28" s="6" t="b">
        <v>0</v>
      </c>
      <c r="O28" s="6" t="b">
        <v>0</v>
      </c>
      <c r="P28" s="6" t="b">
        <v>0</v>
      </c>
      <c r="Q28" s="6" t="b">
        <v>0</v>
      </c>
      <c r="R28" s="6" t="b">
        <v>0</v>
      </c>
      <c r="S28" s="6" t="b">
        <v>0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9" t="str">
        <f t="shared" si="1"/>
        <v>0 dari 31 (0%)</v>
      </c>
    </row>
    <row r="29" ht="22.5" customHeight="1">
      <c r="A29" s="10">
        <v>28.0</v>
      </c>
      <c r="B29" s="11"/>
      <c r="C29" s="22">
        <v>61256.0</v>
      </c>
      <c r="D29" s="7" t="s">
        <v>63</v>
      </c>
      <c r="E29" s="7" t="s">
        <v>64</v>
      </c>
      <c r="F29" s="13"/>
      <c r="G29" s="16" t="b">
        <v>0</v>
      </c>
      <c r="H29" s="16" t="b">
        <v>0</v>
      </c>
      <c r="I29" s="16" t="b">
        <v>0</v>
      </c>
      <c r="J29" s="16" t="b">
        <v>0</v>
      </c>
      <c r="K29" s="16" t="b">
        <v>0</v>
      </c>
      <c r="L29" s="16" t="b">
        <v>0</v>
      </c>
      <c r="M29" s="16" t="b">
        <v>0</v>
      </c>
      <c r="N29" s="16" t="b">
        <v>0</v>
      </c>
      <c r="O29" s="16" t="b">
        <v>0</v>
      </c>
      <c r="P29" s="16" t="b">
        <v>0</v>
      </c>
      <c r="Q29" s="16" t="b">
        <v>0</v>
      </c>
      <c r="R29" s="16" t="b">
        <v>0</v>
      </c>
      <c r="S29" s="16" t="b">
        <v>0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0 dari 31 (0%)</v>
      </c>
    </row>
    <row r="30" ht="22.5" customHeight="1">
      <c r="A30" s="2">
        <v>29.0</v>
      </c>
      <c r="B30" s="18"/>
      <c r="C30" s="22">
        <v>59402.0</v>
      </c>
      <c r="D30" s="7" t="s">
        <v>63</v>
      </c>
      <c r="E30" s="7" t="s">
        <v>64</v>
      </c>
      <c r="F30" s="13"/>
      <c r="G30" s="6" t="b">
        <v>0</v>
      </c>
      <c r="H30" s="6" t="b">
        <v>0</v>
      </c>
      <c r="I30" s="6" t="b">
        <v>0</v>
      </c>
      <c r="J30" s="6" t="b">
        <v>0</v>
      </c>
      <c r="K30" s="6" t="b">
        <v>0</v>
      </c>
      <c r="L30" s="6" t="b">
        <v>0</v>
      </c>
      <c r="M30" s="6" t="b">
        <v>0</v>
      </c>
      <c r="N30" s="6" t="b">
        <v>0</v>
      </c>
      <c r="O30" s="6" t="b">
        <v>0</v>
      </c>
      <c r="P30" s="6" t="b">
        <v>0</v>
      </c>
      <c r="Q30" s="6" t="b">
        <v>0</v>
      </c>
      <c r="R30" s="6" t="b">
        <v>0</v>
      </c>
      <c r="S30" s="6" t="b">
        <v>0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1"/>
        <v>0 dari 31 (0%)</v>
      </c>
    </row>
    <row r="31" ht="22.5" customHeight="1">
      <c r="A31" s="10">
        <v>30.0</v>
      </c>
      <c r="B31" s="11"/>
      <c r="C31" s="22">
        <v>58845.0</v>
      </c>
      <c r="D31" s="7" t="s">
        <v>63</v>
      </c>
      <c r="E31" s="7" t="s">
        <v>64</v>
      </c>
      <c r="F31" s="13"/>
      <c r="G31" s="16" t="b">
        <v>0</v>
      </c>
      <c r="H31" s="16" t="b">
        <v>0</v>
      </c>
      <c r="I31" s="16" t="b">
        <v>0</v>
      </c>
      <c r="J31" s="16" t="b">
        <v>0</v>
      </c>
      <c r="K31" s="16" t="b">
        <v>0</v>
      </c>
      <c r="L31" s="16" t="b">
        <v>0</v>
      </c>
      <c r="M31" s="16" t="b">
        <v>0</v>
      </c>
      <c r="N31" s="16" t="b">
        <v>0</v>
      </c>
      <c r="O31" s="16" t="b">
        <v>0</v>
      </c>
      <c r="P31" s="16" t="b">
        <v>0</v>
      </c>
      <c r="Q31" s="16" t="b">
        <v>0</v>
      </c>
      <c r="R31" s="16" t="b">
        <v>0</v>
      </c>
      <c r="S31" s="16" t="b">
        <v>0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7" t="str">
        <f t="shared" si="1"/>
        <v>0 dari 31 (0%)</v>
      </c>
    </row>
    <row r="32" ht="22.5" customHeight="1">
      <c r="A32" s="30">
        <v>31.0</v>
      </c>
      <c r="B32" s="31"/>
      <c r="C32" s="60">
        <v>57335.0</v>
      </c>
      <c r="D32" s="52" t="s">
        <v>63</v>
      </c>
      <c r="E32" s="51" t="s">
        <v>175</v>
      </c>
      <c r="F32" s="53"/>
      <c r="G32" s="35" t="b">
        <v>0</v>
      </c>
      <c r="H32" s="35" t="b">
        <v>0</v>
      </c>
      <c r="I32" s="35" t="b">
        <v>0</v>
      </c>
      <c r="J32" s="35" t="b">
        <v>0</v>
      </c>
      <c r="K32" s="35" t="b">
        <v>0</v>
      </c>
      <c r="L32" s="35" t="b">
        <v>0</v>
      </c>
      <c r="M32" s="35" t="b">
        <v>0</v>
      </c>
      <c r="N32" s="35" t="b">
        <v>0</v>
      </c>
      <c r="O32" s="35" t="b">
        <v>0</v>
      </c>
      <c r="P32" s="35" t="b">
        <v>0</v>
      </c>
      <c r="Q32" s="35" t="b">
        <v>0</v>
      </c>
      <c r="R32" s="35" t="b">
        <v>0</v>
      </c>
      <c r="S32" s="35" t="b">
        <v>0</v>
      </c>
      <c r="T32" s="35" t="b">
        <v>0</v>
      </c>
      <c r="U32" s="35" t="b">
        <v>0</v>
      </c>
      <c r="V32" s="35" t="b">
        <v>0</v>
      </c>
      <c r="W32" s="35" t="b">
        <v>0</v>
      </c>
      <c r="X32" s="35" t="b">
        <v>0</v>
      </c>
      <c r="Y32" s="35" t="b">
        <v>0</v>
      </c>
      <c r="Z32" s="35" t="b">
        <v>0</v>
      </c>
      <c r="AA32" s="35" t="b">
        <v>0</v>
      </c>
      <c r="AB32" s="35" t="b">
        <v>0</v>
      </c>
      <c r="AC32" s="35" t="b">
        <v>0</v>
      </c>
      <c r="AD32" s="35" t="b">
        <v>0</v>
      </c>
      <c r="AE32" s="35" t="b">
        <v>0</v>
      </c>
      <c r="AF32" s="35" t="b">
        <v>0</v>
      </c>
      <c r="AG32" s="35" t="b">
        <v>0</v>
      </c>
      <c r="AH32" s="35" t="b">
        <v>0</v>
      </c>
      <c r="AI32" s="35" t="b">
        <v>0</v>
      </c>
      <c r="AJ32" s="35" t="b">
        <v>0</v>
      </c>
      <c r="AK32" s="35" t="b">
        <v>0</v>
      </c>
      <c r="AL32" s="38" t="str">
        <f t="shared" si="1"/>
        <v>0 dari 31 (0%)</v>
      </c>
    </row>
    <row r="33" ht="22.5" customHeight="1">
      <c r="A33" s="10">
        <v>32.0</v>
      </c>
      <c r="B33" s="11"/>
      <c r="C33" s="22">
        <v>39016.0</v>
      </c>
      <c r="D33" s="7" t="s">
        <v>63</v>
      </c>
      <c r="E33" s="12" t="s">
        <v>64</v>
      </c>
      <c r="F33" s="13"/>
      <c r="G33" s="16" t="b">
        <v>0</v>
      </c>
      <c r="H33" s="16" t="b">
        <v>0</v>
      </c>
      <c r="I33" s="16" t="b">
        <v>0</v>
      </c>
      <c r="J33" s="16" t="b">
        <v>0</v>
      </c>
      <c r="K33" s="16" t="b">
        <v>0</v>
      </c>
      <c r="L33" s="16" t="b">
        <v>0</v>
      </c>
      <c r="M33" s="16" t="b">
        <v>0</v>
      </c>
      <c r="N33" s="16" t="b">
        <v>0</v>
      </c>
      <c r="O33" s="16" t="b">
        <v>0</v>
      </c>
      <c r="P33" s="16" t="b">
        <v>0</v>
      </c>
      <c r="Q33" s="16" t="b">
        <v>0</v>
      </c>
      <c r="R33" s="16" t="b">
        <v>0</v>
      </c>
      <c r="S33" s="16" t="b">
        <v>0</v>
      </c>
      <c r="T33" s="16" t="b">
        <v>0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0</v>
      </c>
      <c r="AJ33" s="16" t="b">
        <v>0</v>
      </c>
      <c r="AK33" s="16" t="b">
        <v>0</v>
      </c>
      <c r="AL33" s="17" t="str">
        <f t="shared" si="1"/>
        <v>0 dari 31 (0%)</v>
      </c>
    </row>
    <row r="34" ht="22.5" customHeight="1">
      <c r="A34" s="2">
        <v>33.0</v>
      </c>
      <c r="B34" s="18"/>
      <c r="C34" s="22">
        <v>31044.0</v>
      </c>
      <c r="D34" s="7" t="s">
        <v>63</v>
      </c>
      <c r="E34" s="12" t="s">
        <v>64</v>
      </c>
      <c r="F34" s="13"/>
      <c r="G34" s="6" t="b">
        <v>0</v>
      </c>
      <c r="H34" s="6" t="b">
        <v>0</v>
      </c>
      <c r="I34" s="6" t="b">
        <v>0</v>
      </c>
      <c r="J34" s="6" t="b">
        <v>0</v>
      </c>
      <c r="K34" s="6" t="b">
        <v>0</v>
      </c>
      <c r="L34" s="6" t="b">
        <v>0</v>
      </c>
      <c r="M34" s="6" t="b">
        <v>0</v>
      </c>
      <c r="N34" s="6" t="b">
        <v>0</v>
      </c>
      <c r="O34" s="6" t="b">
        <v>0</v>
      </c>
      <c r="P34" s="6" t="b">
        <v>0</v>
      </c>
      <c r="Q34" s="6" t="b">
        <v>0</v>
      </c>
      <c r="R34" s="6" t="b">
        <v>0</v>
      </c>
      <c r="S34" s="6" t="b">
        <v>0</v>
      </c>
      <c r="T34" s="6" t="b">
        <v>0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0</v>
      </c>
      <c r="AJ34" s="6" t="b">
        <v>0</v>
      </c>
      <c r="AK34" s="6" t="b">
        <v>0</v>
      </c>
      <c r="AL34" s="9" t="str">
        <f t="shared" si="1"/>
        <v>0 dari 31 (0%)</v>
      </c>
    </row>
    <row r="35" ht="22.5" customHeight="1">
      <c r="A35" s="61">
        <v>34.0</v>
      </c>
      <c r="B35" s="62"/>
      <c r="C35" s="32">
        <v>17536.0</v>
      </c>
      <c r="D35" s="52" t="s">
        <v>63</v>
      </c>
      <c r="E35" s="51" t="s">
        <v>175</v>
      </c>
      <c r="F35" s="136" t="s">
        <v>105</v>
      </c>
      <c r="G35" s="63" t="b">
        <v>0</v>
      </c>
      <c r="H35" s="63" t="b">
        <v>0</v>
      </c>
      <c r="I35" s="63" t="b">
        <v>0</v>
      </c>
      <c r="J35" s="63" t="b">
        <v>0</v>
      </c>
      <c r="K35" s="63" t="b">
        <v>0</v>
      </c>
      <c r="L35" s="63" t="b">
        <v>0</v>
      </c>
      <c r="M35" s="63" t="b">
        <v>0</v>
      </c>
      <c r="N35" s="63" t="b">
        <v>0</v>
      </c>
      <c r="O35" s="63" t="b">
        <v>0</v>
      </c>
      <c r="P35" s="63" t="b">
        <v>0</v>
      </c>
      <c r="Q35" s="63" t="b">
        <v>0</v>
      </c>
      <c r="R35" s="63" t="b">
        <v>0</v>
      </c>
      <c r="S35" s="63" t="b">
        <v>0</v>
      </c>
      <c r="T35" s="63" t="b">
        <v>0</v>
      </c>
      <c r="U35" s="63" t="b">
        <v>0</v>
      </c>
      <c r="V35" s="63" t="b">
        <v>0</v>
      </c>
      <c r="W35" s="63" t="b">
        <v>0</v>
      </c>
      <c r="X35" s="63" t="b">
        <v>0</v>
      </c>
      <c r="Y35" s="63" t="b">
        <v>0</v>
      </c>
      <c r="Z35" s="63" t="b">
        <v>0</v>
      </c>
      <c r="AA35" s="63" t="b">
        <v>0</v>
      </c>
      <c r="AB35" s="63" t="b">
        <v>0</v>
      </c>
      <c r="AC35" s="63" t="b">
        <v>0</v>
      </c>
      <c r="AD35" s="63" t="b">
        <v>0</v>
      </c>
      <c r="AE35" s="63" t="b">
        <v>0</v>
      </c>
      <c r="AF35" s="63" t="b">
        <v>0</v>
      </c>
      <c r="AG35" s="63" t="b">
        <v>0</v>
      </c>
      <c r="AH35" s="63" t="b">
        <v>0</v>
      </c>
      <c r="AI35" s="63" t="b">
        <v>0</v>
      </c>
      <c r="AJ35" s="63" t="b">
        <v>0</v>
      </c>
      <c r="AK35" s="63" t="b">
        <v>0</v>
      </c>
      <c r="AL35" s="64" t="str">
        <f t="shared" si="1"/>
        <v>0 dari 31 (0%)</v>
      </c>
    </row>
    <row r="36" ht="22.5" customHeight="1">
      <c r="A36" s="2">
        <v>35.0</v>
      </c>
      <c r="B36" s="18"/>
      <c r="C36" s="22">
        <v>50956.0</v>
      </c>
      <c r="D36" s="7" t="s">
        <v>63</v>
      </c>
      <c r="E36" s="12" t="s">
        <v>175</v>
      </c>
      <c r="F36" s="13"/>
      <c r="G36" s="6" t="b">
        <v>0</v>
      </c>
      <c r="H36" s="6" t="b">
        <v>0</v>
      </c>
      <c r="I36" s="6" t="b">
        <v>0</v>
      </c>
      <c r="J36" s="6" t="b">
        <v>0</v>
      </c>
      <c r="K36" s="6" t="b">
        <v>0</v>
      </c>
      <c r="L36" s="6" t="b">
        <v>0</v>
      </c>
      <c r="M36" s="6" t="b">
        <v>0</v>
      </c>
      <c r="N36" s="6" t="b">
        <v>0</v>
      </c>
      <c r="O36" s="6" t="b">
        <v>0</v>
      </c>
      <c r="P36" s="6" t="b">
        <v>0</v>
      </c>
      <c r="Q36" s="6" t="b">
        <v>0</v>
      </c>
      <c r="R36" s="6" t="b">
        <v>0</v>
      </c>
      <c r="S36" s="6" t="b">
        <v>0</v>
      </c>
      <c r="T36" s="6" t="b">
        <v>0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0</v>
      </c>
      <c r="AJ36" s="6" t="b">
        <v>0</v>
      </c>
      <c r="AK36" s="6" t="b">
        <v>0</v>
      </c>
      <c r="AL36" s="9" t="str">
        <f t="shared" si="1"/>
        <v>0 dari 31 (0%)</v>
      </c>
    </row>
    <row r="37" ht="22.5" customHeight="1">
      <c r="A37" s="10">
        <v>36.0</v>
      </c>
      <c r="B37" s="11"/>
      <c r="C37" s="22">
        <v>59460.0</v>
      </c>
      <c r="D37" s="7" t="s">
        <v>63</v>
      </c>
      <c r="E37" s="12" t="s">
        <v>175</v>
      </c>
      <c r="F37" s="13"/>
      <c r="G37" s="16" t="b">
        <v>0</v>
      </c>
      <c r="H37" s="16" t="b">
        <v>0</v>
      </c>
      <c r="I37" s="16" t="b">
        <v>0</v>
      </c>
      <c r="J37" s="16" t="b">
        <v>0</v>
      </c>
      <c r="K37" s="16" t="b">
        <v>0</v>
      </c>
      <c r="L37" s="16" t="b">
        <v>0</v>
      </c>
      <c r="M37" s="16" t="b">
        <v>0</v>
      </c>
      <c r="N37" s="16" t="b">
        <v>0</v>
      </c>
      <c r="O37" s="16" t="b">
        <v>0</v>
      </c>
      <c r="P37" s="16" t="b">
        <v>0</v>
      </c>
      <c r="Q37" s="16" t="b">
        <v>0</v>
      </c>
      <c r="R37" s="16" t="b">
        <v>0</v>
      </c>
      <c r="S37" s="16" t="b">
        <v>0</v>
      </c>
      <c r="T37" s="16" t="b">
        <v>0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7" t="str">
        <f t="shared" si="1"/>
        <v>0 dari 31 (0%)</v>
      </c>
    </row>
    <row r="38" ht="22.5" customHeight="1">
      <c r="A38" s="2">
        <v>37.0</v>
      </c>
      <c r="B38" s="18"/>
      <c r="C38" s="22">
        <v>54008.0</v>
      </c>
      <c r="D38" s="7" t="s">
        <v>63</v>
      </c>
      <c r="E38" s="12" t="s">
        <v>112</v>
      </c>
      <c r="F38" s="13"/>
      <c r="G38" s="6" t="b">
        <v>0</v>
      </c>
      <c r="H38" s="6" t="b">
        <v>0</v>
      </c>
      <c r="I38" s="6" t="b">
        <v>0</v>
      </c>
      <c r="J38" s="6" t="b">
        <v>0</v>
      </c>
      <c r="K38" s="6" t="b">
        <v>0</v>
      </c>
      <c r="L38" s="6" t="b">
        <v>0</v>
      </c>
      <c r="M38" s="6" t="b">
        <v>0</v>
      </c>
      <c r="N38" s="6" t="b">
        <v>0</v>
      </c>
      <c r="O38" s="6" t="b">
        <v>0</v>
      </c>
      <c r="P38" s="6" t="b">
        <v>0</v>
      </c>
      <c r="Q38" s="6" t="b">
        <v>0</v>
      </c>
      <c r="R38" s="6" t="b">
        <v>0</v>
      </c>
      <c r="S38" s="6" t="b">
        <v>0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1"/>
        <v>0 dari 31 (0%)</v>
      </c>
    </row>
    <row r="39" ht="22.5" customHeight="1">
      <c r="A39" s="10">
        <v>38.0</v>
      </c>
      <c r="B39" s="11"/>
      <c r="C39" s="22">
        <v>59375.0</v>
      </c>
      <c r="D39" s="7" t="s">
        <v>63</v>
      </c>
      <c r="E39" s="12" t="s">
        <v>112</v>
      </c>
      <c r="F39" s="13"/>
      <c r="G39" s="16" t="b">
        <v>0</v>
      </c>
      <c r="H39" s="16" t="b">
        <v>0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0</v>
      </c>
      <c r="O39" s="16" t="b">
        <v>0</v>
      </c>
      <c r="P39" s="16" t="b">
        <v>0</v>
      </c>
      <c r="Q39" s="16" t="b">
        <v>0</v>
      </c>
      <c r="R39" s="16" t="b">
        <v>0</v>
      </c>
      <c r="S39" s="16" t="b">
        <v>0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0 dari 31 (0%)</v>
      </c>
    </row>
    <row r="40" ht="22.5" customHeight="1">
      <c r="A40" s="2">
        <v>39.0</v>
      </c>
      <c r="B40" s="18"/>
      <c r="C40" s="22">
        <v>60123.0</v>
      </c>
      <c r="D40" s="7" t="s">
        <v>63</v>
      </c>
      <c r="E40" s="12" t="s">
        <v>87</v>
      </c>
      <c r="F40" s="13"/>
      <c r="G40" s="6" t="b">
        <v>0</v>
      </c>
      <c r="H40" s="6" t="b">
        <v>0</v>
      </c>
      <c r="I40" s="6" t="b">
        <v>0</v>
      </c>
      <c r="J40" s="6" t="b">
        <v>0</v>
      </c>
      <c r="K40" s="6" t="b">
        <v>0</v>
      </c>
      <c r="L40" s="6" t="b">
        <v>0</v>
      </c>
      <c r="M40" s="6" t="b">
        <v>0</v>
      </c>
      <c r="N40" s="6" t="b">
        <v>0</v>
      </c>
      <c r="O40" s="6" t="b">
        <v>0</v>
      </c>
      <c r="P40" s="6" t="b">
        <v>0</v>
      </c>
      <c r="Q40" s="6" t="b">
        <v>0</v>
      </c>
      <c r="R40" s="6" t="b">
        <v>0</v>
      </c>
      <c r="S40" s="6" t="b">
        <v>0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0</v>
      </c>
      <c r="AJ40" s="6" t="b">
        <v>0</v>
      </c>
      <c r="AK40" s="6" t="b">
        <v>0</v>
      </c>
      <c r="AL40" s="9" t="str">
        <f t="shared" si="1"/>
        <v>0 dari 31 (0%)</v>
      </c>
    </row>
    <row r="41" ht="22.5" customHeight="1">
      <c r="A41" s="10">
        <v>40.0</v>
      </c>
      <c r="B41" s="11"/>
      <c r="C41" s="22">
        <v>60793.0</v>
      </c>
      <c r="D41" s="7" t="s">
        <v>63</v>
      </c>
      <c r="E41" s="12" t="s">
        <v>112</v>
      </c>
      <c r="F41" s="13"/>
      <c r="G41" s="16" t="b">
        <v>0</v>
      </c>
      <c r="H41" s="16" t="b">
        <v>0</v>
      </c>
      <c r="I41" s="16" t="b">
        <v>0</v>
      </c>
      <c r="J41" s="16" t="b">
        <v>0</v>
      </c>
      <c r="K41" s="16" t="b">
        <v>0</v>
      </c>
      <c r="L41" s="16" t="b">
        <v>0</v>
      </c>
      <c r="M41" s="16" t="b">
        <v>0</v>
      </c>
      <c r="N41" s="16" t="b">
        <v>0</v>
      </c>
      <c r="O41" s="16" t="b">
        <v>0</v>
      </c>
      <c r="P41" s="16" t="b">
        <v>0</v>
      </c>
      <c r="Q41" s="16" t="b">
        <v>0</v>
      </c>
      <c r="R41" s="16" t="b">
        <v>0</v>
      </c>
      <c r="S41" s="16" t="b">
        <v>0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7" t="str">
        <f t="shared" si="1"/>
        <v>0 dari 31 (0%)</v>
      </c>
    </row>
    <row r="42" ht="22.5" customHeight="1">
      <c r="A42" s="2">
        <v>41.0</v>
      </c>
      <c r="B42" s="18"/>
      <c r="C42" s="22">
        <v>61257.0</v>
      </c>
      <c r="D42" s="7" t="s">
        <v>63</v>
      </c>
      <c r="E42" s="12" t="s">
        <v>112</v>
      </c>
      <c r="F42" s="13"/>
      <c r="G42" s="6" t="b">
        <v>0</v>
      </c>
      <c r="H42" s="6" t="b">
        <v>0</v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6" t="b">
        <v>0</v>
      </c>
      <c r="R42" s="6" t="b">
        <v>0</v>
      </c>
      <c r="S42" s="6" t="b">
        <v>0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0 dari 31 (0%)</v>
      </c>
    </row>
    <row r="43" ht="22.5" customHeight="1">
      <c r="A43" s="10">
        <v>42.0</v>
      </c>
      <c r="B43" s="11"/>
      <c r="C43" s="22">
        <v>56728.0</v>
      </c>
      <c r="D43" s="7" t="s">
        <v>63</v>
      </c>
      <c r="E43" s="12" t="s">
        <v>112</v>
      </c>
      <c r="F43" s="13"/>
      <c r="G43" s="16" t="b">
        <v>0</v>
      </c>
      <c r="H43" s="16" t="b">
        <v>0</v>
      </c>
      <c r="I43" s="16" t="b">
        <v>0</v>
      </c>
      <c r="J43" s="16" t="b">
        <v>0</v>
      </c>
      <c r="K43" s="16" t="b">
        <v>0</v>
      </c>
      <c r="L43" s="16" t="b">
        <v>0</v>
      </c>
      <c r="M43" s="16" t="b">
        <v>0</v>
      </c>
      <c r="N43" s="16" t="b">
        <v>0</v>
      </c>
      <c r="O43" s="16" t="b">
        <v>0</v>
      </c>
      <c r="P43" s="16" t="b">
        <v>0</v>
      </c>
      <c r="Q43" s="16" t="b">
        <v>0</v>
      </c>
      <c r="R43" s="16" t="b">
        <v>0</v>
      </c>
      <c r="S43" s="16" t="b">
        <v>0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1"/>
        <v>0 dari 31 (0%)</v>
      </c>
    </row>
    <row r="44" ht="22.5" customHeight="1">
      <c r="A44" s="2">
        <v>43.0</v>
      </c>
      <c r="B44" s="18"/>
      <c r="C44" s="22">
        <v>32254.0</v>
      </c>
      <c r="D44" s="7" t="s">
        <v>63</v>
      </c>
      <c r="E44" s="12" t="s">
        <v>112</v>
      </c>
      <c r="F44" s="13"/>
      <c r="G44" s="6" t="b">
        <v>0</v>
      </c>
      <c r="H44" s="6" t="b">
        <v>0</v>
      </c>
      <c r="I44" s="6" t="b">
        <v>0</v>
      </c>
      <c r="J44" s="6" t="b">
        <v>0</v>
      </c>
      <c r="K44" s="6" t="b">
        <v>0</v>
      </c>
      <c r="L44" s="6" t="b">
        <v>0</v>
      </c>
      <c r="M44" s="6" t="b">
        <v>0</v>
      </c>
      <c r="N44" s="6" t="b">
        <v>0</v>
      </c>
      <c r="O44" s="6" t="b">
        <v>0</v>
      </c>
      <c r="P44" s="6" t="b">
        <v>0</v>
      </c>
      <c r="Q44" s="6" t="b">
        <v>0</v>
      </c>
      <c r="R44" s="6" t="b">
        <v>0</v>
      </c>
      <c r="S44" s="6" t="b">
        <v>0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0 dari 31 (0%)</v>
      </c>
    </row>
    <row r="45" ht="22.5" customHeight="1">
      <c r="A45" s="10">
        <v>44.0</v>
      </c>
      <c r="B45" s="11"/>
      <c r="C45" s="22">
        <v>61244.0</v>
      </c>
      <c r="D45" s="7" t="s">
        <v>63</v>
      </c>
      <c r="E45" s="12" t="s">
        <v>112</v>
      </c>
      <c r="F45" s="13"/>
      <c r="G45" s="16" t="b">
        <v>0</v>
      </c>
      <c r="H45" s="16" t="b">
        <v>0</v>
      </c>
      <c r="I45" s="16" t="b">
        <v>0</v>
      </c>
      <c r="J45" s="16" t="b">
        <v>0</v>
      </c>
      <c r="K45" s="16" t="b">
        <v>0</v>
      </c>
      <c r="L45" s="16" t="b">
        <v>0</v>
      </c>
      <c r="M45" s="16" t="b">
        <v>0</v>
      </c>
      <c r="N45" s="16" t="b">
        <v>0</v>
      </c>
      <c r="O45" s="16" t="b">
        <v>0</v>
      </c>
      <c r="P45" s="16" t="b">
        <v>0</v>
      </c>
      <c r="Q45" s="16" t="b">
        <v>0</v>
      </c>
      <c r="R45" s="16" t="b">
        <v>0</v>
      </c>
      <c r="S45" s="16" t="b">
        <v>0</v>
      </c>
      <c r="T45" s="16" t="b">
        <v>0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7" t="str">
        <f t="shared" si="1"/>
        <v>0 dari 31 (0%)</v>
      </c>
    </row>
    <row r="46" ht="22.5" customHeight="1">
      <c r="A46" s="2">
        <v>45.0</v>
      </c>
      <c r="B46" s="18"/>
      <c r="C46" s="22">
        <v>60284.0</v>
      </c>
      <c r="D46" s="7" t="s">
        <v>63</v>
      </c>
      <c r="E46" s="12" t="s">
        <v>112</v>
      </c>
      <c r="F46" s="13"/>
      <c r="G46" s="6" t="b">
        <v>0</v>
      </c>
      <c r="H46" s="6" t="b">
        <v>0</v>
      </c>
      <c r="I46" s="6" t="b">
        <v>0</v>
      </c>
      <c r="J46" s="6" t="b">
        <v>0</v>
      </c>
      <c r="K46" s="6" t="b">
        <v>0</v>
      </c>
      <c r="L46" s="6" t="b">
        <v>0</v>
      </c>
      <c r="M46" s="6" t="b">
        <v>0</v>
      </c>
      <c r="N46" s="6" t="b">
        <v>0</v>
      </c>
      <c r="O46" s="6" t="b">
        <v>0</v>
      </c>
      <c r="P46" s="6" t="b">
        <v>0</v>
      </c>
      <c r="Q46" s="6" t="b">
        <v>0</v>
      </c>
      <c r="R46" s="6" t="b">
        <v>0</v>
      </c>
      <c r="S46" s="6" t="b">
        <v>0</v>
      </c>
      <c r="T46" s="6" t="b">
        <v>0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1"/>
        <v>0 dari 31 (0%)</v>
      </c>
    </row>
    <row r="47" ht="22.5" customHeight="1">
      <c r="A47" s="10">
        <v>46.0</v>
      </c>
      <c r="B47" s="11"/>
      <c r="C47" s="22">
        <v>60393.0</v>
      </c>
      <c r="D47" s="7" t="s">
        <v>63</v>
      </c>
      <c r="E47" s="12" t="s">
        <v>112</v>
      </c>
      <c r="F47" s="13"/>
      <c r="G47" s="16" t="b">
        <v>0</v>
      </c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6" t="b">
        <v>0</v>
      </c>
      <c r="R47" s="16" t="b">
        <v>0</v>
      </c>
      <c r="S47" s="16" t="b">
        <v>0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7" t="str">
        <f t="shared" si="1"/>
        <v>0 dari 31 (0%)</v>
      </c>
    </row>
    <row r="48" ht="22.5" customHeight="1">
      <c r="A48" s="61">
        <v>47.0</v>
      </c>
      <c r="B48" s="31"/>
      <c r="C48" s="32">
        <v>25647.0</v>
      </c>
      <c r="D48" s="52" t="s">
        <v>63</v>
      </c>
      <c r="E48" s="51" t="s">
        <v>112</v>
      </c>
      <c r="F48" s="53"/>
      <c r="G48" s="35" t="b">
        <v>0</v>
      </c>
      <c r="H48" s="35" t="b">
        <v>0</v>
      </c>
      <c r="I48" s="35" t="b">
        <v>0</v>
      </c>
      <c r="J48" s="35" t="b">
        <v>0</v>
      </c>
      <c r="K48" s="35" t="b">
        <v>0</v>
      </c>
      <c r="L48" s="35" t="b">
        <v>0</v>
      </c>
      <c r="M48" s="35" t="b">
        <v>0</v>
      </c>
      <c r="N48" s="35" t="b">
        <v>0</v>
      </c>
      <c r="O48" s="35" t="b">
        <v>0</v>
      </c>
      <c r="P48" s="35" t="b">
        <v>0</v>
      </c>
      <c r="Q48" s="35" t="b">
        <v>0</v>
      </c>
      <c r="R48" s="35" t="b">
        <v>0</v>
      </c>
      <c r="S48" s="35" t="b">
        <v>0</v>
      </c>
      <c r="T48" s="35" t="b">
        <v>0</v>
      </c>
      <c r="U48" s="35" t="b">
        <v>0</v>
      </c>
      <c r="V48" s="35" t="b">
        <v>0</v>
      </c>
      <c r="W48" s="35" t="b">
        <v>0</v>
      </c>
      <c r="X48" s="35" t="b">
        <v>0</v>
      </c>
      <c r="Y48" s="35" t="b">
        <v>0</v>
      </c>
      <c r="Z48" s="35" t="b">
        <v>0</v>
      </c>
      <c r="AA48" s="35" t="b">
        <v>0</v>
      </c>
      <c r="AB48" s="35" t="b">
        <v>0</v>
      </c>
      <c r="AC48" s="35" t="b">
        <v>0</v>
      </c>
      <c r="AD48" s="35" t="b">
        <v>0</v>
      </c>
      <c r="AE48" s="35" t="b">
        <v>0</v>
      </c>
      <c r="AF48" s="35" t="b">
        <v>0</v>
      </c>
      <c r="AG48" s="35" t="b">
        <v>0</v>
      </c>
      <c r="AH48" s="35" t="b">
        <v>0</v>
      </c>
      <c r="AI48" s="35" t="b">
        <v>0</v>
      </c>
      <c r="AJ48" s="35" t="b">
        <v>0</v>
      </c>
      <c r="AK48" s="35" t="b">
        <v>0</v>
      </c>
      <c r="AL48" s="38" t="str">
        <f t="shared" si="1"/>
        <v>0 dari 31 (0%)</v>
      </c>
    </row>
    <row r="49" ht="22.5" customHeight="1">
      <c r="A49" s="2">
        <v>48.0</v>
      </c>
      <c r="B49" s="11"/>
      <c r="C49" s="22">
        <v>57125.0</v>
      </c>
      <c r="D49" s="7" t="s">
        <v>63</v>
      </c>
      <c r="E49" s="12" t="s">
        <v>112</v>
      </c>
      <c r="F49" s="13"/>
      <c r="G49" s="16" t="b">
        <v>0</v>
      </c>
      <c r="H49" s="16" t="b">
        <v>0</v>
      </c>
      <c r="I49" s="16" t="b">
        <v>0</v>
      </c>
      <c r="J49" s="16" t="b">
        <v>0</v>
      </c>
      <c r="K49" s="16" t="b">
        <v>0</v>
      </c>
      <c r="L49" s="16" t="b">
        <v>0</v>
      </c>
      <c r="M49" s="16" t="b">
        <v>0</v>
      </c>
      <c r="N49" s="16" t="b">
        <v>0</v>
      </c>
      <c r="O49" s="16" t="b">
        <v>0</v>
      </c>
      <c r="P49" s="16" t="b">
        <v>0</v>
      </c>
      <c r="Q49" s="16" t="b">
        <v>0</v>
      </c>
      <c r="R49" s="16" t="b">
        <v>0</v>
      </c>
      <c r="S49" s="16" t="b">
        <v>0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7" t="str">
        <f t="shared" si="1"/>
        <v>0 dari 31 (0%)</v>
      </c>
    </row>
    <row r="50" ht="22.5" customHeight="1">
      <c r="A50" s="10">
        <v>49.0</v>
      </c>
      <c r="B50" s="11"/>
      <c r="C50" s="22">
        <v>60971.0</v>
      </c>
      <c r="D50" s="7" t="s">
        <v>63</v>
      </c>
      <c r="E50" s="12" t="s">
        <v>112</v>
      </c>
      <c r="F50" s="13"/>
      <c r="G50" s="6" t="b">
        <v>0</v>
      </c>
      <c r="H50" s="6" t="b">
        <v>0</v>
      </c>
      <c r="I50" s="6" t="b">
        <v>0</v>
      </c>
      <c r="J50" s="6" t="b">
        <v>0</v>
      </c>
      <c r="K50" s="6" t="b">
        <v>0</v>
      </c>
      <c r="L50" s="6" t="b">
        <v>0</v>
      </c>
      <c r="M50" s="6" t="b">
        <v>0</v>
      </c>
      <c r="N50" s="6" t="b">
        <v>0</v>
      </c>
      <c r="O50" s="6" t="b">
        <v>0</v>
      </c>
      <c r="P50" s="6" t="b">
        <v>0</v>
      </c>
      <c r="Q50" s="6" t="b">
        <v>0</v>
      </c>
      <c r="R50" s="6" t="b">
        <v>0</v>
      </c>
      <c r="S50" s="6" t="b">
        <v>0</v>
      </c>
      <c r="T50" s="6" t="b">
        <v>0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0</v>
      </c>
      <c r="AJ50" s="6" t="b">
        <v>0</v>
      </c>
      <c r="AK50" s="6" t="b">
        <v>0</v>
      </c>
      <c r="AL50" s="9" t="str">
        <f t="shared" si="1"/>
        <v>0 dari 31 (0%)</v>
      </c>
    </row>
    <row r="51" ht="22.5" customHeight="1">
      <c r="A51" s="10">
        <v>50.0</v>
      </c>
      <c r="B51" s="11"/>
      <c r="C51" s="22">
        <v>57811.0</v>
      </c>
      <c r="D51" s="7" t="s">
        <v>63</v>
      </c>
      <c r="E51" s="12" t="s">
        <v>112</v>
      </c>
      <c r="F51" s="13"/>
      <c r="G51" s="6" t="b">
        <v>0</v>
      </c>
      <c r="H51" s="6" t="b">
        <v>0</v>
      </c>
      <c r="I51" s="6" t="b">
        <v>0</v>
      </c>
      <c r="J51" s="6" t="b">
        <v>0</v>
      </c>
      <c r="K51" s="6" t="b">
        <v>0</v>
      </c>
      <c r="L51" s="6" t="b">
        <v>0</v>
      </c>
      <c r="M51" s="6" t="b">
        <v>0</v>
      </c>
      <c r="N51" s="6" t="b">
        <v>0</v>
      </c>
      <c r="O51" s="6" t="b">
        <v>0</v>
      </c>
      <c r="P51" s="6" t="b">
        <v>0</v>
      </c>
      <c r="Q51" s="6" t="b">
        <v>0</v>
      </c>
      <c r="R51" s="6" t="b">
        <v>0</v>
      </c>
      <c r="S51" s="6" t="b">
        <v>0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0 dari 31 (0%)</v>
      </c>
    </row>
    <row r="52" ht="22.5" customHeight="1">
      <c r="A52" s="2">
        <v>51.0</v>
      </c>
      <c r="B52" s="11"/>
      <c r="C52" s="20">
        <v>60954.0</v>
      </c>
      <c r="D52" s="7" t="s">
        <v>63</v>
      </c>
      <c r="E52" s="12" t="s">
        <v>112</v>
      </c>
      <c r="F52" s="13"/>
      <c r="G52" s="6" t="b">
        <v>0</v>
      </c>
      <c r="H52" s="6" t="b">
        <v>0</v>
      </c>
      <c r="I52" s="6" t="b">
        <v>0</v>
      </c>
      <c r="J52" s="6" t="b">
        <v>0</v>
      </c>
      <c r="K52" s="6" t="b">
        <v>0</v>
      </c>
      <c r="L52" s="6" t="b">
        <v>0</v>
      </c>
      <c r="M52" s="6" t="b">
        <v>0</v>
      </c>
      <c r="N52" s="6" t="b">
        <v>0</v>
      </c>
      <c r="O52" s="6" t="b">
        <v>0</v>
      </c>
      <c r="P52" s="6" t="b">
        <v>0</v>
      </c>
      <c r="Q52" s="6" t="b">
        <v>0</v>
      </c>
      <c r="R52" s="6" t="b">
        <v>0</v>
      </c>
      <c r="S52" s="6" t="b">
        <v>0</v>
      </c>
      <c r="T52" s="6" t="b">
        <v>0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0</v>
      </c>
      <c r="AJ52" s="6" t="b">
        <v>0</v>
      </c>
      <c r="AK52" s="6" t="b">
        <v>0</v>
      </c>
      <c r="AL52" s="9" t="str">
        <f t="shared" si="1"/>
        <v>0 dari 31 (0%)</v>
      </c>
    </row>
    <row r="53" ht="22.5" customHeight="1">
      <c r="A53" s="10">
        <v>52.0</v>
      </c>
      <c r="B53" s="11"/>
      <c r="C53" s="20">
        <v>59813.0</v>
      </c>
      <c r="D53" s="7" t="s">
        <v>63</v>
      </c>
      <c r="E53" s="12" t="s">
        <v>112</v>
      </c>
      <c r="F53" s="13"/>
      <c r="G53" s="6" t="b">
        <v>0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  <c r="P53" s="6" t="b">
        <v>0</v>
      </c>
      <c r="Q53" s="6" t="b">
        <v>0</v>
      </c>
      <c r="R53" s="6" t="b">
        <v>0</v>
      </c>
      <c r="S53" s="6" t="b">
        <v>0</v>
      </c>
      <c r="T53" s="6" t="b">
        <v>0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0 dari 31 (0%)</v>
      </c>
    </row>
    <row r="54" ht="22.5" customHeight="1">
      <c r="A54" s="10">
        <v>53.0</v>
      </c>
      <c r="B54" s="11"/>
      <c r="C54" s="20">
        <v>34462.0</v>
      </c>
      <c r="D54" s="7" t="s">
        <v>63</v>
      </c>
      <c r="E54" s="12" t="s">
        <v>112</v>
      </c>
      <c r="F54" s="13"/>
      <c r="G54" s="6" t="b">
        <v>0</v>
      </c>
      <c r="H54" s="6" t="b">
        <v>0</v>
      </c>
      <c r="I54" s="6" t="b">
        <v>0</v>
      </c>
      <c r="J54" s="6" t="b">
        <v>0</v>
      </c>
      <c r="K54" s="6" t="b">
        <v>0</v>
      </c>
      <c r="L54" s="6" t="b">
        <v>0</v>
      </c>
      <c r="M54" s="6" t="b">
        <v>0</v>
      </c>
      <c r="N54" s="6" t="b">
        <v>0</v>
      </c>
      <c r="O54" s="6" t="b">
        <v>0</v>
      </c>
      <c r="P54" s="6" t="b">
        <v>0</v>
      </c>
      <c r="Q54" s="6" t="b">
        <v>0</v>
      </c>
      <c r="R54" s="6" t="b">
        <v>0</v>
      </c>
      <c r="S54" s="6" t="b">
        <v>0</v>
      </c>
      <c r="T54" s="6" t="b">
        <v>0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0</v>
      </c>
      <c r="AJ54" s="6" t="b">
        <v>0</v>
      </c>
      <c r="AK54" s="6" t="b">
        <v>0</v>
      </c>
      <c r="AL54" s="17" t="str">
        <f t="shared" si="1"/>
        <v>0 dari 31 (0%)</v>
      </c>
    </row>
    <row r="55" ht="22.5" customHeight="1">
      <c r="A55" s="2">
        <v>54.0</v>
      </c>
      <c r="B55" s="11"/>
      <c r="C55" s="20">
        <v>46175.0</v>
      </c>
      <c r="D55" s="7" t="s">
        <v>63</v>
      </c>
      <c r="E55" s="12" t="s">
        <v>112</v>
      </c>
      <c r="F55" s="13"/>
      <c r="G55" s="6" t="b">
        <v>0</v>
      </c>
      <c r="H55" s="6" t="b">
        <v>0</v>
      </c>
      <c r="I55" s="6" t="b">
        <v>0</v>
      </c>
      <c r="J55" s="6" t="b">
        <v>0</v>
      </c>
      <c r="K55" s="6" t="b">
        <v>0</v>
      </c>
      <c r="L55" s="6" t="b">
        <v>0</v>
      </c>
      <c r="M55" s="6" t="b">
        <v>0</v>
      </c>
      <c r="N55" s="6" t="b">
        <v>0</v>
      </c>
      <c r="O55" s="6" t="b">
        <v>0</v>
      </c>
      <c r="P55" s="6" t="b">
        <v>0</v>
      </c>
      <c r="Q55" s="6" t="b">
        <v>0</v>
      </c>
      <c r="R55" s="6" t="b">
        <v>0</v>
      </c>
      <c r="S55" s="6" t="b">
        <v>0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0</v>
      </c>
      <c r="AJ55" s="6" t="b">
        <v>0</v>
      </c>
      <c r="AK55" s="6" t="b">
        <v>0</v>
      </c>
      <c r="AL55" s="9" t="str">
        <f t="shared" si="1"/>
        <v>0 dari 31 (0%)</v>
      </c>
    </row>
    <row r="56" ht="22.5" customHeight="1">
      <c r="A56" s="10">
        <v>55.0</v>
      </c>
      <c r="B56" s="11"/>
      <c r="C56" s="22">
        <v>18597.0</v>
      </c>
      <c r="D56" s="7" t="s">
        <v>63</v>
      </c>
      <c r="E56" s="12" t="s">
        <v>112</v>
      </c>
      <c r="F56" s="13"/>
      <c r="G56" s="6" t="b">
        <v>0</v>
      </c>
      <c r="H56" s="6" t="b">
        <v>0</v>
      </c>
      <c r="I56" s="6" t="b">
        <v>0</v>
      </c>
      <c r="J56" s="6" t="b">
        <v>0</v>
      </c>
      <c r="K56" s="6" t="b">
        <v>0</v>
      </c>
      <c r="L56" s="6" t="b">
        <v>0</v>
      </c>
      <c r="M56" s="6" t="b">
        <v>0</v>
      </c>
      <c r="N56" s="6" t="b">
        <v>0</v>
      </c>
      <c r="O56" s="6" t="b">
        <v>0</v>
      </c>
      <c r="P56" s="6" t="b">
        <v>0</v>
      </c>
      <c r="Q56" s="6" t="b">
        <v>0</v>
      </c>
      <c r="R56" s="6" t="b">
        <v>0</v>
      </c>
      <c r="S56" s="6" t="b">
        <v>0</v>
      </c>
      <c r="T56" s="6" t="b">
        <v>0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0</v>
      </c>
      <c r="AJ56" s="6" t="b">
        <v>0</v>
      </c>
      <c r="AK56" s="6" t="b">
        <v>0</v>
      </c>
      <c r="AL56" s="9" t="str">
        <f t="shared" si="1"/>
        <v>0 dari 31 (0%)</v>
      </c>
    </row>
    <row r="57" ht="22.5" customHeight="1">
      <c r="A57" s="10">
        <v>56.0</v>
      </c>
      <c r="B57" s="11"/>
      <c r="C57" s="22">
        <v>60050.0</v>
      </c>
      <c r="D57" s="7" t="s">
        <v>63</v>
      </c>
      <c r="E57" s="12" t="s">
        <v>112</v>
      </c>
      <c r="F57" s="13"/>
      <c r="G57" s="6" t="b">
        <v>0</v>
      </c>
      <c r="H57" s="6" t="b">
        <v>0</v>
      </c>
      <c r="I57" s="6" t="b">
        <v>0</v>
      </c>
      <c r="J57" s="6" t="b">
        <v>0</v>
      </c>
      <c r="K57" s="6" t="b">
        <v>0</v>
      </c>
      <c r="L57" s="6" t="b">
        <v>0</v>
      </c>
      <c r="M57" s="6" t="b">
        <v>0</v>
      </c>
      <c r="N57" s="6" t="b">
        <v>0</v>
      </c>
      <c r="O57" s="6" t="b">
        <v>0</v>
      </c>
      <c r="P57" s="6" t="b">
        <v>0</v>
      </c>
      <c r="Q57" s="6" t="b">
        <v>0</v>
      </c>
      <c r="R57" s="6" t="b">
        <v>0</v>
      </c>
      <c r="S57" s="6" t="b">
        <v>0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0 dari 31 (0%)</v>
      </c>
    </row>
    <row r="58" ht="22.5" customHeight="1">
      <c r="A58" s="2">
        <v>57.0</v>
      </c>
      <c r="B58" s="11"/>
      <c r="C58" s="22">
        <v>60291.0</v>
      </c>
      <c r="D58" s="7" t="s">
        <v>63</v>
      </c>
      <c r="E58" s="12" t="s">
        <v>112</v>
      </c>
      <c r="F58" s="13"/>
      <c r="G58" s="6" t="b">
        <v>0</v>
      </c>
      <c r="H58" s="6" t="b">
        <v>0</v>
      </c>
      <c r="I58" s="6" t="b">
        <v>0</v>
      </c>
      <c r="J58" s="6" t="b">
        <v>0</v>
      </c>
      <c r="K58" s="6" t="b">
        <v>0</v>
      </c>
      <c r="L58" s="6" t="b">
        <v>0</v>
      </c>
      <c r="M58" s="6" t="b">
        <v>0</v>
      </c>
      <c r="N58" s="6" t="b">
        <v>0</v>
      </c>
      <c r="O58" s="6" t="b">
        <v>0</v>
      </c>
      <c r="P58" s="6" t="b">
        <v>0</v>
      </c>
      <c r="Q58" s="6" t="b">
        <v>0</v>
      </c>
      <c r="R58" s="6" t="b">
        <v>0</v>
      </c>
      <c r="S58" s="6" t="b">
        <v>0</v>
      </c>
      <c r="T58" s="6" t="b">
        <v>0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0 dari 31 (0%)</v>
      </c>
    </row>
    <row r="59" ht="22.5" customHeight="1">
      <c r="A59" s="10">
        <v>58.0</v>
      </c>
      <c r="B59" s="11"/>
      <c r="C59" s="22">
        <v>59833.0</v>
      </c>
      <c r="D59" s="7" t="s">
        <v>63</v>
      </c>
      <c r="E59" s="12" t="s">
        <v>112</v>
      </c>
      <c r="F59" s="13"/>
      <c r="G59" s="6" t="b">
        <v>0</v>
      </c>
      <c r="H59" s="6" t="b">
        <v>0</v>
      </c>
      <c r="I59" s="6" t="b">
        <v>0</v>
      </c>
      <c r="J59" s="6" t="b">
        <v>0</v>
      </c>
      <c r="K59" s="6" t="b">
        <v>0</v>
      </c>
      <c r="L59" s="6" t="b">
        <v>0</v>
      </c>
      <c r="M59" s="6" t="b">
        <v>0</v>
      </c>
      <c r="N59" s="6" t="b">
        <v>0</v>
      </c>
      <c r="O59" s="6" t="b">
        <v>0</v>
      </c>
      <c r="P59" s="6" t="b">
        <v>0</v>
      </c>
      <c r="Q59" s="6" t="b">
        <v>0</v>
      </c>
      <c r="R59" s="6" t="b">
        <v>0</v>
      </c>
      <c r="S59" s="6" t="b">
        <v>0</v>
      </c>
      <c r="T59" s="6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1"/>
        <v>0 dari 31 (0%)</v>
      </c>
    </row>
    <row r="60" ht="22.5" customHeight="1">
      <c r="A60" s="10">
        <v>59.0</v>
      </c>
      <c r="B60" s="11"/>
      <c r="C60" s="22">
        <v>61239.0</v>
      </c>
      <c r="D60" s="7" t="s">
        <v>63</v>
      </c>
      <c r="E60" s="12" t="s">
        <v>112</v>
      </c>
      <c r="F60" s="13"/>
      <c r="G60" s="6" t="b">
        <v>0</v>
      </c>
      <c r="H60" s="6" t="b">
        <v>0</v>
      </c>
      <c r="I60" s="6" t="b">
        <v>0</v>
      </c>
      <c r="J60" s="6" t="b">
        <v>0</v>
      </c>
      <c r="K60" s="6" t="b">
        <v>0</v>
      </c>
      <c r="L60" s="6" t="b">
        <v>0</v>
      </c>
      <c r="M60" s="6" t="b">
        <v>0</v>
      </c>
      <c r="N60" s="6" t="b">
        <v>0</v>
      </c>
      <c r="O60" s="6" t="b">
        <v>0</v>
      </c>
      <c r="P60" s="6" t="b">
        <v>0</v>
      </c>
      <c r="Q60" s="6" t="b">
        <v>0</v>
      </c>
      <c r="R60" s="6" t="b">
        <v>0</v>
      </c>
      <c r="S60" s="6" t="b">
        <v>0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0 dari 31 (0%)</v>
      </c>
    </row>
    <row r="61" ht="22.5" customHeight="1">
      <c r="A61" s="2">
        <v>60.0</v>
      </c>
      <c r="B61" s="11"/>
      <c r="C61" s="22">
        <v>57533.0</v>
      </c>
      <c r="D61" s="7" t="s">
        <v>63</v>
      </c>
      <c r="E61" s="12" t="s">
        <v>112</v>
      </c>
      <c r="F61" s="13"/>
      <c r="G61" s="6" t="b">
        <v>0</v>
      </c>
      <c r="H61" s="6" t="b">
        <v>0</v>
      </c>
      <c r="I61" s="6" t="b">
        <v>0</v>
      </c>
      <c r="J61" s="6" t="b">
        <v>0</v>
      </c>
      <c r="K61" s="6" t="b">
        <v>0</v>
      </c>
      <c r="L61" s="6" t="b">
        <v>0</v>
      </c>
      <c r="M61" s="6" t="b">
        <v>0</v>
      </c>
      <c r="N61" s="6" t="b">
        <v>0</v>
      </c>
      <c r="O61" s="6" t="b">
        <v>0</v>
      </c>
      <c r="P61" s="6" t="b">
        <v>0</v>
      </c>
      <c r="Q61" s="6" t="b">
        <v>0</v>
      </c>
      <c r="R61" s="6" t="b">
        <v>0</v>
      </c>
      <c r="S61" s="6" t="b">
        <v>0</v>
      </c>
      <c r="T61" s="6" t="b">
        <v>0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1"/>
        <v>0 dari 31 (0%)</v>
      </c>
    </row>
    <row r="62" ht="22.5" customHeight="1">
      <c r="A62" s="10">
        <v>61.0</v>
      </c>
      <c r="B62" s="11"/>
      <c r="C62" s="22">
        <v>60677.0</v>
      </c>
      <c r="D62" s="7" t="s">
        <v>63</v>
      </c>
      <c r="E62" s="12" t="s">
        <v>112</v>
      </c>
      <c r="F62" s="13"/>
      <c r="G62" s="6" t="b">
        <v>0</v>
      </c>
      <c r="H62" s="6" t="b">
        <v>0</v>
      </c>
      <c r="I62" s="6" t="b">
        <v>0</v>
      </c>
      <c r="J62" s="6" t="b">
        <v>0</v>
      </c>
      <c r="K62" s="6" t="b">
        <v>0</v>
      </c>
      <c r="L62" s="6" t="b">
        <v>0</v>
      </c>
      <c r="M62" s="6" t="b">
        <v>0</v>
      </c>
      <c r="N62" s="6" t="b">
        <v>0</v>
      </c>
      <c r="O62" s="6" t="b">
        <v>0</v>
      </c>
      <c r="P62" s="6" t="b">
        <v>0</v>
      </c>
      <c r="Q62" s="6" t="b">
        <v>0</v>
      </c>
      <c r="R62" s="6" t="b">
        <v>0</v>
      </c>
      <c r="S62" s="6" t="b">
        <v>0</v>
      </c>
      <c r="T62" s="6" t="b">
        <v>0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0 dari 31 (0%)</v>
      </c>
    </row>
    <row r="63" ht="22.5" customHeight="1">
      <c r="A63" s="10">
        <v>62.0</v>
      </c>
      <c r="B63" s="11"/>
      <c r="C63" s="22">
        <v>46047.0</v>
      </c>
      <c r="D63" s="7" t="s">
        <v>63</v>
      </c>
      <c r="E63" s="12" t="s">
        <v>112</v>
      </c>
      <c r="F63" s="13"/>
      <c r="G63" s="6" t="b">
        <v>0</v>
      </c>
      <c r="H63" s="6" t="b">
        <v>0</v>
      </c>
      <c r="I63" s="6" t="b">
        <v>0</v>
      </c>
      <c r="J63" s="6" t="b">
        <v>0</v>
      </c>
      <c r="K63" s="6" t="b">
        <v>0</v>
      </c>
      <c r="L63" s="6" t="b">
        <v>0</v>
      </c>
      <c r="M63" s="6" t="b">
        <v>0</v>
      </c>
      <c r="N63" s="6" t="b">
        <v>0</v>
      </c>
      <c r="O63" s="6" t="b">
        <v>0</v>
      </c>
      <c r="P63" s="6" t="b">
        <v>0</v>
      </c>
      <c r="Q63" s="6" t="b">
        <v>0</v>
      </c>
      <c r="R63" s="6" t="b">
        <v>0</v>
      </c>
      <c r="S63" s="6" t="b">
        <v>0</v>
      </c>
      <c r="T63" s="6" t="b">
        <v>0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0 dari 31 (0%)</v>
      </c>
    </row>
    <row r="64" ht="22.5" customHeight="1">
      <c r="A64" s="2">
        <v>63.0</v>
      </c>
      <c r="B64" s="11"/>
      <c r="C64" s="22">
        <v>60959.0</v>
      </c>
      <c r="D64" s="7" t="s">
        <v>63</v>
      </c>
      <c r="E64" s="12" t="s">
        <v>112</v>
      </c>
      <c r="F64" s="13"/>
      <c r="G64" s="6" t="b">
        <v>0</v>
      </c>
      <c r="H64" s="6" t="b">
        <v>0</v>
      </c>
      <c r="I64" s="6" t="b">
        <v>0</v>
      </c>
      <c r="J64" s="6" t="b">
        <v>0</v>
      </c>
      <c r="K64" s="6" t="b">
        <v>0</v>
      </c>
      <c r="L64" s="6" t="b">
        <v>0</v>
      </c>
      <c r="M64" s="6" t="b">
        <v>0</v>
      </c>
      <c r="N64" s="6" t="b">
        <v>0</v>
      </c>
      <c r="O64" s="6" t="b">
        <v>0</v>
      </c>
      <c r="P64" s="6" t="b">
        <v>0</v>
      </c>
      <c r="Q64" s="6" t="b">
        <v>0</v>
      </c>
      <c r="R64" s="6" t="b">
        <v>0</v>
      </c>
      <c r="S64" s="6" t="b">
        <v>0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1"/>
        <v>0 dari 31 (0%)</v>
      </c>
    </row>
    <row r="65" ht="22.5" customHeight="1">
      <c r="A65" s="10">
        <v>64.0</v>
      </c>
      <c r="B65" s="11"/>
      <c r="C65" s="22">
        <v>35178.0</v>
      </c>
      <c r="D65" s="7" t="s">
        <v>63</v>
      </c>
      <c r="E65" s="12" t="s">
        <v>112</v>
      </c>
      <c r="F65" s="13"/>
      <c r="G65" s="6" t="b">
        <v>0</v>
      </c>
      <c r="H65" s="6" t="b">
        <v>0</v>
      </c>
      <c r="I65" s="6" t="b">
        <v>0</v>
      </c>
      <c r="J65" s="6" t="b">
        <v>0</v>
      </c>
      <c r="K65" s="6" t="b">
        <v>0</v>
      </c>
      <c r="L65" s="6" t="b">
        <v>0</v>
      </c>
      <c r="M65" s="6" t="b">
        <v>0</v>
      </c>
      <c r="N65" s="6" t="b">
        <v>0</v>
      </c>
      <c r="O65" s="6" t="b">
        <v>0</v>
      </c>
      <c r="P65" s="6" t="b">
        <v>0</v>
      </c>
      <c r="Q65" s="6" t="b">
        <v>0</v>
      </c>
      <c r="R65" s="6" t="b">
        <v>0</v>
      </c>
      <c r="S65" s="6" t="b">
        <v>0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0</v>
      </c>
      <c r="AJ65" s="6" t="b">
        <v>0</v>
      </c>
      <c r="AK65" s="6" t="b">
        <v>0</v>
      </c>
      <c r="AL65" s="9" t="str">
        <f t="shared" si="1"/>
        <v>0 dari 31 (0%)</v>
      </c>
    </row>
    <row r="66" ht="22.5" customHeight="1">
      <c r="A66" s="10">
        <v>65.0</v>
      </c>
      <c r="B66" s="11"/>
      <c r="C66" s="22">
        <v>30445.0</v>
      </c>
      <c r="D66" s="7" t="s">
        <v>63</v>
      </c>
      <c r="E66" s="12" t="s">
        <v>112</v>
      </c>
      <c r="F66" s="13"/>
      <c r="G66" s="6" t="b">
        <v>0</v>
      </c>
      <c r="H66" s="6" t="b">
        <v>0</v>
      </c>
      <c r="I66" s="6" t="b">
        <v>0</v>
      </c>
      <c r="J66" s="6" t="b">
        <v>0</v>
      </c>
      <c r="K66" s="6" t="b">
        <v>0</v>
      </c>
      <c r="L66" s="6" t="b">
        <v>0</v>
      </c>
      <c r="M66" s="6" t="b">
        <v>0</v>
      </c>
      <c r="N66" s="6" t="b">
        <v>0</v>
      </c>
      <c r="O66" s="6" t="b">
        <v>0</v>
      </c>
      <c r="P66" s="6" t="b">
        <v>0</v>
      </c>
      <c r="Q66" s="6" t="b">
        <v>0</v>
      </c>
      <c r="R66" s="6" t="b">
        <v>0</v>
      </c>
      <c r="S66" s="6" t="b">
        <v>0</v>
      </c>
      <c r="T66" s="6" t="b">
        <v>0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0</v>
      </c>
      <c r="AJ66" s="6" t="b">
        <v>0</v>
      </c>
      <c r="AK66" s="6" t="b">
        <v>0</v>
      </c>
      <c r="AL66" s="17" t="str">
        <f t="shared" si="1"/>
        <v>0 dari 31 (0%)</v>
      </c>
    </row>
    <row r="67" ht="22.5" customHeight="1">
      <c r="A67" s="2">
        <v>66.0</v>
      </c>
      <c r="B67" s="11"/>
      <c r="C67" s="22">
        <v>60002.0</v>
      </c>
      <c r="D67" s="7" t="s">
        <v>63</v>
      </c>
      <c r="E67" s="12" t="s">
        <v>112</v>
      </c>
      <c r="F67" s="13"/>
      <c r="G67" s="6" t="b">
        <v>0</v>
      </c>
      <c r="H67" s="6" t="b">
        <v>0</v>
      </c>
      <c r="I67" s="6" t="b">
        <v>0</v>
      </c>
      <c r="J67" s="6" t="b">
        <v>0</v>
      </c>
      <c r="K67" s="6" t="b">
        <v>0</v>
      </c>
      <c r="L67" s="6" t="b">
        <v>0</v>
      </c>
      <c r="M67" s="6" t="b">
        <v>0</v>
      </c>
      <c r="N67" s="6" t="b">
        <v>0</v>
      </c>
      <c r="O67" s="6" t="b">
        <v>0</v>
      </c>
      <c r="P67" s="6" t="b">
        <v>0</v>
      </c>
      <c r="Q67" s="6" t="b">
        <v>0</v>
      </c>
      <c r="R67" s="6" t="b">
        <v>0</v>
      </c>
      <c r="S67" s="6" t="b">
        <v>0</v>
      </c>
      <c r="T67" s="6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1"/>
        <v>0 dari 31 (0%)</v>
      </c>
    </row>
    <row r="68" ht="22.5" customHeight="1">
      <c r="A68" s="10">
        <v>67.0</v>
      </c>
      <c r="B68" s="11"/>
      <c r="C68" s="22">
        <v>28905.0</v>
      </c>
      <c r="D68" s="7" t="s">
        <v>63</v>
      </c>
      <c r="E68" s="12" t="s">
        <v>112</v>
      </c>
      <c r="F68" s="13"/>
      <c r="G68" s="6" t="b">
        <v>0</v>
      </c>
      <c r="H68" s="6" t="b">
        <v>0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0</v>
      </c>
      <c r="R68" s="6" t="b">
        <v>0</v>
      </c>
      <c r="S68" s="6" t="b">
        <v>0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0 dari 31 (0%)</v>
      </c>
    </row>
    <row r="69" ht="22.5" customHeight="1">
      <c r="A69" s="10">
        <v>68.0</v>
      </c>
      <c r="B69" s="11"/>
      <c r="C69" s="22">
        <v>61108.0</v>
      </c>
      <c r="D69" s="7" t="s">
        <v>63</v>
      </c>
      <c r="E69" s="12" t="s">
        <v>112</v>
      </c>
      <c r="F69" s="13"/>
      <c r="G69" s="6" t="b">
        <v>0</v>
      </c>
      <c r="H69" s="6" t="b">
        <v>0</v>
      </c>
      <c r="I69" s="6" t="b">
        <v>0</v>
      </c>
      <c r="J69" s="6" t="b">
        <v>0</v>
      </c>
      <c r="K69" s="6" t="b">
        <v>0</v>
      </c>
      <c r="L69" s="6" t="b">
        <v>0</v>
      </c>
      <c r="M69" s="6" t="b">
        <v>0</v>
      </c>
      <c r="N69" s="6" t="b">
        <v>0</v>
      </c>
      <c r="O69" s="6" t="b">
        <v>0</v>
      </c>
      <c r="P69" s="6" t="b">
        <v>0</v>
      </c>
      <c r="Q69" s="6" t="b">
        <v>0</v>
      </c>
      <c r="R69" s="6" t="b">
        <v>0</v>
      </c>
      <c r="S69" s="6" t="b">
        <v>0</v>
      </c>
      <c r="T69" s="6" t="b">
        <v>0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0</v>
      </c>
      <c r="AJ69" s="6" t="b">
        <v>0</v>
      </c>
      <c r="AK69" s="6" t="b">
        <v>0</v>
      </c>
      <c r="AL69" s="17" t="str">
        <f t="shared" si="1"/>
        <v>0 dari 31 (0%)</v>
      </c>
    </row>
    <row r="70" ht="22.5" customHeight="1">
      <c r="A70" s="2">
        <v>69.0</v>
      </c>
      <c r="B70" s="11"/>
      <c r="C70" s="22">
        <v>40843.0</v>
      </c>
      <c r="D70" s="21" t="s">
        <v>54</v>
      </c>
      <c r="E70" s="7" t="s">
        <v>82</v>
      </c>
      <c r="F70" s="14" t="s">
        <v>50</v>
      </c>
      <c r="G70" s="6" t="b">
        <v>0</v>
      </c>
      <c r="H70" s="6" t="b">
        <v>0</v>
      </c>
      <c r="I70" s="6" t="b">
        <v>0</v>
      </c>
      <c r="J70" s="6" t="b">
        <v>0</v>
      </c>
      <c r="K70" s="6" t="b">
        <v>0</v>
      </c>
      <c r="L70" s="6" t="b">
        <v>0</v>
      </c>
      <c r="M70" s="6" t="b">
        <v>0</v>
      </c>
      <c r="N70" s="6" t="b">
        <v>0</v>
      </c>
      <c r="O70" s="6" t="b">
        <v>0</v>
      </c>
      <c r="P70" s="6" t="b">
        <v>0</v>
      </c>
      <c r="Q70" s="6" t="b">
        <v>0</v>
      </c>
      <c r="R70" s="6" t="b">
        <v>0</v>
      </c>
      <c r="S70" s="6" t="b">
        <v>0</v>
      </c>
      <c r="T70" s="6" t="b">
        <v>0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0 dari 31 (0%)</v>
      </c>
    </row>
    <row r="71" ht="22.5" customHeight="1">
      <c r="A71" s="10">
        <v>70.0</v>
      </c>
      <c r="B71" s="11"/>
      <c r="C71" s="22">
        <v>59529.0</v>
      </c>
      <c r="D71" s="21" t="s">
        <v>54</v>
      </c>
      <c r="E71" s="7" t="s">
        <v>82</v>
      </c>
      <c r="F71" s="14" t="s">
        <v>50</v>
      </c>
      <c r="G71" s="6" t="b">
        <v>0</v>
      </c>
      <c r="H71" s="6" t="b">
        <v>0</v>
      </c>
      <c r="I71" s="6" t="b">
        <v>0</v>
      </c>
      <c r="J71" s="6" t="b">
        <v>0</v>
      </c>
      <c r="K71" s="6" t="b">
        <v>0</v>
      </c>
      <c r="L71" s="6" t="b">
        <v>0</v>
      </c>
      <c r="M71" s="6" t="b">
        <v>0</v>
      </c>
      <c r="N71" s="6" t="b">
        <v>0</v>
      </c>
      <c r="O71" s="6" t="b">
        <v>0</v>
      </c>
      <c r="P71" s="6" t="b">
        <v>0</v>
      </c>
      <c r="Q71" s="6" t="b">
        <v>0</v>
      </c>
      <c r="R71" s="6" t="b">
        <v>0</v>
      </c>
      <c r="S71" s="6" t="b">
        <v>0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0 dari 31 (0%)</v>
      </c>
    </row>
    <row r="72" ht="22.5" customHeight="1">
      <c r="A72" s="10">
        <v>71.0</v>
      </c>
      <c r="B72" s="11"/>
      <c r="C72" s="20">
        <v>61097.0</v>
      </c>
      <c r="D72" s="12" t="s">
        <v>51</v>
      </c>
      <c r="E72" s="12" t="s">
        <v>61</v>
      </c>
      <c r="F72" s="15" t="s">
        <v>50</v>
      </c>
      <c r="G72" s="6" t="b">
        <v>0</v>
      </c>
      <c r="H72" s="6" t="b">
        <v>0</v>
      </c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6" t="b">
        <v>0</v>
      </c>
      <c r="R72" s="6" t="b">
        <v>0</v>
      </c>
      <c r="S72" s="6" t="b">
        <v>0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0</v>
      </c>
      <c r="AJ72" s="6" t="b">
        <v>0</v>
      </c>
      <c r="AK72" s="6" t="b">
        <v>0</v>
      </c>
      <c r="AL72" s="17" t="str">
        <f t="shared" si="1"/>
        <v>0 dari 31 (0%)</v>
      </c>
    </row>
    <row r="73" ht="22.5" customHeight="1">
      <c r="A73" s="2">
        <v>72.0</v>
      </c>
      <c r="B73" s="11"/>
      <c r="C73" s="20">
        <v>61111.0</v>
      </c>
      <c r="D73" s="12" t="s">
        <v>51</v>
      </c>
      <c r="E73" s="12" t="s">
        <v>61</v>
      </c>
      <c r="F73" s="15" t="s">
        <v>50</v>
      </c>
      <c r="G73" s="6" t="b">
        <v>0</v>
      </c>
      <c r="H73" s="6" t="b">
        <v>0</v>
      </c>
      <c r="I73" s="6" t="b">
        <v>0</v>
      </c>
      <c r="J73" s="6" t="b">
        <v>0</v>
      </c>
      <c r="K73" s="6" t="b">
        <v>0</v>
      </c>
      <c r="L73" s="6" t="b">
        <v>0</v>
      </c>
      <c r="M73" s="6" t="b">
        <v>0</v>
      </c>
      <c r="N73" s="6" t="b">
        <v>0</v>
      </c>
      <c r="O73" s="6" t="b">
        <v>0</v>
      </c>
      <c r="P73" s="6" t="b">
        <v>0</v>
      </c>
      <c r="Q73" s="6" t="b">
        <v>0</v>
      </c>
      <c r="R73" s="6" t="b">
        <v>0</v>
      </c>
      <c r="S73" s="6" t="b">
        <v>0</v>
      </c>
      <c r="T73" s="6" t="b">
        <v>0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0 dari 31 (0%)</v>
      </c>
    </row>
    <row r="74" ht="22.5" customHeight="1">
      <c r="A74" s="10">
        <v>73.0</v>
      </c>
      <c r="B74" s="11"/>
      <c r="C74" s="20">
        <v>60297.0</v>
      </c>
      <c r="D74" s="12" t="s">
        <v>51</v>
      </c>
      <c r="E74" s="12" t="s">
        <v>61</v>
      </c>
      <c r="F74" s="15" t="s">
        <v>50</v>
      </c>
      <c r="G74" s="6" t="b">
        <v>0</v>
      </c>
      <c r="H74" s="6" t="b">
        <v>0</v>
      </c>
      <c r="I74" s="6" t="b">
        <v>0</v>
      </c>
      <c r="J74" s="6" t="b">
        <v>0</v>
      </c>
      <c r="K74" s="6" t="b">
        <v>0</v>
      </c>
      <c r="L74" s="6" t="b">
        <v>0</v>
      </c>
      <c r="M74" s="6" t="b">
        <v>0</v>
      </c>
      <c r="N74" s="6" t="b">
        <v>0</v>
      </c>
      <c r="O74" s="6" t="b">
        <v>0</v>
      </c>
      <c r="P74" s="6" t="b">
        <v>0</v>
      </c>
      <c r="Q74" s="6" t="b">
        <v>0</v>
      </c>
      <c r="R74" s="6" t="b">
        <v>0</v>
      </c>
      <c r="S74" s="6" t="b">
        <v>0</v>
      </c>
      <c r="T74" s="6" t="b">
        <v>0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0</v>
      </c>
      <c r="AJ74" s="6" t="b">
        <v>0</v>
      </c>
      <c r="AK74" s="6" t="b">
        <v>0</v>
      </c>
      <c r="AL74" s="9" t="str">
        <f t="shared" si="1"/>
        <v>0 dari 31 (0%)</v>
      </c>
    </row>
    <row r="75" ht="22.5" customHeight="1">
      <c r="A75" s="10">
        <v>74.0</v>
      </c>
      <c r="B75" s="11"/>
      <c r="C75" s="20">
        <v>61238.0</v>
      </c>
      <c r="D75" s="12" t="s">
        <v>51</v>
      </c>
      <c r="E75" s="12" t="s">
        <v>61</v>
      </c>
      <c r="F75" s="15" t="s">
        <v>50</v>
      </c>
      <c r="G75" s="6" t="b">
        <v>0</v>
      </c>
      <c r="H75" s="6" t="b">
        <v>0</v>
      </c>
      <c r="I75" s="6" t="b">
        <v>0</v>
      </c>
      <c r="J75" s="6" t="b">
        <v>0</v>
      </c>
      <c r="K75" s="6" t="b">
        <v>0</v>
      </c>
      <c r="L75" s="6" t="b">
        <v>0</v>
      </c>
      <c r="M75" s="6" t="b">
        <v>0</v>
      </c>
      <c r="N75" s="6" t="b">
        <v>0</v>
      </c>
      <c r="O75" s="6" t="b">
        <v>0</v>
      </c>
      <c r="P75" s="6" t="b">
        <v>0</v>
      </c>
      <c r="Q75" s="6" t="b">
        <v>0</v>
      </c>
      <c r="R75" s="6" t="b">
        <v>0</v>
      </c>
      <c r="S75" s="6" t="b">
        <v>0</v>
      </c>
      <c r="T75" s="6" t="b">
        <v>0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0 dari 31 (0%)</v>
      </c>
    </row>
    <row r="76" ht="22.5" customHeight="1">
      <c r="A76" s="2">
        <v>75.0</v>
      </c>
      <c r="B76" s="11"/>
      <c r="C76" s="20">
        <v>61060.0</v>
      </c>
      <c r="D76" s="12" t="s">
        <v>63</v>
      </c>
      <c r="E76" s="12" t="s">
        <v>87</v>
      </c>
      <c r="F76" s="13"/>
      <c r="G76" s="6" t="b">
        <v>0</v>
      </c>
      <c r="H76" s="6" t="b">
        <v>0</v>
      </c>
      <c r="I76" s="6" t="b">
        <v>0</v>
      </c>
      <c r="J76" s="6" t="b">
        <v>0</v>
      </c>
      <c r="K76" s="6" t="b">
        <v>0</v>
      </c>
      <c r="L76" s="6" t="b">
        <v>0</v>
      </c>
      <c r="M76" s="6" t="b">
        <v>0</v>
      </c>
      <c r="N76" s="6" t="b">
        <v>0</v>
      </c>
      <c r="O76" s="6" t="b">
        <v>0</v>
      </c>
      <c r="P76" s="6" t="b">
        <v>0</v>
      </c>
      <c r="Q76" s="6" t="b">
        <v>0</v>
      </c>
      <c r="R76" s="6" t="b">
        <v>0</v>
      </c>
      <c r="S76" s="6" t="b">
        <v>0</v>
      </c>
      <c r="T76" s="6" t="b">
        <v>0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0</v>
      </c>
      <c r="AJ76" s="6" t="b">
        <v>0</v>
      </c>
      <c r="AK76" s="6" t="b">
        <v>0</v>
      </c>
      <c r="AL76" s="9" t="str">
        <f t="shared" si="1"/>
        <v>0 dari 31 (0%)</v>
      </c>
    </row>
    <row r="77" ht="22.5" customHeight="1">
      <c r="A77" s="10">
        <v>76.0</v>
      </c>
      <c r="B77" s="11"/>
      <c r="C77" s="22">
        <v>30475.0</v>
      </c>
      <c r="D77" s="12" t="s">
        <v>63</v>
      </c>
      <c r="E77" s="12" t="s">
        <v>112</v>
      </c>
      <c r="F77" s="13"/>
      <c r="G77" s="6" t="b">
        <v>0</v>
      </c>
      <c r="H77" s="6" t="b">
        <v>0</v>
      </c>
      <c r="I77" s="6" t="b">
        <v>0</v>
      </c>
      <c r="J77" s="6" t="b">
        <v>0</v>
      </c>
      <c r="K77" s="6" t="b">
        <v>0</v>
      </c>
      <c r="L77" s="6" t="b">
        <v>0</v>
      </c>
      <c r="M77" s="6" t="b">
        <v>0</v>
      </c>
      <c r="N77" s="6" t="b">
        <v>0</v>
      </c>
      <c r="O77" s="6" t="b">
        <v>0</v>
      </c>
      <c r="P77" s="6" t="b">
        <v>0</v>
      </c>
      <c r="Q77" s="6" t="b">
        <v>0</v>
      </c>
      <c r="R77" s="6" t="b">
        <v>0</v>
      </c>
      <c r="S77" s="6" t="b">
        <v>0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0 dari 31 (0%)</v>
      </c>
    </row>
    <row r="78" ht="22.5" customHeight="1">
      <c r="A78" s="10">
        <v>77.0</v>
      </c>
      <c r="B78" s="11"/>
      <c r="C78" s="22">
        <v>60059.0</v>
      </c>
      <c r="D78" s="12" t="s">
        <v>63</v>
      </c>
      <c r="E78" s="12" t="s">
        <v>112</v>
      </c>
      <c r="F78" s="13"/>
      <c r="G78" s="6" t="b">
        <v>0</v>
      </c>
      <c r="H78" s="6" t="b">
        <v>0</v>
      </c>
      <c r="I78" s="6" t="b">
        <v>0</v>
      </c>
      <c r="J78" s="6" t="b">
        <v>0</v>
      </c>
      <c r="K78" s="6" t="b">
        <v>0</v>
      </c>
      <c r="L78" s="6" t="b">
        <v>0</v>
      </c>
      <c r="M78" s="6" t="b">
        <v>0</v>
      </c>
      <c r="N78" s="6" t="b">
        <v>0</v>
      </c>
      <c r="O78" s="6" t="b">
        <v>0</v>
      </c>
      <c r="P78" s="6" t="b">
        <v>0</v>
      </c>
      <c r="Q78" s="6" t="b">
        <v>0</v>
      </c>
      <c r="R78" s="6" t="b">
        <v>0</v>
      </c>
      <c r="S78" s="6" t="b">
        <v>0</v>
      </c>
      <c r="T78" s="6" t="b">
        <v>0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0</v>
      </c>
      <c r="AJ78" s="6" t="b">
        <v>0</v>
      </c>
      <c r="AK78" s="6" t="b">
        <v>0</v>
      </c>
      <c r="AL78" s="17" t="str">
        <f t="shared" si="1"/>
        <v>0 dari 31 (0%)</v>
      </c>
    </row>
    <row r="79" ht="22.5" customHeight="1">
      <c r="A79" s="2">
        <v>78.0</v>
      </c>
      <c r="B79" s="11"/>
      <c r="C79" s="22">
        <v>58069.0</v>
      </c>
      <c r="D79" s="12" t="s">
        <v>63</v>
      </c>
      <c r="E79" s="12" t="s">
        <v>87</v>
      </c>
      <c r="F79" s="13"/>
      <c r="G79" s="6" t="b">
        <v>0</v>
      </c>
      <c r="H79" s="6" t="b">
        <v>0</v>
      </c>
      <c r="I79" s="6" t="b">
        <v>0</v>
      </c>
      <c r="J79" s="6" t="b">
        <v>0</v>
      </c>
      <c r="K79" s="6" t="b">
        <v>0</v>
      </c>
      <c r="L79" s="6" t="b">
        <v>0</v>
      </c>
      <c r="M79" s="6" t="b">
        <v>0</v>
      </c>
      <c r="N79" s="6" t="b">
        <v>0</v>
      </c>
      <c r="O79" s="6" t="b">
        <v>0</v>
      </c>
      <c r="P79" s="6" t="b">
        <v>0</v>
      </c>
      <c r="Q79" s="6" t="b">
        <v>0</v>
      </c>
      <c r="R79" s="6" t="b">
        <v>0</v>
      </c>
      <c r="S79" s="6" t="b">
        <v>0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0 dari 31 (0%)</v>
      </c>
    </row>
    <row r="80" ht="22.5" customHeight="1">
      <c r="A80" s="10">
        <v>79.0</v>
      </c>
      <c r="B80" s="11"/>
      <c r="C80" s="22">
        <v>56633.0</v>
      </c>
      <c r="D80" s="12" t="s">
        <v>63</v>
      </c>
      <c r="E80" s="12" t="s">
        <v>112</v>
      </c>
      <c r="F80" s="13"/>
      <c r="G80" s="6" t="b">
        <v>0</v>
      </c>
      <c r="H80" s="6" t="b">
        <v>0</v>
      </c>
      <c r="I80" s="6" t="b">
        <v>0</v>
      </c>
      <c r="J80" s="6" t="b">
        <v>0</v>
      </c>
      <c r="K80" s="6" t="b">
        <v>0</v>
      </c>
      <c r="L80" s="6" t="b">
        <v>0</v>
      </c>
      <c r="M80" s="6" t="b">
        <v>0</v>
      </c>
      <c r="N80" s="6" t="b">
        <v>0</v>
      </c>
      <c r="O80" s="6" t="b">
        <v>0</v>
      </c>
      <c r="P80" s="6" t="b">
        <v>0</v>
      </c>
      <c r="Q80" s="6" t="b">
        <v>0</v>
      </c>
      <c r="R80" s="6" t="b">
        <v>0</v>
      </c>
      <c r="S80" s="6" t="b">
        <v>0</v>
      </c>
      <c r="T80" s="6" t="b">
        <v>0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0</v>
      </c>
      <c r="AJ80" s="6" t="b">
        <v>0</v>
      </c>
      <c r="AK80" s="6" t="b">
        <v>0</v>
      </c>
      <c r="AL80" s="9" t="str">
        <f t="shared" si="1"/>
        <v>0 dari 31 (0%)</v>
      </c>
    </row>
    <row r="81" ht="22.5" customHeight="1">
      <c r="A81" s="10">
        <v>80.0</v>
      </c>
      <c r="B81" s="11"/>
      <c r="C81" s="22">
        <v>44523.0</v>
      </c>
      <c r="D81" s="12" t="s">
        <v>63</v>
      </c>
      <c r="E81" s="12" t="s">
        <v>112</v>
      </c>
      <c r="F81" s="13"/>
      <c r="G81" s="6" t="b">
        <v>0</v>
      </c>
      <c r="H81" s="6" t="b">
        <v>0</v>
      </c>
      <c r="I81" s="6" t="b">
        <v>0</v>
      </c>
      <c r="J81" s="6" t="b">
        <v>0</v>
      </c>
      <c r="K81" s="6" t="b">
        <v>0</v>
      </c>
      <c r="L81" s="6" t="b">
        <v>0</v>
      </c>
      <c r="M81" s="6" t="b">
        <v>0</v>
      </c>
      <c r="N81" s="6" t="b">
        <v>0</v>
      </c>
      <c r="O81" s="6" t="b">
        <v>0</v>
      </c>
      <c r="P81" s="6" t="b">
        <v>0</v>
      </c>
      <c r="Q81" s="6" t="b">
        <v>0</v>
      </c>
      <c r="R81" s="6" t="b">
        <v>0</v>
      </c>
      <c r="S81" s="6" t="b">
        <v>0</v>
      </c>
      <c r="T81" s="6" t="b">
        <v>0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0 dari 31 (0%)</v>
      </c>
    </row>
    <row r="82" ht="22.5" customHeight="1">
      <c r="A82" s="2">
        <v>81.0</v>
      </c>
      <c r="B82" s="11"/>
      <c r="C82" s="20">
        <v>60054.0</v>
      </c>
      <c r="D82" s="12" t="s">
        <v>63</v>
      </c>
      <c r="E82" s="12" t="s">
        <v>87</v>
      </c>
      <c r="F82" s="13"/>
      <c r="G82" s="6" t="b">
        <v>0</v>
      </c>
      <c r="H82" s="6" t="b">
        <v>0</v>
      </c>
      <c r="I82" s="6" t="b">
        <v>0</v>
      </c>
      <c r="J82" s="6" t="b">
        <v>0</v>
      </c>
      <c r="K82" s="6" t="b">
        <v>0</v>
      </c>
      <c r="L82" s="6" t="b">
        <v>0</v>
      </c>
      <c r="M82" s="6" t="b">
        <v>0</v>
      </c>
      <c r="N82" s="6" t="b">
        <v>0</v>
      </c>
      <c r="O82" s="6" t="b">
        <v>0</v>
      </c>
      <c r="P82" s="6" t="b">
        <v>0</v>
      </c>
      <c r="Q82" s="6" t="b">
        <v>0</v>
      </c>
      <c r="R82" s="6" t="b">
        <v>0</v>
      </c>
      <c r="S82" s="6" t="b">
        <v>0</v>
      </c>
      <c r="T82" s="6" t="b">
        <v>0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0</v>
      </c>
      <c r="AJ82" s="6" t="b">
        <v>0</v>
      </c>
      <c r="AK82" s="6" t="b">
        <v>0</v>
      </c>
      <c r="AL82" s="9" t="str">
        <f t="shared" si="1"/>
        <v>0 dari 31 (0%)</v>
      </c>
    </row>
    <row r="83" ht="22.5" customHeight="1">
      <c r="A83" s="10">
        <v>82.0</v>
      </c>
      <c r="B83" s="11"/>
      <c r="C83" s="20">
        <v>60814.0</v>
      </c>
      <c r="D83" s="12" t="s">
        <v>63</v>
      </c>
      <c r="E83" s="12" t="s">
        <v>73</v>
      </c>
      <c r="F83" s="13"/>
      <c r="G83" s="6" t="b">
        <v>0</v>
      </c>
      <c r="H83" s="6" t="b">
        <v>0</v>
      </c>
      <c r="I83" s="6" t="b">
        <v>0</v>
      </c>
      <c r="J83" s="6" t="b">
        <v>0</v>
      </c>
      <c r="K83" s="6" t="b">
        <v>0</v>
      </c>
      <c r="L83" s="6" t="b">
        <v>0</v>
      </c>
      <c r="M83" s="6" t="b">
        <v>0</v>
      </c>
      <c r="N83" s="6" t="b">
        <v>0</v>
      </c>
      <c r="O83" s="6" t="b">
        <v>0</v>
      </c>
      <c r="P83" s="6" t="b">
        <v>0</v>
      </c>
      <c r="Q83" s="6" t="b">
        <v>0</v>
      </c>
      <c r="R83" s="6" t="b">
        <v>0</v>
      </c>
      <c r="S83" s="6" t="b">
        <v>0</v>
      </c>
      <c r="T83" s="6" t="b">
        <v>0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0</v>
      </c>
      <c r="AJ83" s="6" t="b">
        <v>0</v>
      </c>
      <c r="AK83" s="6" t="b">
        <v>0</v>
      </c>
      <c r="AL83" s="9" t="str">
        <f t="shared" si="1"/>
        <v>0 dari 31 (0%)</v>
      </c>
    </row>
    <row r="84" ht="22.5" customHeight="1">
      <c r="A84" s="10">
        <v>83.0</v>
      </c>
      <c r="B84" s="11"/>
      <c r="C84" s="20">
        <v>59997.0</v>
      </c>
      <c r="D84" s="12" t="s">
        <v>63</v>
      </c>
      <c r="E84" s="12" t="s">
        <v>73</v>
      </c>
      <c r="F84" s="13"/>
      <c r="G84" s="6" t="b">
        <v>0</v>
      </c>
      <c r="H84" s="6" t="b">
        <v>0</v>
      </c>
      <c r="I84" s="6" t="b">
        <v>0</v>
      </c>
      <c r="J84" s="6" t="b">
        <v>0</v>
      </c>
      <c r="K84" s="6" t="b">
        <v>0</v>
      </c>
      <c r="L84" s="6" t="b">
        <v>0</v>
      </c>
      <c r="M84" s="6" t="b">
        <v>0</v>
      </c>
      <c r="N84" s="6" t="b">
        <v>0</v>
      </c>
      <c r="O84" s="6" t="b">
        <v>0</v>
      </c>
      <c r="P84" s="6" t="b">
        <v>0</v>
      </c>
      <c r="Q84" s="6" t="b">
        <v>0</v>
      </c>
      <c r="R84" s="6" t="b">
        <v>0</v>
      </c>
      <c r="S84" s="6" t="b">
        <v>0</v>
      </c>
      <c r="T84" s="6" t="b">
        <v>0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0 dari 31 (0%)</v>
      </c>
    </row>
    <row r="85" ht="22.5" customHeight="1">
      <c r="A85" s="2">
        <v>84.0</v>
      </c>
      <c r="B85" s="11"/>
      <c r="C85" s="20">
        <v>60481.0</v>
      </c>
      <c r="D85" s="12" t="s">
        <v>63</v>
      </c>
      <c r="E85" s="12" t="s">
        <v>73</v>
      </c>
      <c r="F85" s="13"/>
      <c r="G85" s="6" t="b">
        <v>0</v>
      </c>
      <c r="H85" s="6" t="b">
        <v>0</v>
      </c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  <c r="P85" s="6" t="b">
        <v>0</v>
      </c>
      <c r="Q85" s="6" t="b">
        <v>0</v>
      </c>
      <c r="R85" s="6" t="b">
        <v>0</v>
      </c>
      <c r="S85" s="6" t="b">
        <v>0</v>
      </c>
      <c r="T85" s="6" t="b">
        <v>0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0</v>
      </c>
      <c r="AJ85" s="6" t="b">
        <v>0</v>
      </c>
      <c r="AK85" s="6" t="b">
        <v>0</v>
      </c>
      <c r="AL85" s="9" t="str">
        <f t="shared" si="1"/>
        <v>0 dari 31 (0%)</v>
      </c>
    </row>
    <row r="86" ht="22.5" customHeight="1">
      <c r="A86" s="10">
        <v>85.0</v>
      </c>
      <c r="B86" s="11"/>
      <c r="C86" s="20">
        <v>38514.0</v>
      </c>
      <c r="D86" s="12" t="s">
        <v>63</v>
      </c>
      <c r="E86" s="12" t="s">
        <v>73</v>
      </c>
      <c r="F86" s="13"/>
      <c r="G86" s="6" t="b">
        <v>0</v>
      </c>
      <c r="H86" s="6" t="b">
        <v>0</v>
      </c>
      <c r="I86" s="6" t="b">
        <v>0</v>
      </c>
      <c r="J86" s="6" t="b">
        <v>0</v>
      </c>
      <c r="K86" s="6" t="b">
        <v>0</v>
      </c>
      <c r="L86" s="6" t="b">
        <v>0</v>
      </c>
      <c r="M86" s="6" t="b">
        <v>0</v>
      </c>
      <c r="N86" s="6" t="b">
        <v>0</v>
      </c>
      <c r="O86" s="6" t="b">
        <v>0</v>
      </c>
      <c r="P86" s="6" t="b">
        <v>0</v>
      </c>
      <c r="Q86" s="6" t="b">
        <v>0</v>
      </c>
      <c r="R86" s="6" t="b">
        <v>0</v>
      </c>
      <c r="S86" s="6" t="b">
        <v>0</v>
      </c>
      <c r="T86" s="6" t="b">
        <v>0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0 dari 31 (0%)</v>
      </c>
    </row>
    <row r="87" ht="22.5" customHeight="1">
      <c r="A87" s="61">
        <v>86.0</v>
      </c>
      <c r="B87" s="62"/>
      <c r="C87" s="32">
        <v>60685.0</v>
      </c>
      <c r="D87" s="51" t="s">
        <v>63</v>
      </c>
      <c r="E87" s="51" t="s">
        <v>73</v>
      </c>
      <c r="F87" s="53"/>
      <c r="G87" s="35" t="b">
        <v>0</v>
      </c>
      <c r="H87" s="35" t="b">
        <v>0</v>
      </c>
      <c r="I87" s="35" t="b">
        <v>0</v>
      </c>
      <c r="J87" s="35" t="b">
        <v>0</v>
      </c>
      <c r="K87" s="35" t="b">
        <v>0</v>
      </c>
      <c r="L87" s="35" t="b">
        <v>0</v>
      </c>
      <c r="M87" s="35" t="b">
        <v>0</v>
      </c>
      <c r="N87" s="35" t="b">
        <v>0</v>
      </c>
      <c r="O87" s="35" t="b">
        <v>0</v>
      </c>
      <c r="P87" s="35" t="b">
        <v>0</v>
      </c>
      <c r="Q87" s="35" t="b">
        <v>0</v>
      </c>
      <c r="R87" s="35" t="b">
        <v>0</v>
      </c>
      <c r="S87" s="35" t="b">
        <v>0</v>
      </c>
      <c r="T87" s="35" t="b">
        <v>0</v>
      </c>
      <c r="U87" s="35" t="b">
        <v>0</v>
      </c>
      <c r="V87" s="35" t="b">
        <v>0</v>
      </c>
      <c r="W87" s="35" t="b">
        <v>0</v>
      </c>
      <c r="X87" s="35" t="b">
        <v>0</v>
      </c>
      <c r="Y87" s="35" t="b">
        <v>0</v>
      </c>
      <c r="Z87" s="35" t="b">
        <v>0</v>
      </c>
      <c r="AA87" s="35" t="b">
        <v>0</v>
      </c>
      <c r="AB87" s="35" t="b">
        <v>0</v>
      </c>
      <c r="AC87" s="35" t="b">
        <v>0</v>
      </c>
      <c r="AD87" s="35" t="b">
        <v>0</v>
      </c>
      <c r="AE87" s="35" t="b">
        <v>0</v>
      </c>
      <c r="AF87" s="35" t="b">
        <v>0</v>
      </c>
      <c r="AG87" s="35" t="b">
        <v>0</v>
      </c>
      <c r="AH87" s="35" t="b">
        <v>0</v>
      </c>
      <c r="AI87" s="35" t="b">
        <v>0</v>
      </c>
      <c r="AJ87" s="35" t="b">
        <v>0</v>
      </c>
      <c r="AK87" s="35" t="b">
        <v>0</v>
      </c>
      <c r="AL87" s="64" t="str">
        <f t="shared" si="1"/>
        <v>0 dari 31 (0%)</v>
      </c>
    </row>
    <row r="88" ht="22.5" customHeight="1">
      <c r="A88" s="2">
        <v>87.0</v>
      </c>
      <c r="B88" s="11"/>
      <c r="C88" s="22">
        <v>60192.0</v>
      </c>
      <c r="D88" s="12" t="s">
        <v>63</v>
      </c>
      <c r="E88" s="12" t="s">
        <v>73</v>
      </c>
      <c r="F88" s="13"/>
      <c r="G88" s="6" t="b">
        <v>0</v>
      </c>
      <c r="H88" s="6" t="b">
        <v>0</v>
      </c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  <c r="P88" s="6" t="b">
        <v>0</v>
      </c>
      <c r="Q88" s="6" t="b">
        <v>0</v>
      </c>
      <c r="R88" s="6" t="b">
        <v>0</v>
      </c>
      <c r="S88" s="6" t="b">
        <v>0</v>
      </c>
      <c r="T88" s="6" t="b">
        <v>0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0 dari 31 (0%)</v>
      </c>
    </row>
    <row r="89" ht="22.5" customHeight="1">
      <c r="A89" s="10">
        <v>88.0</v>
      </c>
      <c r="B89" s="11"/>
      <c r="C89" s="22">
        <v>60977.0</v>
      </c>
      <c r="D89" s="12" t="s">
        <v>63</v>
      </c>
      <c r="E89" s="12" t="s">
        <v>64</v>
      </c>
      <c r="F89" s="13"/>
      <c r="G89" s="6" t="b">
        <v>0</v>
      </c>
      <c r="H89" s="6" t="b">
        <v>0</v>
      </c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6" t="b">
        <v>0</v>
      </c>
      <c r="R89" s="6" t="b">
        <v>0</v>
      </c>
      <c r="S89" s="6" t="b">
        <v>0</v>
      </c>
      <c r="T89" s="6" t="b">
        <v>0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0 dari 31 (0%)</v>
      </c>
    </row>
    <row r="90" ht="22.5" customHeight="1">
      <c r="A90" s="10">
        <v>89.0</v>
      </c>
      <c r="B90" s="11"/>
      <c r="C90" s="22">
        <v>58489.0</v>
      </c>
      <c r="D90" s="12" t="s">
        <v>63</v>
      </c>
      <c r="E90" s="12" t="s">
        <v>64</v>
      </c>
      <c r="F90" s="86" t="s">
        <v>67</v>
      </c>
      <c r="G90" s="6" t="b">
        <v>0</v>
      </c>
      <c r="H90" s="6" t="b">
        <v>0</v>
      </c>
      <c r="I90" s="6" t="b">
        <v>0</v>
      </c>
      <c r="J90" s="6" t="b">
        <v>0</v>
      </c>
      <c r="K90" s="6" t="b">
        <v>0</v>
      </c>
      <c r="L90" s="6" t="b">
        <v>0</v>
      </c>
      <c r="M90" s="6" t="b">
        <v>0</v>
      </c>
      <c r="N90" s="6" t="b">
        <v>0</v>
      </c>
      <c r="O90" s="6" t="b">
        <v>0</v>
      </c>
      <c r="P90" s="6" t="b">
        <v>0</v>
      </c>
      <c r="Q90" s="6" t="b">
        <v>0</v>
      </c>
      <c r="R90" s="6" t="b">
        <v>0</v>
      </c>
      <c r="S90" s="6" t="b">
        <v>0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0 dari 31 (0%)</v>
      </c>
    </row>
    <row r="91" ht="22.5" customHeight="1">
      <c r="A91" s="2">
        <v>90.0</v>
      </c>
      <c r="B91" s="11"/>
      <c r="C91" s="22">
        <v>61029.0</v>
      </c>
      <c r="D91" s="12" t="s">
        <v>63</v>
      </c>
      <c r="E91" s="12" t="s">
        <v>73</v>
      </c>
      <c r="F91" s="86" t="s">
        <v>67</v>
      </c>
      <c r="G91" s="6" t="b">
        <v>0</v>
      </c>
      <c r="H91" s="6" t="b">
        <v>0</v>
      </c>
      <c r="I91" s="6" t="b">
        <v>0</v>
      </c>
      <c r="J91" s="6" t="b">
        <v>0</v>
      </c>
      <c r="K91" s="6" t="b">
        <v>0</v>
      </c>
      <c r="L91" s="6" t="b">
        <v>0</v>
      </c>
      <c r="M91" s="6" t="b">
        <v>0</v>
      </c>
      <c r="N91" s="6" t="b">
        <v>0</v>
      </c>
      <c r="O91" s="6" t="b">
        <v>0</v>
      </c>
      <c r="P91" s="6" t="b">
        <v>0</v>
      </c>
      <c r="Q91" s="6" t="b">
        <v>0</v>
      </c>
      <c r="R91" s="6" t="b">
        <v>0</v>
      </c>
      <c r="S91" s="6" t="b">
        <v>0</v>
      </c>
      <c r="T91" s="6" t="b">
        <v>0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0</v>
      </c>
      <c r="AJ91" s="6" t="b">
        <v>0</v>
      </c>
      <c r="AK91" s="6" t="b">
        <v>0</v>
      </c>
      <c r="AL91" s="9" t="str">
        <f t="shared" si="1"/>
        <v>0 dari 31 (0%)</v>
      </c>
    </row>
    <row r="92" ht="22.5" customHeight="1">
      <c r="A92" s="10">
        <v>91.0</v>
      </c>
      <c r="B92" s="11"/>
      <c r="C92" s="20">
        <v>55902.0</v>
      </c>
      <c r="D92" s="12" t="s">
        <v>63</v>
      </c>
      <c r="E92" s="12" t="s">
        <v>175</v>
      </c>
      <c r="F92" s="15" t="s">
        <v>50</v>
      </c>
      <c r="G92" s="6" t="b">
        <v>0</v>
      </c>
      <c r="H92" s="6" t="b">
        <v>0</v>
      </c>
      <c r="I92" s="6" t="b">
        <v>0</v>
      </c>
      <c r="J92" s="6" t="b">
        <v>0</v>
      </c>
      <c r="K92" s="6" t="b">
        <v>0</v>
      </c>
      <c r="L92" s="6" t="b">
        <v>0</v>
      </c>
      <c r="M92" s="6" t="b">
        <v>0</v>
      </c>
      <c r="N92" s="6" t="b">
        <v>0</v>
      </c>
      <c r="O92" s="6" t="b">
        <v>0</v>
      </c>
      <c r="P92" s="6" t="b">
        <v>0</v>
      </c>
      <c r="Q92" s="6" t="b">
        <v>0</v>
      </c>
      <c r="R92" s="6" t="b">
        <v>0</v>
      </c>
      <c r="S92" s="6" t="b">
        <v>0</v>
      </c>
      <c r="T92" s="6" t="b">
        <v>0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0</v>
      </c>
      <c r="AJ92" s="6" t="b">
        <v>0</v>
      </c>
      <c r="AK92" s="6" t="b">
        <v>0</v>
      </c>
      <c r="AL92" s="9" t="str">
        <f t="shared" si="1"/>
        <v>0 dari 31 (0%)</v>
      </c>
    </row>
    <row r="93" ht="22.5" customHeight="1">
      <c r="A93" s="10">
        <v>92.0</v>
      </c>
      <c r="B93" s="11"/>
      <c r="C93" s="20">
        <v>47550.0</v>
      </c>
      <c r="D93" s="12" t="s">
        <v>63</v>
      </c>
      <c r="E93" s="12" t="s">
        <v>73</v>
      </c>
      <c r="F93" s="86" t="s">
        <v>67</v>
      </c>
      <c r="G93" s="6" t="b">
        <v>0</v>
      </c>
      <c r="H93" s="6" t="b">
        <v>0</v>
      </c>
      <c r="I93" s="6" t="b">
        <v>0</v>
      </c>
      <c r="J93" s="6" t="b">
        <v>0</v>
      </c>
      <c r="K93" s="6" t="b">
        <v>0</v>
      </c>
      <c r="L93" s="6" t="b">
        <v>0</v>
      </c>
      <c r="M93" s="6" t="b">
        <v>0</v>
      </c>
      <c r="N93" s="6" t="b">
        <v>0</v>
      </c>
      <c r="O93" s="6" t="b">
        <v>0</v>
      </c>
      <c r="P93" s="6" t="b">
        <v>0</v>
      </c>
      <c r="Q93" s="6" t="b">
        <v>0</v>
      </c>
      <c r="R93" s="6" t="b">
        <v>0</v>
      </c>
      <c r="S93" s="6" t="b">
        <v>0</v>
      </c>
      <c r="T93" s="6" t="b">
        <v>0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0</v>
      </c>
      <c r="AJ93" s="6" t="b">
        <v>0</v>
      </c>
      <c r="AK93" s="6" t="b">
        <v>0</v>
      </c>
      <c r="AL93" s="17" t="str">
        <f t="shared" si="1"/>
        <v>0 dari 31 (0%)</v>
      </c>
    </row>
    <row r="94" ht="22.5" customHeight="1">
      <c r="A94" s="2">
        <v>93.0</v>
      </c>
      <c r="B94" s="11"/>
      <c r="C94" s="20">
        <v>51249.0</v>
      </c>
      <c r="D94" s="12" t="s">
        <v>56</v>
      </c>
      <c r="E94" s="12" t="s">
        <v>112</v>
      </c>
      <c r="F94" s="13"/>
      <c r="G94" s="6" t="b">
        <v>0</v>
      </c>
      <c r="H94" s="6" t="b">
        <v>0</v>
      </c>
      <c r="I94" s="6" t="b">
        <v>0</v>
      </c>
      <c r="J94" s="6" t="b">
        <v>0</v>
      </c>
      <c r="K94" s="6" t="b">
        <v>0</v>
      </c>
      <c r="L94" s="6" t="b">
        <v>0</v>
      </c>
      <c r="M94" s="6" t="b">
        <v>0</v>
      </c>
      <c r="N94" s="6" t="b">
        <v>0</v>
      </c>
      <c r="O94" s="6" t="b">
        <v>0</v>
      </c>
      <c r="P94" s="6" t="b">
        <v>0</v>
      </c>
      <c r="Q94" s="6" t="b">
        <v>0</v>
      </c>
      <c r="R94" s="6" t="b">
        <v>0</v>
      </c>
      <c r="S94" s="6" t="b">
        <v>0</v>
      </c>
      <c r="T94" s="6" t="b">
        <v>0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0</v>
      </c>
      <c r="AJ94" s="6" t="b">
        <v>0</v>
      </c>
      <c r="AK94" s="6" t="b">
        <v>0</v>
      </c>
      <c r="AL94" s="9" t="str">
        <f t="shared" si="1"/>
        <v>0 dari 31 (0%)</v>
      </c>
    </row>
    <row r="95" ht="22.5" customHeight="1">
      <c r="A95" s="10">
        <v>94.0</v>
      </c>
      <c r="B95" s="11"/>
      <c r="C95" s="20">
        <v>60489.0</v>
      </c>
      <c r="D95" s="12" t="s">
        <v>53</v>
      </c>
      <c r="E95" s="12" t="s">
        <v>125</v>
      </c>
      <c r="F95" s="13"/>
      <c r="G95" s="6" t="b">
        <v>0</v>
      </c>
      <c r="H95" s="6" t="b">
        <v>0</v>
      </c>
      <c r="I95" s="6" t="b">
        <v>0</v>
      </c>
      <c r="J95" s="6" t="b">
        <v>0</v>
      </c>
      <c r="K95" s="6" t="b">
        <v>0</v>
      </c>
      <c r="L95" s="6" t="b">
        <v>0</v>
      </c>
      <c r="M95" s="6" t="b">
        <v>0</v>
      </c>
      <c r="N95" s="6" t="b">
        <v>0</v>
      </c>
      <c r="O95" s="6" t="b">
        <v>0</v>
      </c>
      <c r="P95" s="6" t="b">
        <v>0</v>
      </c>
      <c r="Q95" s="6" t="b">
        <v>0</v>
      </c>
      <c r="R95" s="6" t="b">
        <v>0</v>
      </c>
      <c r="S95" s="6" t="b">
        <v>0</v>
      </c>
      <c r="T95" s="6" t="b">
        <v>0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0</v>
      </c>
      <c r="AJ95" s="6" t="b">
        <v>0</v>
      </c>
      <c r="AK95" s="6" t="b">
        <v>0</v>
      </c>
      <c r="AL95" s="9" t="str">
        <f t="shared" si="1"/>
        <v>0 dari 31 (0%)</v>
      </c>
    </row>
    <row r="96" ht="22.5" customHeight="1">
      <c r="A96" s="10">
        <v>95.0</v>
      </c>
      <c r="B96" s="11"/>
      <c r="C96" s="20">
        <v>42595.0</v>
      </c>
      <c r="D96" s="12" t="s">
        <v>53</v>
      </c>
      <c r="E96" s="12" t="s">
        <v>92</v>
      </c>
      <c r="F96" s="13"/>
      <c r="G96" s="6" t="b">
        <v>0</v>
      </c>
      <c r="H96" s="6" t="b">
        <v>0</v>
      </c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  <c r="P96" s="6" t="b">
        <v>0</v>
      </c>
      <c r="Q96" s="6" t="b">
        <v>0</v>
      </c>
      <c r="R96" s="6" t="b">
        <v>0</v>
      </c>
      <c r="S96" s="6" t="b">
        <v>0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0 dari 31 (0%)</v>
      </c>
    </row>
    <row r="97" ht="22.5" customHeight="1">
      <c r="A97" s="2">
        <v>96.0</v>
      </c>
      <c r="B97" s="11"/>
      <c r="C97" s="22">
        <v>58297.0</v>
      </c>
      <c r="D97" s="12" t="s">
        <v>53</v>
      </c>
      <c r="E97" s="12" t="s">
        <v>139</v>
      </c>
      <c r="F97" s="13"/>
      <c r="G97" s="6" t="b">
        <v>0</v>
      </c>
      <c r="H97" s="6" t="b">
        <v>0</v>
      </c>
      <c r="I97" s="6" t="b">
        <v>0</v>
      </c>
      <c r="J97" s="6" t="b">
        <v>0</v>
      </c>
      <c r="K97" s="6" t="b">
        <v>0</v>
      </c>
      <c r="L97" s="6" t="b">
        <v>0</v>
      </c>
      <c r="M97" s="6" t="b">
        <v>0</v>
      </c>
      <c r="N97" s="6" t="b">
        <v>0</v>
      </c>
      <c r="O97" s="6" t="b">
        <v>0</v>
      </c>
      <c r="P97" s="6" t="b">
        <v>0</v>
      </c>
      <c r="Q97" s="6" t="b">
        <v>0</v>
      </c>
      <c r="R97" s="6" t="b">
        <v>0</v>
      </c>
      <c r="S97" s="6" t="b">
        <v>0</v>
      </c>
      <c r="T97" s="6" t="b">
        <v>0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0</v>
      </c>
      <c r="AJ97" s="6" t="b">
        <v>0</v>
      </c>
      <c r="AK97" s="6" t="b">
        <v>0</v>
      </c>
      <c r="AL97" s="9" t="str">
        <f t="shared" si="1"/>
        <v>0 dari 31 (0%)</v>
      </c>
    </row>
    <row r="98" ht="22.5" customHeight="1">
      <c r="A98" s="10">
        <v>97.0</v>
      </c>
      <c r="B98" s="11"/>
      <c r="C98" s="22">
        <v>24000.0</v>
      </c>
      <c r="D98" s="12" t="s">
        <v>53</v>
      </c>
      <c r="E98" s="12" t="s">
        <v>125</v>
      </c>
      <c r="F98" s="13"/>
      <c r="G98" s="6" t="b">
        <v>0</v>
      </c>
      <c r="H98" s="6" t="b">
        <v>0</v>
      </c>
      <c r="I98" s="6" t="b">
        <v>0</v>
      </c>
      <c r="J98" s="6" t="b">
        <v>0</v>
      </c>
      <c r="K98" s="6" t="b">
        <v>0</v>
      </c>
      <c r="L98" s="6" t="b">
        <v>0</v>
      </c>
      <c r="M98" s="6" t="b">
        <v>0</v>
      </c>
      <c r="N98" s="6" t="b">
        <v>0</v>
      </c>
      <c r="O98" s="6" t="b">
        <v>0</v>
      </c>
      <c r="P98" s="6" t="b">
        <v>0</v>
      </c>
      <c r="Q98" s="6" t="b">
        <v>0</v>
      </c>
      <c r="R98" s="6" t="b">
        <v>0</v>
      </c>
      <c r="S98" s="6" t="b">
        <v>0</v>
      </c>
      <c r="T98" s="6" t="b">
        <v>0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0 dari 31 (0%)</v>
      </c>
    </row>
    <row r="99" ht="22.5" customHeight="1">
      <c r="A99" s="10">
        <v>98.0</v>
      </c>
      <c r="B99" s="11"/>
      <c r="C99" s="22">
        <v>56433.0</v>
      </c>
      <c r="D99" s="12" t="s">
        <v>80</v>
      </c>
      <c r="E99" s="12" t="s">
        <v>154</v>
      </c>
      <c r="F99" s="13"/>
      <c r="G99" s="6" t="b">
        <v>0</v>
      </c>
      <c r="H99" s="6" t="b">
        <v>0</v>
      </c>
      <c r="I99" s="6" t="b">
        <v>0</v>
      </c>
      <c r="J99" s="6" t="b">
        <v>0</v>
      </c>
      <c r="K99" s="6" t="b">
        <v>0</v>
      </c>
      <c r="L99" s="6" t="b">
        <v>0</v>
      </c>
      <c r="M99" s="6" t="b">
        <v>0</v>
      </c>
      <c r="N99" s="6" t="b">
        <v>0</v>
      </c>
      <c r="O99" s="6" t="b">
        <v>0</v>
      </c>
      <c r="P99" s="6" t="b">
        <v>0</v>
      </c>
      <c r="Q99" s="6" t="b">
        <v>0</v>
      </c>
      <c r="R99" s="6" t="b">
        <v>0</v>
      </c>
      <c r="S99" s="6" t="b">
        <v>0</v>
      </c>
      <c r="T99" s="6" t="b">
        <v>0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0 dari 31 (0%)</v>
      </c>
    </row>
    <row r="100" ht="22.5" customHeight="1">
      <c r="A100" s="2">
        <v>99.0</v>
      </c>
      <c r="B100" s="11"/>
      <c r="C100" s="22">
        <v>50695.0</v>
      </c>
      <c r="D100" s="12" t="s">
        <v>80</v>
      </c>
      <c r="E100" s="12" t="s">
        <v>154</v>
      </c>
      <c r="F100" s="13"/>
      <c r="G100" s="6" t="b">
        <v>0</v>
      </c>
      <c r="H100" s="6" t="b">
        <v>0</v>
      </c>
      <c r="I100" s="6" t="b">
        <v>0</v>
      </c>
      <c r="J100" s="6" t="b">
        <v>0</v>
      </c>
      <c r="K100" s="6" t="b">
        <v>0</v>
      </c>
      <c r="L100" s="6" t="b">
        <v>0</v>
      </c>
      <c r="M100" s="6" t="b">
        <v>0</v>
      </c>
      <c r="N100" s="6" t="b">
        <v>0</v>
      </c>
      <c r="O100" s="6" t="b">
        <v>0</v>
      </c>
      <c r="P100" s="6" t="b">
        <v>0</v>
      </c>
      <c r="Q100" s="6" t="b">
        <v>0</v>
      </c>
      <c r="R100" s="6" t="b">
        <v>0</v>
      </c>
      <c r="S100" s="6" t="b">
        <v>0</v>
      </c>
      <c r="T100" s="6" t="b">
        <v>0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0</v>
      </c>
      <c r="AJ100" s="6" t="b">
        <v>0</v>
      </c>
      <c r="AK100" s="6" t="b">
        <v>0</v>
      </c>
      <c r="AL100" s="9" t="str">
        <f t="shared" si="1"/>
        <v>0 dari 31 (0%)</v>
      </c>
    </row>
    <row r="101" ht="22.5" customHeight="1">
      <c r="A101" s="10">
        <v>100.0</v>
      </c>
      <c r="B101" s="11"/>
      <c r="C101" s="22">
        <v>56582.0</v>
      </c>
      <c r="D101" s="12" t="s">
        <v>80</v>
      </c>
      <c r="E101" s="12" t="s">
        <v>154</v>
      </c>
      <c r="F101" s="13"/>
      <c r="G101" s="6" t="b">
        <v>0</v>
      </c>
      <c r="H101" s="6" t="b">
        <v>0</v>
      </c>
      <c r="I101" s="6" t="b">
        <v>0</v>
      </c>
      <c r="J101" s="6" t="b">
        <v>0</v>
      </c>
      <c r="K101" s="6" t="b">
        <v>0</v>
      </c>
      <c r="L101" s="6" t="b">
        <v>0</v>
      </c>
      <c r="M101" s="6" t="b">
        <v>0</v>
      </c>
      <c r="N101" s="6" t="b">
        <v>0</v>
      </c>
      <c r="O101" s="6" t="b">
        <v>0</v>
      </c>
      <c r="P101" s="6" t="b">
        <v>0</v>
      </c>
      <c r="Q101" s="6" t="b">
        <v>0</v>
      </c>
      <c r="R101" s="6" t="b">
        <v>0</v>
      </c>
      <c r="S101" s="6" t="b">
        <v>0</v>
      </c>
      <c r="T101" s="6" t="b">
        <v>0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0</v>
      </c>
      <c r="AJ101" s="6" t="b">
        <v>0</v>
      </c>
      <c r="AK101" s="6" t="b">
        <v>0</v>
      </c>
      <c r="AL101" s="9" t="str">
        <f t="shared" si="1"/>
        <v>0 dari 31 (0%)</v>
      </c>
    </row>
    <row r="102" ht="22.5" customHeight="1">
      <c r="A102" s="82">
        <v>101.0</v>
      </c>
      <c r="B102" s="83"/>
      <c r="C102" s="91">
        <v>60179.0</v>
      </c>
      <c r="D102" s="85" t="s">
        <v>53</v>
      </c>
      <c r="E102" s="85" t="s">
        <v>92</v>
      </c>
      <c r="F102" s="86" t="s">
        <v>67</v>
      </c>
      <c r="G102" s="87" t="b">
        <v>0</v>
      </c>
      <c r="H102" s="87" t="b">
        <v>0</v>
      </c>
      <c r="I102" s="87" t="b">
        <v>0</v>
      </c>
      <c r="J102" s="87" t="b">
        <v>0</v>
      </c>
      <c r="K102" s="87" t="b">
        <v>0</v>
      </c>
      <c r="L102" s="87" t="b">
        <v>0</v>
      </c>
      <c r="M102" s="87" t="b">
        <v>0</v>
      </c>
      <c r="N102" s="87" t="b">
        <v>0</v>
      </c>
      <c r="O102" s="87" t="b">
        <v>0</v>
      </c>
      <c r="P102" s="87" t="b">
        <v>0</v>
      </c>
      <c r="Q102" s="87" t="b">
        <v>0</v>
      </c>
      <c r="R102" s="87" t="b">
        <v>0</v>
      </c>
      <c r="S102" s="87" t="b">
        <v>0</v>
      </c>
      <c r="T102" s="87" t="b">
        <v>0</v>
      </c>
      <c r="U102" s="87" t="b">
        <v>0</v>
      </c>
      <c r="V102" s="87" t="b">
        <v>0</v>
      </c>
      <c r="W102" s="87" t="b">
        <v>0</v>
      </c>
      <c r="X102" s="87" t="b">
        <v>0</v>
      </c>
      <c r="Y102" s="87" t="b">
        <v>0</v>
      </c>
      <c r="Z102" s="87" t="b">
        <v>0</v>
      </c>
      <c r="AA102" s="87" t="b">
        <v>0</v>
      </c>
      <c r="AB102" s="87" t="b">
        <v>0</v>
      </c>
      <c r="AC102" s="87" t="b">
        <v>0</v>
      </c>
      <c r="AD102" s="87" t="b">
        <v>0</v>
      </c>
      <c r="AE102" s="87" t="b">
        <v>0</v>
      </c>
      <c r="AF102" s="87" t="b">
        <v>0</v>
      </c>
      <c r="AG102" s="87" t="b">
        <v>0</v>
      </c>
      <c r="AH102" s="87" t="b">
        <v>0</v>
      </c>
      <c r="AI102" s="87" t="b">
        <v>0</v>
      </c>
      <c r="AJ102" s="87" t="b">
        <v>0</v>
      </c>
      <c r="AK102" s="87" t="b">
        <v>0</v>
      </c>
      <c r="AL102" s="88" t="str">
        <f t="shared" si="1"/>
        <v>0 dari 31 (0%)</v>
      </c>
    </row>
    <row r="103" ht="22.5" customHeight="1">
      <c r="A103" s="2">
        <v>102.0</v>
      </c>
      <c r="B103" s="11"/>
      <c r="C103" s="20">
        <v>58072.0</v>
      </c>
      <c r="D103" s="12" t="s">
        <v>80</v>
      </c>
      <c r="E103" s="12" t="s">
        <v>154</v>
      </c>
      <c r="F103" s="13"/>
      <c r="G103" s="6" t="b">
        <v>0</v>
      </c>
      <c r="H103" s="6" t="b">
        <v>0</v>
      </c>
      <c r="I103" s="6" t="b">
        <v>0</v>
      </c>
      <c r="J103" s="6" t="b">
        <v>0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  <c r="P103" s="6" t="b">
        <v>0</v>
      </c>
      <c r="Q103" s="6" t="b">
        <v>0</v>
      </c>
      <c r="R103" s="6" t="b">
        <v>0</v>
      </c>
      <c r="S103" s="6" t="b">
        <v>0</v>
      </c>
      <c r="T103" s="6" t="b">
        <v>0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0 dari 31 (0%)</v>
      </c>
    </row>
    <row r="104" ht="22.5" customHeight="1">
      <c r="A104" s="10">
        <v>103.0</v>
      </c>
      <c r="B104" s="11"/>
      <c r="C104" s="20">
        <v>60124.0</v>
      </c>
      <c r="D104" s="12" t="s">
        <v>80</v>
      </c>
      <c r="E104" s="12" t="s">
        <v>148</v>
      </c>
      <c r="F104" s="13"/>
      <c r="G104" s="6" t="b">
        <v>0</v>
      </c>
      <c r="H104" s="6" t="b">
        <v>0</v>
      </c>
      <c r="I104" s="6" t="b">
        <v>0</v>
      </c>
      <c r="J104" s="6" t="b">
        <v>0</v>
      </c>
      <c r="K104" s="6" t="b">
        <v>0</v>
      </c>
      <c r="L104" s="6" t="b">
        <v>0</v>
      </c>
      <c r="M104" s="6" t="b">
        <v>0</v>
      </c>
      <c r="N104" s="6" t="b">
        <v>0</v>
      </c>
      <c r="O104" s="6" t="b">
        <v>0</v>
      </c>
      <c r="P104" s="6" t="b">
        <v>0</v>
      </c>
      <c r="Q104" s="6" t="b">
        <v>0</v>
      </c>
      <c r="R104" s="6" t="b">
        <v>0</v>
      </c>
      <c r="S104" s="6" t="b">
        <v>0</v>
      </c>
      <c r="T104" s="6" t="b">
        <v>0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0</v>
      </c>
      <c r="AJ104" s="6" t="b">
        <v>0</v>
      </c>
      <c r="AK104" s="6" t="b">
        <v>0</v>
      </c>
      <c r="AL104" s="9" t="str">
        <f t="shared" si="1"/>
        <v>0 dari 31 (0%)</v>
      </c>
    </row>
    <row r="105" ht="22.5" customHeight="1">
      <c r="A105" s="10">
        <v>104.0</v>
      </c>
      <c r="B105" s="11"/>
      <c r="C105" s="20">
        <v>61393.0</v>
      </c>
      <c r="D105" s="12" t="s">
        <v>63</v>
      </c>
      <c r="E105" s="12" t="s">
        <v>112</v>
      </c>
      <c r="F105" s="13"/>
      <c r="G105" s="6" t="b">
        <v>0</v>
      </c>
      <c r="H105" s="6" t="b">
        <v>0</v>
      </c>
      <c r="I105" s="6" t="b">
        <v>0</v>
      </c>
      <c r="J105" s="6" t="b">
        <v>0</v>
      </c>
      <c r="K105" s="6" t="b">
        <v>0</v>
      </c>
      <c r="L105" s="6" t="b">
        <v>0</v>
      </c>
      <c r="M105" s="6" t="b">
        <v>0</v>
      </c>
      <c r="N105" s="6" t="b">
        <v>0</v>
      </c>
      <c r="O105" s="6" t="b">
        <v>0</v>
      </c>
      <c r="P105" s="6" t="b">
        <v>0</v>
      </c>
      <c r="Q105" s="6" t="b">
        <v>0</v>
      </c>
      <c r="R105" s="6" t="b">
        <v>0</v>
      </c>
      <c r="S105" s="6" t="b">
        <v>0</v>
      </c>
      <c r="T105" s="6" t="b">
        <v>0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17" t="str">
        <f t="shared" si="1"/>
        <v>0 dari 31 (0%)</v>
      </c>
    </row>
    <row r="106" ht="22.5" customHeight="1">
      <c r="A106" s="30">
        <v>105.0</v>
      </c>
      <c r="B106" s="62"/>
      <c r="C106" s="60">
        <v>61251.0</v>
      </c>
      <c r="D106" s="51" t="s">
        <v>54</v>
      </c>
      <c r="E106" s="51" t="s">
        <v>76</v>
      </c>
      <c r="F106" s="136" t="s">
        <v>105</v>
      </c>
      <c r="G106" s="35" t="b">
        <v>0</v>
      </c>
      <c r="H106" s="35" t="b">
        <v>0</v>
      </c>
      <c r="I106" s="35" t="b">
        <v>0</v>
      </c>
      <c r="J106" s="35" t="b">
        <v>0</v>
      </c>
      <c r="K106" s="35" t="b">
        <v>0</v>
      </c>
      <c r="L106" s="35" t="b">
        <v>0</v>
      </c>
      <c r="M106" s="35" t="b">
        <v>0</v>
      </c>
      <c r="N106" s="35" t="b">
        <v>0</v>
      </c>
      <c r="O106" s="35" t="b">
        <v>0</v>
      </c>
      <c r="P106" s="35" t="b">
        <v>0</v>
      </c>
      <c r="Q106" s="35" t="b">
        <v>0</v>
      </c>
      <c r="R106" s="35" t="b">
        <v>0</v>
      </c>
      <c r="S106" s="35" t="b">
        <v>0</v>
      </c>
      <c r="T106" s="35" t="b">
        <v>0</v>
      </c>
      <c r="U106" s="35" t="b">
        <v>0</v>
      </c>
      <c r="V106" s="35" t="b">
        <v>0</v>
      </c>
      <c r="W106" s="35" t="b">
        <v>0</v>
      </c>
      <c r="X106" s="35" t="b">
        <v>0</v>
      </c>
      <c r="Y106" s="35" t="b">
        <v>0</v>
      </c>
      <c r="Z106" s="35" t="b">
        <v>0</v>
      </c>
      <c r="AA106" s="35" t="b">
        <v>0</v>
      </c>
      <c r="AB106" s="35" t="b">
        <v>0</v>
      </c>
      <c r="AC106" s="35" t="b">
        <v>0</v>
      </c>
      <c r="AD106" s="35" t="b">
        <v>0</v>
      </c>
      <c r="AE106" s="35" t="b">
        <v>0</v>
      </c>
      <c r="AF106" s="35" t="b">
        <v>0</v>
      </c>
      <c r="AG106" s="35" t="b">
        <v>0</v>
      </c>
      <c r="AH106" s="35" t="b">
        <v>0</v>
      </c>
      <c r="AI106" s="35" t="b">
        <v>0</v>
      </c>
      <c r="AJ106" s="35" t="b">
        <v>0</v>
      </c>
      <c r="AK106" s="35" t="b">
        <v>0</v>
      </c>
      <c r="AL106" s="38" t="str">
        <f t="shared" si="1"/>
        <v>0 dari 31 (0%)</v>
      </c>
    </row>
    <row r="107" ht="22.5" customHeight="1">
      <c r="A107" s="10">
        <v>106.0</v>
      </c>
      <c r="B107" s="11"/>
      <c r="C107" s="22">
        <v>61392.0</v>
      </c>
      <c r="D107" s="12" t="s">
        <v>51</v>
      </c>
      <c r="E107" s="12" t="s">
        <v>61</v>
      </c>
      <c r="F107" s="15" t="s">
        <v>50</v>
      </c>
      <c r="G107" s="6" t="b">
        <v>0</v>
      </c>
      <c r="H107" s="6" t="b">
        <v>0</v>
      </c>
      <c r="I107" s="6" t="b">
        <v>0</v>
      </c>
      <c r="J107" s="6" t="b">
        <v>0</v>
      </c>
      <c r="K107" s="6" t="b">
        <v>0</v>
      </c>
      <c r="L107" s="6" t="b">
        <v>0</v>
      </c>
      <c r="M107" s="6" t="b">
        <v>0</v>
      </c>
      <c r="N107" s="6" t="b">
        <v>0</v>
      </c>
      <c r="O107" s="6" t="b">
        <v>0</v>
      </c>
      <c r="P107" s="6" t="b">
        <v>0</v>
      </c>
      <c r="Q107" s="6" t="b">
        <v>0</v>
      </c>
      <c r="R107" s="6" t="b">
        <v>0</v>
      </c>
      <c r="S107" s="6" t="b">
        <v>0</v>
      </c>
      <c r="T107" s="6" t="b">
        <v>0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0</v>
      </c>
      <c r="AJ107" s="6" t="b">
        <v>0</v>
      </c>
      <c r="AK107" s="6" t="b">
        <v>0</v>
      </c>
      <c r="AL107" s="9" t="str">
        <f t="shared" si="1"/>
        <v>0 dari 31 (0%)</v>
      </c>
    </row>
    <row r="108" ht="22.5" customHeight="1">
      <c r="A108" s="82">
        <v>107.0</v>
      </c>
      <c r="B108" s="83"/>
      <c r="C108" s="84">
        <v>57420.0</v>
      </c>
      <c r="D108" s="85" t="s">
        <v>53</v>
      </c>
      <c r="E108" s="85" t="s">
        <v>139</v>
      </c>
      <c r="F108" s="86" t="s">
        <v>67</v>
      </c>
      <c r="G108" s="87" t="b">
        <v>0</v>
      </c>
      <c r="H108" s="87" t="b">
        <v>0</v>
      </c>
      <c r="I108" s="87" t="b">
        <v>0</v>
      </c>
      <c r="J108" s="87" t="b">
        <v>0</v>
      </c>
      <c r="K108" s="87" t="b">
        <v>0</v>
      </c>
      <c r="L108" s="87" t="b">
        <v>0</v>
      </c>
      <c r="M108" s="87" t="b">
        <v>0</v>
      </c>
      <c r="N108" s="87" t="b">
        <v>0</v>
      </c>
      <c r="O108" s="87" t="b">
        <v>0</v>
      </c>
      <c r="P108" s="87" t="b">
        <v>0</v>
      </c>
      <c r="Q108" s="87" t="b">
        <v>0</v>
      </c>
      <c r="R108" s="87" t="b">
        <v>0</v>
      </c>
      <c r="S108" s="87" t="b">
        <v>0</v>
      </c>
      <c r="T108" s="87" t="b">
        <v>0</v>
      </c>
      <c r="U108" s="87" t="b">
        <v>0</v>
      </c>
      <c r="V108" s="87" t="b">
        <v>0</v>
      </c>
      <c r="W108" s="87" t="b">
        <v>0</v>
      </c>
      <c r="X108" s="87" t="b">
        <v>0</v>
      </c>
      <c r="Y108" s="87" t="b">
        <v>0</v>
      </c>
      <c r="Z108" s="87" t="b">
        <v>0</v>
      </c>
      <c r="AA108" s="87" t="b">
        <v>0</v>
      </c>
      <c r="AB108" s="87" t="b">
        <v>0</v>
      </c>
      <c r="AC108" s="87" t="b">
        <v>0</v>
      </c>
      <c r="AD108" s="87" t="b">
        <v>0</v>
      </c>
      <c r="AE108" s="87" t="b">
        <v>0</v>
      </c>
      <c r="AF108" s="87" t="b">
        <v>0</v>
      </c>
      <c r="AG108" s="87" t="b">
        <v>0</v>
      </c>
      <c r="AH108" s="87" t="b">
        <v>0</v>
      </c>
      <c r="AI108" s="87" t="b">
        <v>0</v>
      </c>
      <c r="AJ108" s="87" t="b">
        <v>0</v>
      </c>
      <c r="AK108" s="87" t="b">
        <v>0</v>
      </c>
      <c r="AL108" s="88" t="str">
        <f t="shared" si="1"/>
        <v>0 dari 31 (0%)</v>
      </c>
    </row>
    <row r="109" ht="22.5" customHeight="1">
      <c r="A109" s="2">
        <v>108.0</v>
      </c>
      <c r="B109" s="11"/>
      <c r="C109" s="22">
        <v>54818.0</v>
      </c>
      <c r="D109" s="12" t="s">
        <v>98</v>
      </c>
      <c r="E109" s="12" t="s">
        <v>137</v>
      </c>
      <c r="F109" s="13"/>
      <c r="G109" s="6" t="b">
        <v>0</v>
      </c>
      <c r="H109" s="6" t="b">
        <v>0</v>
      </c>
      <c r="I109" s="6" t="b">
        <v>0</v>
      </c>
      <c r="J109" s="6" t="b">
        <v>0</v>
      </c>
      <c r="K109" s="6" t="b">
        <v>0</v>
      </c>
      <c r="L109" s="6" t="b">
        <v>0</v>
      </c>
      <c r="M109" s="6" t="b">
        <v>0</v>
      </c>
      <c r="N109" s="6" t="b">
        <v>0</v>
      </c>
      <c r="O109" s="6" t="b">
        <v>0</v>
      </c>
      <c r="P109" s="6" t="b">
        <v>0</v>
      </c>
      <c r="Q109" s="6" t="b">
        <v>0</v>
      </c>
      <c r="R109" s="6" t="b">
        <v>0</v>
      </c>
      <c r="S109" s="6" t="b">
        <v>0</v>
      </c>
      <c r="T109" s="6" t="b">
        <v>0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0</v>
      </c>
      <c r="AJ109" s="6" t="b">
        <v>0</v>
      </c>
      <c r="AK109" s="6" t="b">
        <v>0</v>
      </c>
      <c r="AL109" s="9" t="str">
        <f t="shared" si="1"/>
        <v>0 dari 31 (0%)</v>
      </c>
    </row>
    <row r="110" ht="22.5" customHeight="1">
      <c r="A110" s="10">
        <v>109.0</v>
      </c>
      <c r="B110" s="11"/>
      <c r="C110" s="22">
        <v>61208.0</v>
      </c>
      <c r="D110" s="12" t="s">
        <v>98</v>
      </c>
      <c r="E110" s="12" t="s">
        <v>137</v>
      </c>
      <c r="F110" s="13"/>
      <c r="G110" s="6" t="b">
        <v>0</v>
      </c>
      <c r="H110" s="6" t="b">
        <v>0</v>
      </c>
      <c r="I110" s="6" t="b">
        <v>0</v>
      </c>
      <c r="J110" s="6" t="b">
        <v>0</v>
      </c>
      <c r="K110" s="6" t="b">
        <v>0</v>
      </c>
      <c r="L110" s="6" t="b">
        <v>0</v>
      </c>
      <c r="M110" s="6" t="b">
        <v>0</v>
      </c>
      <c r="N110" s="6" t="b">
        <v>0</v>
      </c>
      <c r="O110" s="6" t="b">
        <v>0</v>
      </c>
      <c r="P110" s="6" t="b">
        <v>0</v>
      </c>
      <c r="Q110" s="6" t="b">
        <v>0</v>
      </c>
      <c r="R110" s="6" t="b">
        <v>0</v>
      </c>
      <c r="S110" s="6" t="b">
        <v>0</v>
      </c>
      <c r="T110" s="6" t="b">
        <v>0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0</v>
      </c>
      <c r="AJ110" s="6" t="b">
        <v>0</v>
      </c>
      <c r="AK110" s="6" t="b">
        <v>0</v>
      </c>
      <c r="AL110" s="9" t="str">
        <f t="shared" si="1"/>
        <v>0 dari 31 (0%)</v>
      </c>
    </row>
    <row r="111" ht="22.5" customHeight="1">
      <c r="A111" s="10">
        <v>110.0</v>
      </c>
      <c r="B111" s="11"/>
      <c r="C111" s="22">
        <v>61185.0</v>
      </c>
      <c r="D111" s="12" t="s">
        <v>98</v>
      </c>
      <c r="E111" s="12" t="s">
        <v>133</v>
      </c>
      <c r="F111" s="13"/>
      <c r="G111" s="6" t="b">
        <v>0</v>
      </c>
      <c r="H111" s="6" t="b">
        <v>0</v>
      </c>
      <c r="I111" s="6" t="b">
        <v>0</v>
      </c>
      <c r="J111" s="6" t="b">
        <v>0</v>
      </c>
      <c r="K111" s="6" t="b">
        <v>0</v>
      </c>
      <c r="L111" s="6" t="b">
        <v>0</v>
      </c>
      <c r="M111" s="6" t="b">
        <v>0</v>
      </c>
      <c r="N111" s="6" t="b">
        <v>0</v>
      </c>
      <c r="O111" s="6" t="b">
        <v>0</v>
      </c>
      <c r="P111" s="6" t="b">
        <v>0</v>
      </c>
      <c r="Q111" s="6" t="b">
        <v>0</v>
      </c>
      <c r="R111" s="6" t="b">
        <v>0</v>
      </c>
      <c r="S111" s="6" t="b">
        <v>0</v>
      </c>
      <c r="T111" s="6" t="b">
        <v>0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0</v>
      </c>
      <c r="AJ111" s="6" t="b">
        <v>0</v>
      </c>
      <c r="AK111" s="6" t="b">
        <v>0</v>
      </c>
      <c r="AL111" s="17" t="str">
        <f t="shared" si="1"/>
        <v>0 dari 31 (0%)</v>
      </c>
    </row>
    <row r="112" ht="22.5" customHeight="1">
      <c r="A112" s="2">
        <v>111.0</v>
      </c>
      <c r="B112" s="11"/>
      <c r="C112" s="20">
        <v>38219.0</v>
      </c>
      <c r="D112" s="12" t="s">
        <v>41</v>
      </c>
      <c r="E112" s="12" t="s">
        <v>136</v>
      </c>
      <c r="F112" s="15" t="s">
        <v>50</v>
      </c>
      <c r="G112" s="6" t="b">
        <v>0</v>
      </c>
      <c r="H112" s="6" t="b">
        <v>0</v>
      </c>
      <c r="I112" s="6" t="b">
        <v>0</v>
      </c>
      <c r="J112" s="6" t="b">
        <v>0</v>
      </c>
      <c r="K112" s="6" t="b">
        <v>0</v>
      </c>
      <c r="L112" s="6" t="b">
        <v>0</v>
      </c>
      <c r="M112" s="6" t="b">
        <v>0</v>
      </c>
      <c r="N112" s="6" t="b">
        <v>0</v>
      </c>
      <c r="O112" s="6" t="b">
        <v>0</v>
      </c>
      <c r="P112" s="6" t="b">
        <v>0</v>
      </c>
      <c r="Q112" s="6" t="b">
        <v>0</v>
      </c>
      <c r="R112" s="6" t="b">
        <v>0</v>
      </c>
      <c r="S112" s="6" t="b">
        <v>0</v>
      </c>
      <c r="T112" s="6" t="b">
        <v>0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0</v>
      </c>
      <c r="AJ112" s="6" t="b">
        <v>0</v>
      </c>
      <c r="AK112" s="6" t="b">
        <v>0</v>
      </c>
      <c r="AL112" s="9" t="str">
        <f t="shared" si="1"/>
        <v>0 dari 31 (0%)</v>
      </c>
    </row>
    <row r="113" ht="22.5" customHeight="1">
      <c r="A113" s="10">
        <v>112.0</v>
      </c>
      <c r="B113" s="11"/>
      <c r="C113" s="20">
        <v>61394.0</v>
      </c>
      <c r="D113" s="12" t="s">
        <v>85</v>
      </c>
      <c r="E113" s="12" t="s">
        <v>69</v>
      </c>
      <c r="F113" s="13"/>
      <c r="G113" s="6" t="b">
        <v>0</v>
      </c>
      <c r="H113" s="6" t="b">
        <v>0</v>
      </c>
      <c r="I113" s="6" t="b">
        <v>0</v>
      </c>
      <c r="J113" s="6" t="b">
        <v>0</v>
      </c>
      <c r="K113" s="6" t="b">
        <v>0</v>
      </c>
      <c r="L113" s="6" t="b">
        <v>0</v>
      </c>
      <c r="M113" s="6" t="b">
        <v>0</v>
      </c>
      <c r="N113" s="6" t="b">
        <v>0</v>
      </c>
      <c r="O113" s="6" t="b">
        <v>0</v>
      </c>
      <c r="P113" s="6" t="b">
        <v>0</v>
      </c>
      <c r="Q113" s="6" t="b">
        <v>0</v>
      </c>
      <c r="R113" s="6" t="b">
        <v>0</v>
      </c>
      <c r="S113" s="6" t="b">
        <v>0</v>
      </c>
      <c r="T113" s="6" t="b">
        <v>0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0</v>
      </c>
      <c r="AJ113" s="6" t="b">
        <v>0</v>
      </c>
      <c r="AK113" s="6" t="b">
        <v>0</v>
      </c>
      <c r="AL113" s="9" t="str">
        <f t="shared" si="1"/>
        <v>0 dari 31 (0%)</v>
      </c>
    </row>
    <row r="114" ht="22.5" customHeight="1">
      <c r="A114" s="10">
        <v>113.0</v>
      </c>
      <c r="B114" s="11"/>
      <c r="C114" s="20">
        <v>57124.0</v>
      </c>
      <c r="D114" s="12" t="s">
        <v>63</v>
      </c>
      <c r="E114" s="12" t="s">
        <v>64</v>
      </c>
      <c r="F114" s="13"/>
      <c r="G114" s="6" t="b">
        <v>0</v>
      </c>
      <c r="H114" s="6" t="b">
        <v>0</v>
      </c>
      <c r="I114" s="6" t="b">
        <v>0</v>
      </c>
      <c r="J114" s="6" t="b">
        <v>0</v>
      </c>
      <c r="K114" s="6" t="b">
        <v>0</v>
      </c>
      <c r="L114" s="6" t="b">
        <v>0</v>
      </c>
      <c r="M114" s="6" t="b">
        <v>0</v>
      </c>
      <c r="N114" s="6" t="b">
        <v>0</v>
      </c>
      <c r="O114" s="6" t="b">
        <v>0</v>
      </c>
      <c r="P114" s="6" t="b">
        <v>0</v>
      </c>
      <c r="Q114" s="6" t="b">
        <v>0</v>
      </c>
      <c r="R114" s="6" t="b">
        <v>0</v>
      </c>
      <c r="S114" s="6" t="b">
        <v>0</v>
      </c>
      <c r="T114" s="6" t="b">
        <v>0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0</v>
      </c>
      <c r="AJ114" s="6" t="b">
        <v>0</v>
      </c>
      <c r="AK114" s="6" t="b">
        <v>0</v>
      </c>
      <c r="AL114" s="17" t="str">
        <f t="shared" si="1"/>
        <v>0 dari 31 (0%)</v>
      </c>
    </row>
    <row r="115" ht="22.5" customHeight="1">
      <c r="A115" s="2">
        <v>114.0</v>
      </c>
      <c r="B115" s="11"/>
      <c r="C115" s="20">
        <v>52682.0</v>
      </c>
      <c r="D115" s="12" t="s">
        <v>98</v>
      </c>
      <c r="E115" s="12" t="s">
        <v>137</v>
      </c>
      <c r="F115" s="13"/>
      <c r="G115" s="6" t="b">
        <v>0</v>
      </c>
      <c r="H115" s="6" t="b">
        <v>0</v>
      </c>
      <c r="I115" s="6" t="b">
        <v>0</v>
      </c>
      <c r="J115" s="6" t="b">
        <v>0</v>
      </c>
      <c r="K115" s="6" t="b">
        <v>0</v>
      </c>
      <c r="L115" s="6" t="b">
        <v>0</v>
      </c>
      <c r="M115" s="6" t="b">
        <v>0</v>
      </c>
      <c r="N115" s="6" t="b">
        <v>0</v>
      </c>
      <c r="O115" s="6" t="b">
        <v>0</v>
      </c>
      <c r="P115" s="6" t="b">
        <v>0</v>
      </c>
      <c r="Q115" s="6" t="b">
        <v>0</v>
      </c>
      <c r="R115" s="6" t="b">
        <v>0</v>
      </c>
      <c r="S115" s="6" t="b">
        <v>0</v>
      </c>
      <c r="T115" s="6" t="b">
        <v>0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0 dari 31 (0%)</v>
      </c>
    </row>
    <row r="116" ht="22.5" customHeight="1">
      <c r="A116" s="10">
        <v>115.0</v>
      </c>
      <c r="B116" s="11"/>
      <c r="C116" s="20">
        <v>60962.0</v>
      </c>
      <c r="D116" s="12" t="s">
        <v>51</v>
      </c>
      <c r="E116" s="12" t="s">
        <v>61</v>
      </c>
      <c r="F116" s="15" t="s">
        <v>50</v>
      </c>
      <c r="G116" s="6" t="b">
        <v>0</v>
      </c>
      <c r="H116" s="6" t="b">
        <v>0</v>
      </c>
      <c r="I116" s="6" t="b">
        <v>0</v>
      </c>
      <c r="J116" s="6" t="b">
        <v>0</v>
      </c>
      <c r="K116" s="6" t="b">
        <v>0</v>
      </c>
      <c r="L116" s="6" t="b">
        <v>0</v>
      </c>
      <c r="M116" s="6" t="b">
        <v>0</v>
      </c>
      <c r="N116" s="6" t="b">
        <v>0</v>
      </c>
      <c r="O116" s="6" t="b">
        <v>0</v>
      </c>
      <c r="P116" s="6" t="b">
        <v>0</v>
      </c>
      <c r="Q116" s="6" t="b">
        <v>0</v>
      </c>
      <c r="R116" s="6" t="b">
        <v>0</v>
      </c>
      <c r="S116" s="6" t="b">
        <v>0</v>
      </c>
      <c r="T116" s="6" t="b">
        <v>0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0</v>
      </c>
      <c r="AJ116" s="6" t="b">
        <v>0</v>
      </c>
      <c r="AK116" s="6" t="b">
        <v>0</v>
      </c>
      <c r="AL116" s="9" t="str">
        <f t="shared" si="1"/>
        <v>0 dari 31 (0%)</v>
      </c>
    </row>
    <row r="117" ht="22.5" customHeight="1">
      <c r="A117" s="10">
        <v>116.0</v>
      </c>
      <c r="B117" s="11"/>
      <c r="C117" s="22">
        <v>46192.0</v>
      </c>
      <c r="D117" s="12" t="s">
        <v>85</v>
      </c>
      <c r="E117" s="12" t="s">
        <v>91</v>
      </c>
      <c r="F117" s="15" t="s">
        <v>50</v>
      </c>
      <c r="G117" s="6" t="b">
        <v>0</v>
      </c>
      <c r="H117" s="6" t="b">
        <v>0</v>
      </c>
      <c r="I117" s="6" t="b">
        <v>0</v>
      </c>
      <c r="J117" s="6" t="b">
        <v>0</v>
      </c>
      <c r="K117" s="6" t="b">
        <v>0</v>
      </c>
      <c r="L117" s="6" t="b">
        <v>0</v>
      </c>
      <c r="M117" s="6" t="b">
        <v>0</v>
      </c>
      <c r="N117" s="6" t="b">
        <v>0</v>
      </c>
      <c r="O117" s="6" t="b">
        <v>0</v>
      </c>
      <c r="P117" s="6" t="b">
        <v>0</v>
      </c>
      <c r="Q117" s="6" t="b">
        <v>0</v>
      </c>
      <c r="R117" s="6" t="b">
        <v>0</v>
      </c>
      <c r="S117" s="6" t="b">
        <v>0</v>
      </c>
      <c r="T117" s="6" t="b">
        <v>0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0</v>
      </c>
      <c r="AJ117" s="6" t="b">
        <v>0</v>
      </c>
      <c r="AK117" s="6" t="b">
        <v>0</v>
      </c>
      <c r="AL117" s="17" t="str">
        <f t="shared" si="1"/>
        <v>0 dari 31 (0%)</v>
      </c>
    </row>
    <row r="118" ht="22.5" customHeight="1">
      <c r="A118" s="2">
        <v>117.0</v>
      </c>
      <c r="B118" s="11"/>
      <c r="C118" s="22">
        <v>61395.0</v>
      </c>
      <c r="D118" s="12" t="s">
        <v>39</v>
      </c>
      <c r="E118" s="12" t="s">
        <v>66</v>
      </c>
      <c r="F118" s="13"/>
      <c r="G118" s="6" t="b">
        <v>0</v>
      </c>
      <c r="H118" s="6" t="b">
        <v>0</v>
      </c>
      <c r="I118" s="6" t="b">
        <v>0</v>
      </c>
      <c r="J118" s="6" t="b">
        <v>0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  <c r="P118" s="6" t="b">
        <v>0</v>
      </c>
      <c r="Q118" s="6" t="b">
        <v>0</v>
      </c>
      <c r="R118" s="6" t="b">
        <v>0</v>
      </c>
      <c r="S118" s="6" t="b">
        <v>0</v>
      </c>
      <c r="T118" s="6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0</v>
      </c>
      <c r="AJ118" s="6" t="b">
        <v>0</v>
      </c>
      <c r="AK118" s="6" t="b">
        <v>0</v>
      </c>
      <c r="AL118" s="9" t="str">
        <f t="shared" si="1"/>
        <v>0 dari 31 (0%)</v>
      </c>
    </row>
    <row r="119" ht="22.5" customHeight="1">
      <c r="A119" s="10">
        <v>118.0</v>
      </c>
      <c r="B119" s="11"/>
      <c r="C119" s="22">
        <v>61105.0</v>
      </c>
      <c r="D119" s="12" t="s">
        <v>51</v>
      </c>
      <c r="E119" s="12" t="s">
        <v>61</v>
      </c>
      <c r="F119" s="15" t="s">
        <v>50</v>
      </c>
      <c r="G119" s="6" t="b">
        <v>0</v>
      </c>
      <c r="H119" s="6" t="b">
        <v>0</v>
      </c>
      <c r="I119" s="6" t="b">
        <v>0</v>
      </c>
      <c r="J119" s="6" t="b">
        <v>0</v>
      </c>
      <c r="K119" s="6" t="b">
        <v>0</v>
      </c>
      <c r="L119" s="6" t="b">
        <v>0</v>
      </c>
      <c r="M119" s="6" t="b">
        <v>0</v>
      </c>
      <c r="N119" s="6" t="b">
        <v>0</v>
      </c>
      <c r="O119" s="6" t="b">
        <v>0</v>
      </c>
      <c r="P119" s="6" t="b">
        <v>0</v>
      </c>
      <c r="Q119" s="6" t="b">
        <v>0</v>
      </c>
      <c r="R119" s="6" t="b">
        <v>0</v>
      </c>
      <c r="S119" s="6" t="b">
        <v>0</v>
      </c>
      <c r="T119" s="6" t="b">
        <v>0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0</v>
      </c>
      <c r="AA119" s="6" t="b">
        <v>0</v>
      </c>
      <c r="AB119" s="6" t="b">
        <v>0</v>
      </c>
      <c r="AC119" s="6" t="b">
        <v>0</v>
      </c>
      <c r="AD119" s="6" t="b">
        <v>0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0</v>
      </c>
      <c r="AJ119" s="6" t="b">
        <v>0</v>
      </c>
      <c r="AK119" s="6" t="b">
        <v>0</v>
      </c>
      <c r="AL119" s="9" t="str">
        <f t="shared" si="1"/>
        <v>0 dari 31 (0%)</v>
      </c>
    </row>
    <row r="120" ht="22.5" customHeight="1">
      <c r="A120" s="10">
        <v>119.0</v>
      </c>
      <c r="B120" s="11"/>
      <c r="C120" s="65">
        <v>60969.0</v>
      </c>
      <c r="D120" s="12" t="s">
        <v>98</v>
      </c>
      <c r="E120" s="12" t="s">
        <v>61</v>
      </c>
      <c r="F120" s="13"/>
      <c r="G120" s="6" t="b">
        <v>0</v>
      </c>
      <c r="H120" s="6" t="b">
        <v>0</v>
      </c>
      <c r="I120" s="6" t="b">
        <v>0</v>
      </c>
      <c r="J120" s="6" t="b">
        <v>0</v>
      </c>
      <c r="K120" s="6" t="b">
        <v>0</v>
      </c>
      <c r="L120" s="6" t="b">
        <v>0</v>
      </c>
      <c r="M120" s="6" t="b">
        <v>0</v>
      </c>
      <c r="N120" s="6" t="b">
        <v>0</v>
      </c>
      <c r="O120" s="6" t="b">
        <v>0</v>
      </c>
      <c r="P120" s="6" t="b">
        <v>0</v>
      </c>
      <c r="Q120" s="6" t="b">
        <v>0</v>
      </c>
      <c r="R120" s="6" t="b">
        <v>0</v>
      </c>
      <c r="S120" s="6" t="b">
        <v>0</v>
      </c>
      <c r="T120" s="6" t="b">
        <v>0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0</v>
      </c>
      <c r="AJ120" s="6" t="b">
        <v>0</v>
      </c>
      <c r="AK120" s="6" t="b">
        <v>0</v>
      </c>
      <c r="AL120" s="17" t="str">
        <f t="shared" si="1"/>
        <v>0 dari 31 (0%)</v>
      </c>
    </row>
    <row r="121" ht="22.5" customHeight="1">
      <c r="A121" s="2">
        <v>120.0</v>
      </c>
      <c r="B121" s="11"/>
      <c r="C121" s="22">
        <v>61397.0</v>
      </c>
      <c r="D121" s="12" t="s">
        <v>54</v>
      </c>
      <c r="E121" s="12" t="s">
        <v>76</v>
      </c>
      <c r="F121" s="15" t="s">
        <v>50</v>
      </c>
      <c r="G121" s="6" t="b">
        <v>0</v>
      </c>
      <c r="H121" s="6" t="b">
        <v>0</v>
      </c>
      <c r="I121" s="6" t="b">
        <v>0</v>
      </c>
      <c r="J121" s="6" t="b">
        <v>0</v>
      </c>
      <c r="K121" s="6" t="b">
        <v>0</v>
      </c>
      <c r="L121" s="6" t="b">
        <v>0</v>
      </c>
      <c r="M121" s="6" t="b">
        <v>0</v>
      </c>
      <c r="N121" s="6" t="b">
        <v>0</v>
      </c>
      <c r="O121" s="6" t="b">
        <v>0</v>
      </c>
      <c r="P121" s="6" t="b">
        <v>0</v>
      </c>
      <c r="Q121" s="6" t="b">
        <v>0</v>
      </c>
      <c r="R121" s="6" t="b">
        <v>0</v>
      </c>
      <c r="S121" s="6" t="b">
        <v>0</v>
      </c>
      <c r="T121" s="6" t="b">
        <v>0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0</v>
      </c>
      <c r="AJ121" s="6" t="b">
        <v>0</v>
      </c>
      <c r="AK121" s="6" t="b">
        <v>0</v>
      </c>
      <c r="AL121" s="9" t="str">
        <f t="shared" si="1"/>
        <v>0 dari 31 (0%)</v>
      </c>
    </row>
    <row r="122" ht="22.5" customHeight="1">
      <c r="A122" s="10">
        <v>121.0</v>
      </c>
      <c r="B122" s="11"/>
      <c r="C122" s="20">
        <v>61398.0</v>
      </c>
      <c r="D122" s="12" t="s">
        <v>39</v>
      </c>
      <c r="E122" s="12" t="s">
        <v>135</v>
      </c>
      <c r="F122" s="13"/>
      <c r="G122" s="6" t="b">
        <v>0</v>
      </c>
      <c r="H122" s="6" t="b">
        <v>0</v>
      </c>
      <c r="I122" s="6" t="b">
        <v>0</v>
      </c>
      <c r="J122" s="6" t="b">
        <v>0</v>
      </c>
      <c r="K122" s="6" t="b">
        <v>0</v>
      </c>
      <c r="L122" s="6" t="b">
        <v>0</v>
      </c>
      <c r="M122" s="6" t="b">
        <v>0</v>
      </c>
      <c r="N122" s="6" t="b">
        <v>0</v>
      </c>
      <c r="O122" s="6" t="b">
        <v>0</v>
      </c>
      <c r="P122" s="6" t="b">
        <v>0</v>
      </c>
      <c r="Q122" s="6" t="b">
        <v>0</v>
      </c>
      <c r="R122" s="6" t="b">
        <v>0</v>
      </c>
      <c r="S122" s="6" t="b">
        <v>0</v>
      </c>
      <c r="T122" s="6" t="b">
        <v>0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0</v>
      </c>
      <c r="AJ122" s="6" t="b">
        <v>0</v>
      </c>
      <c r="AK122" s="6" t="b">
        <v>0</v>
      </c>
      <c r="AL122" s="9" t="str">
        <f t="shared" si="1"/>
        <v>0 dari 31 (0%)</v>
      </c>
    </row>
    <row r="123" ht="22.5" customHeight="1">
      <c r="A123" s="10">
        <v>122.0</v>
      </c>
      <c r="B123" s="11"/>
      <c r="C123" s="20">
        <v>57419.0</v>
      </c>
      <c r="D123" s="12" t="s">
        <v>80</v>
      </c>
      <c r="E123" s="12" t="s">
        <v>154</v>
      </c>
      <c r="F123" s="13"/>
      <c r="G123" s="6" t="b">
        <v>0</v>
      </c>
      <c r="H123" s="6" t="b">
        <v>0</v>
      </c>
      <c r="I123" s="6" t="b">
        <v>0</v>
      </c>
      <c r="J123" s="6" t="b">
        <v>0</v>
      </c>
      <c r="K123" s="6" t="b">
        <v>0</v>
      </c>
      <c r="L123" s="6" t="b">
        <v>0</v>
      </c>
      <c r="M123" s="6" t="b">
        <v>0</v>
      </c>
      <c r="N123" s="6" t="b">
        <v>0</v>
      </c>
      <c r="O123" s="6" t="b">
        <v>0</v>
      </c>
      <c r="P123" s="6" t="b">
        <v>0</v>
      </c>
      <c r="Q123" s="6" t="b">
        <v>0</v>
      </c>
      <c r="R123" s="6" t="b">
        <v>0</v>
      </c>
      <c r="S123" s="6" t="b">
        <v>0</v>
      </c>
      <c r="T123" s="6" t="b">
        <v>0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0</v>
      </c>
      <c r="AJ123" s="6" t="b">
        <v>0</v>
      </c>
      <c r="AK123" s="6" t="b">
        <v>0</v>
      </c>
      <c r="AL123" s="17" t="str">
        <f t="shared" si="1"/>
        <v>0 dari 31 (0%)</v>
      </c>
    </row>
    <row r="124" ht="22.5" customHeight="1">
      <c r="A124" s="92">
        <v>123.0</v>
      </c>
      <c r="B124" s="83"/>
      <c r="C124" s="91">
        <v>58246.0</v>
      </c>
      <c r="D124" s="85" t="s">
        <v>98</v>
      </c>
      <c r="E124" s="85" t="s">
        <v>133</v>
      </c>
      <c r="F124" s="86" t="s">
        <v>67</v>
      </c>
      <c r="G124" s="87" t="b">
        <v>0</v>
      </c>
      <c r="H124" s="87" t="b">
        <v>0</v>
      </c>
      <c r="I124" s="87" t="b">
        <v>0</v>
      </c>
      <c r="J124" s="87" t="b">
        <v>0</v>
      </c>
      <c r="K124" s="87" t="b">
        <v>0</v>
      </c>
      <c r="L124" s="87" t="b">
        <v>0</v>
      </c>
      <c r="M124" s="87" t="b">
        <v>0</v>
      </c>
      <c r="N124" s="87" t="b">
        <v>0</v>
      </c>
      <c r="O124" s="87" t="b">
        <v>0</v>
      </c>
      <c r="P124" s="87" t="b">
        <v>0</v>
      </c>
      <c r="Q124" s="87" t="b">
        <v>0</v>
      </c>
      <c r="R124" s="87" t="b">
        <v>0</v>
      </c>
      <c r="S124" s="87" t="b">
        <v>0</v>
      </c>
      <c r="T124" s="87" t="b">
        <v>0</v>
      </c>
      <c r="U124" s="87" t="b">
        <v>0</v>
      </c>
      <c r="V124" s="87" t="b">
        <v>0</v>
      </c>
      <c r="W124" s="87" t="b">
        <v>0</v>
      </c>
      <c r="X124" s="87" t="b">
        <v>0</v>
      </c>
      <c r="Y124" s="87" t="b">
        <v>0</v>
      </c>
      <c r="Z124" s="87" t="b">
        <v>0</v>
      </c>
      <c r="AA124" s="87" t="b">
        <v>0</v>
      </c>
      <c r="AB124" s="87" t="b">
        <v>0</v>
      </c>
      <c r="AC124" s="87" t="b">
        <v>0</v>
      </c>
      <c r="AD124" s="87" t="b">
        <v>0</v>
      </c>
      <c r="AE124" s="87" t="b">
        <v>0</v>
      </c>
      <c r="AF124" s="87" t="b">
        <v>0</v>
      </c>
      <c r="AG124" s="87" t="b">
        <v>0</v>
      </c>
      <c r="AH124" s="87" t="b">
        <v>0</v>
      </c>
      <c r="AI124" s="87" t="b">
        <v>0</v>
      </c>
      <c r="AJ124" s="87" t="b">
        <v>0</v>
      </c>
      <c r="AK124" s="87" t="b">
        <v>0</v>
      </c>
      <c r="AL124" s="89" t="str">
        <f t="shared" si="1"/>
        <v>0 dari 31 (0%)</v>
      </c>
    </row>
    <row r="125" ht="22.5" customHeight="1">
      <c r="A125" s="10">
        <v>124.0</v>
      </c>
      <c r="B125" s="11"/>
      <c r="C125" s="20">
        <v>48964.0</v>
      </c>
      <c r="D125" s="12" t="s">
        <v>98</v>
      </c>
      <c r="E125" s="12" t="s">
        <v>133</v>
      </c>
      <c r="F125" s="13"/>
      <c r="G125" s="6" t="b">
        <v>0</v>
      </c>
      <c r="H125" s="6" t="b">
        <v>0</v>
      </c>
      <c r="I125" s="6" t="b">
        <v>0</v>
      </c>
      <c r="J125" s="6" t="b">
        <v>0</v>
      </c>
      <c r="K125" s="6" t="b">
        <v>0</v>
      </c>
      <c r="L125" s="6" t="b">
        <v>0</v>
      </c>
      <c r="M125" s="6" t="b">
        <v>0</v>
      </c>
      <c r="N125" s="6" t="b">
        <v>0</v>
      </c>
      <c r="O125" s="6" t="b">
        <v>0</v>
      </c>
      <c r="P125" s="6" t="b">
        <v>0</v>
      </c>
      <c r="Q125" s="6" t="b">
        <v>0</v>
      </c>
      <c r="R125" s="6" t="b">
        <v>0</v>
      </c>
      <c r="S125" s="6" t="b">
        <v>0</v>
      </c>
      <c r="T125" s="6" t="b">
        <v>0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0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0</v>
      </c>
      <c r="AJ125" s="6" t="b">
        <v>0</v>
      </c>
      <c r="AK125" s="6" t="b">
        <v>0</v>
      </c>
      <c r="AL125" s="9" t="str">
        <f t="shared" si="1"/>
        <v>0 dari 31 (0%)</v>
      </c>
    </row>
    <row r="126" ht="22.5" customHeight="1">
      <c r="A126" s="10">
        <v>125.0</v>
      </c>
      <c r="B126" s="11"/>
      <c r="C126" s="20">
        <v>47791.0</v>
      </c>
      <c r="D126" s="12" t="s">
        <v>98</v>
      </c>
      <c r="E126" s="12" t="s">
        <v>133</v>
      </c>
      <c r="F126" s="13"/>
      <c r="G126" s="6" t="b">
        <v>0</v>
      </c>
      <c r="H126" s="6" t="b">
        <v>0</v>
      </c>
      <c r="I126" s="6" t="b">
        <v>0</v>
      </c>
      <c r="J126" s="6" t="b">
        <v>0</v>
      </c>
      <c r="K126" s="6" t="b">
        <v>0</v>
      </c>
      <c r="L126" s="6" t="b">
        <v>0</v>
      </c>
      <c r="M126" s="6" t="b">
        <v>0</v>
      </c>
      <c r="N126" s="6" t="b">
        <v>0</v>
      </c>
      <c r="O126" s="6" t="b">
        <v>0</v>
      </c>
      <c r="P126" s="6" t="b">
        <v>0</v>
      </c>
      <c r="Q126" s="6" t="b">
        <v>0</v>
      </c>
      <c r="R126" s="6" t="b">
        <v>0</v>
      </c>
      <c r="S126" s="6" t="b">
        <v>0</v>
      </c>
      <c r="T126" s="6" t="b">
        <v>0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0</v>
      </c>
      <c r="AJ126" s="6" t="b">
        <v>0</v>
      </c>
      <c r="AK126" s="6" t="b">
        <v>0</v>
      </c>
      <c r="AL126" s="17" t="str">
        <f t="shared" si="1"/>
        <v>0 dari 31 (0%)</v>
      </c>
    </row>
    <row r="127" ht="22.5" customHeight="1">
      <c r="A127" s="2">
        <v>126.0</v>
      </c>
      <c r="B127" s="11"/>
      <c r="C127" s="22">
        <v>61396.0</v>
      </c>
      <c r="D127" s="12" t="s">
        <v>63</v>
      </c>
      <c r="E127" s="12" t="s">
        <v>112</v>
      </c>
      <c r="F127" s="13"/>
      <c r="G127" s="6" t="b">
        <v>0</v>
      </c>
      <c r="H127" s="6" t="b">
        <v>0</v>
      </c>
      <c r="I127" s="6" t="b">
        <v>0</v>
      </c>
      <c r="J127" s="6" t="b">
        <v>0</v>
      </c>
      <c r="K127" s="6" t="b">
        <v>0</v>
      </c>
      <c r="L127" s="6" t="b">
        <v>0</v>
      </c>
      <c r="M127" s="6" t="b">
        <v>0</v>
      </c>
      <c r="N127" s="6" t="b">
        <v>0</v>
      </c>
      <c r="O127" s="6" t="b">
        <v>0</v>
      </c>
      <c r="P127" s="6" t="b">
        <v>0</v>
      </c>
      <c r="Q127" s="6" t="b">
        <v>0</v>
      </c>
      <c r="R127" s="6" t="b">
        <v>0</v>
      </c>
      <c r="S127" s="6" t="b">
        <v>0</v>
      </c>
      <c r="T127" s="6" t="b">
        <v>0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0</v>
      </c>
      <c r="AJ127" s="6" t="b">
        <v>0</v>
      </c>
      <c r="AK127" s="6" t="b">
        <v>0</v>
      </c>
      <c r="AL127" s="9" t="str">
        <f t="shared" si="1"/>
        <v>0 dari 31 (0%)</v>
      </c>
    </row>
    <row r="128" ht="22.5" customHeight="1">
      <c r="A128" s="61">
        <v>127.0</v>
      </c>
      <c r="B128" s="62"/>
      <c r="C128" s="32">
        <v>61399.0</v>
      </c>
      <c r="D128" s="51" t="s">
        <v>39</v>
      </c>
      <c r="E128" s="51" t="s">
        <v>135</v>
      </c>
      <c r="F128" s="53"/>
      <c r="G128" s="35" t="b">
        <v>0</v>
      </c>
      <c r="H128" s="35" t="b">
        <v>0</v>
      </c>
      <c r="I128" s="35" t="b">
        <v>0</v>
      </c>
      <c r="J128" s="35" t="b">
        <v>0</v>
      </c>
      <c r="K128" s="35" t="b">
        <v>0</v>
      </c>
      <c r="L128" s="35" t="b">
        <v>0</v>
      </c>
      <c r="M128" s="35" t="b">
        <v>0</v>
      </c>
      <c r="N128" s="35" t="b">
        <v>0</v>
      </c>
      <c r="O128" s="35" t="b">
        <v>0</v>
      </c>
      <c r="P128" s="35" t="b">
        <v>0</v>
      </c>
      <c r="Q128" s="35" t="b">
        <v>0</v>
      </c>
      <c r="R128" s="35" t="b">
        <v>0</v>
      </c>
      <c r="S128" s="35" t="b">
        <v>0</v>
      </c>
      <c r="T128" s="35" t="b">
        <v>0</v>
      </c>
      <c r="U128" s="35" t="b">
        <v>0</v>
      </c>
      <c r="V128" s="35" t="b">
        <v>0</v>
      </c>
      <c r="W128" s="35" t="b">
        <v>0</v>
      </c>
      <c r="X128" s="35" t="b">
        <v>0</v>
      </c>
      <c r="Y128" s="35" t="b">
        <v>0</v>
      </c>
      <c r="Z128" s="35" t="b">
        <v>0</v>
      </c>
      <c r="AA128" s="35" t="b">
        <v>0</v>
      </c>
      <c r="AB128" s="35" t="b">
        <v>0</v>
      </c>
      <c r="AC128" s="35" t="b">
        <v>0</v>
      </c>
      <c r="AD128" s="35" t="b">
        <v>0</v>
      </c>
      <c r="AE128" s="35" t="b">
        <v>0</v>
      </c>
      <c r="AF128" s="35" t="b">
        <v>0</v>
      </c>
      <c r="AG128" s="35" t="b">
        <v>0</v>
      </c>
      <c r="AH128" s="35" t="b">
        <v>0</v>
      </c>
      <c r="AI128" s="35" t="b">
        <v>0</v>
      </c>
      <c r="AJ128" s="35" t="b">
        <v>0</v>
      </c>
      <c r="AK128" s="35" t="b">
        <v>0</v>
      </c>
      <c r="AL128" s="38" t="str">
        <f t="shared" si="1"/>
        <v>0 dari 31 (0%)</v>
      </c>
    </row>
    <row r="129" ht="22.5" customHeight="1">
      <c r="A129" s="10">
        <v>128.0</v>
      </c>
      <c r="B129" s="11"/>
      <c r="C129" s="22">
        <v>50887.0</v>
      </c>
      <c r="D129" s="12" t="s">
        <v>39</v>
      </c>
      <c r="E129" s="12" t="s">
        <v>135</v>
      </c>
      <c r="F129" s="13"/>
      <c r="G129" s="6" t="b">
        <v>0</v>
      </c>
      <c r="H129" s="6" t="b">
        <v>0</v>
      </c>
      <c r="I129" s="6" t="b">
        <v>0</v>
      </c>
      <c r="J129" s="6" t="b">
        <v>0</v>
      </c>
      <c r="K129" s="6" t="b">
        <v>0</v>
      </c>
      <c r="L129" s="6" t="b">
        <v>0</v>
      </c>
      <c r="M129" s="6" t="b">
        <v>0</v>
      </c>
      <c r="N129" s="6" t="b">
        <v>0</v>
      </c>
      <c r="O129" s="6" t="b">
        <v>0</v>
      </c>
      <c r="P129" s="6" t="b">
        <v>0</v>
      </c>
      <c r="Q129" s="6" t="b">
        <v>0</v>
      </c>
      <c r="R129" s="6" t="b">
        <v>0</v>
      </c>
      <c r="S129" s="6" t="b">
        <v>0</v>
      </c>
      <c r="T129" s="6" t="b">
        <v>0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0</v>
      </c>
      <c r="AJ129" s="6" t="b">
        <v>0</v>
      </c>
      <c r="AK129" s="6" t="b">
        <v>0</v>
      </c>
      <c r="AL129" s="17" t="str">
        <f t="shared" si="1"/>
        <v>0 dari 31 (0%)</v>
      </c>
    </row>
    <row r="130" ht="22.5" customHeight="1">
      <c r="A130" s="2">
        <v>129.0</v>
      </c>
      <c r="B130" s="11"/>
      <c r="C130" s="22">
        <v>60428.0</v>
      </c>
      <c r="D130" s="12" t="s">
        <v>39</v>
      </c>
      <c r="E130" s="12" t="s">
        <v>45</v>
      </c>
      <c r="F130" s="13"/>
      <c r="G130" s="6" t="b">
        <v>0</v>
      </c>
      <c r="H130" s="6" t="b">
        <v>0</v>
      </c>
      <c r="I130" s="6" t="b">
        <v>0</v>
      </c>
      <c r="J130" s="6" t="b">
        <v>0</v>
      </c>
      <c r="K130" s="6" t="b">
        <v>0</v>
      </c>
      <c r="L130" s="6" t="b">
        <v>0</v>
      </c>
      <c r="M130" s="6" t="b">
        <v>0</v>
      </c>
      <c r="N130" s="6" t="b">
        <v>0</v>
      </c>
      <c r="O130" s="6" t="b">
        <v>0</v>
      </c>
      <c r="P130" s="6" t="b">
        <v>0</v>
      </c>
      <c r="Q130" s="6" t="b">
        <v>0</v>
      </c>
      <c r="R130" s="6" t="b">
        <v>0</v>
      </c>
      <c r="S130" s="6" t="b">
        <v>0</v>
      </c>
      <c r="T130" s="6" t="b">
        <v>0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0</v>
      </c>
      <c r="AJ130" s="6" t="b">
        <v>0</v>
      </c>
      <c r="AK130" s="6" t="b">
        <v>0</v>
      </c>
      <c r="AL130" s="9" t="str">
        <f t="shared" si="1"/>
        <v>0 dari 31 (0%)</v>
      </c>
    </row>
    <row r="131" ht="22.5" customHeight="1">
      <c r="A131" s="10">
        <v>130.0</v>
      </c>
      <c r="B131" s="11"/>
      <c r="C131" s="22">
        <v>60754.0</v>
      </c>
      <c r="D131" s="12" t="s">
        <v>39</v>
      </c>
      <c r="E131" s="12" t="s">
        <v>45</v>
      </c>
      <c r="F131" s="13"/>
      <c r="G131" s="6" t="b">
        <v>0</v>
      </c>
      <c r="H131" s="6" t="b">
        <v>0</v>
      </c>
      <c r="I131" s="6" t="b">
        <v>0</v>
      </c>
      <c r="J131" s="6" t="b">
        <v>0</v>
      </c>
      <c r="K131" s="6" t="b">
        <v>0</v>
      </c>
      <c r="L131" s="6" t="b">
        <v>0</v>
      </c>
      <c r="M131" s="6" t="b">
        <v>0</v>
      </c>
      <c r="N131" s="6" t="b">
        <v>0</v>
      </c>
      <c r="O131" s="6" t="b">
        <v>0</v>
      </c>
      <c r="P131" s="6" t="b">
        <v>0</v>
      </c>
      <c r="Q131" s="6" t="b">
        <v>0</v>
      </c>
      <c r="R131" s="6" t="b">
        <v>0</v>
      </c>
      <c r="S131" s="6" t="b">
        <v>0</v>
      </c>
      <c r="T131" s="6" t="b">
        <v>0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0</v>
      </c>
      <c r="AJ131" s="6" t="b">
        <v>0</v>
      </c>
      <c r="AK131" s="6" t="b">
        <v>0</v>
      </c>
      <c r="AL131" s="9" t="str">
        <f t="shared" si="1"/>
        <v>0 dari 31 (0%)</v>
      </c>
    </row>
    <row r="132" ht="22.5" customHeight="1">
      <c r="A132" s="10">
        <v>131.0</v>
      </c>
      <c r="B132" s="11"/>
      <c r="C132" s="20">
        <v>60467.0</v>
      </c>
      <c r="D132" s="12" t="s">
        <v>39</v>
      </c>
      <c r="E132" s="12" t="s">
        <v>45</v>
      </c>
      <c r="F132" s="13"/>
      <c r="G132" s="6" t="b">
        <v>0</v>
      </c>
      <c r="H132" s="6" t="b">
        <v>0</v>
      </c>
      <c r="I132" s="6" t="b">
        <v>0</v>
      </c>
      <c r="J132" s="6" t="b">
        <v>0</v>
      </c>
      <c r="K132" s="6" t="b">
        <v>0</v>
      </c>
      <c r="L132" s="6" t="b">
        <v>0</v>
      </c>
      <c r="M132" s="6" t="b">
        <v>0</v>
      </c>
      <c r="N132" s="6" t="b">
        <v>0</v>
      </c>
      <c r="O132" s="6" t="b">
        <v>0</v>
      </c>
      <c r="P132" s="6" t="b">
        <v>0</v>
      </c>
      <c r="Q132" s="6" t="b">
        <v>0</v>
      </c>
      <c r="R132" s="6" t="b">
        <v>0</v>
      </c>
      <c r="S132" s="6" t="b">
        <v>0</v>
      </c>
      <c r="T132" s="6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17" t="str">
        <f t="shared" si="1"/>
        <v>0 dari 31 (0%)</v>
      </c>
    </row>
    <row r="133" ht="22.5" customHeight="1">
      <c r="A133" s="2">
        <v>132.0</v>
      </c>
      <c r="B133" s="11"/>
      <c r="C133" s="20">
        <v>50294.0</v>
      </c>
      <c r="D133" s="12" t="s">
        <v>39</v>
      </c>
      <c r="E133" s="12" t="s">
        <v>45</v>
      </c>
      <c r="F133" s="13"/>
      <c r="G133" s="6" t="b">
        <v>0</v>
      </c>
      <c r="H133" s="6" t="b">
        <v>0</v>
      </c>
      <c r="I133" s="6" t="b">
        <v>0</v>
      </c>
      <c r="J133" s="6" t="b">
        <v>0</v>
      </c>
      <c r="K133" s="6" t="b">
        <v>0</v>
      </c>
      <c r="L133" s="6" t="b">
        <v>0</v>
      </c>
      <c r="M133" s="6" t="b">
        <v>0</v>
      </c>
      <c r="N133" s="6" t="b">
        <v>0</v>
      </c>
      <c r="O133" s="6" t="b">
        <v>0</v>
      </c>
      <c r="P133" s="6" t="b">
        <v>0</v>
      </c>
      <c r="Q133" s="6" t="b">
        <v>0</v>
      </c>
      <c r="R133" s="6" t="b">
        <v>0</v>
      </c>
      <c r="S133" s="6" t="b">
        <v>0</v>
      </c>
      <c r="T133" s="6" t="b">
        <v>0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0</v>
      </c>
      <c r="AJ133" s="6" t="b">
        <v>0</v>
      </c>
      <c r="AK133" s="6" t="b">
        <v>0</v>
      </c>
      <c r="AL133" s="9" t="str">
        <f t="shared" si="1"/>
        <v>0 dari 31 (0%)</v>
      </c>
    </row>
    <row r="134" ht="22.5" customHeight="1">
      <c r="A134" s="10">
        <v>133.0</v>
      </c>
      <c r="B134" s="11"/>
      <c r="C134" s="20">
        <v>51986.0</v>
      </c>
      <c r="D134" s="12" t="s">
        <v>39</v>
      </c>
      <c r="E134" s="12" t="s">
        <v>45</v>
      </c>
      <c r="F134" s="13"/>
      <c r="G134" s="6" t="b">
        <v>0</v>
      </c>
      <c r="H134" s="6" t="b">
        <v>0</v>
      </c>
      <c r="I134" s="6" t="b">
        <v>0</v>
      </c>
      <c r="J134" s="6" t="b">
        <v>0</v>
      </c>
      <c r="K134" s="6" t="b">
        <v>0</v>
      </c>
      <c r="L134" s="6" t="b">
        <v>0</v>
      </c>
      <c r="M134" s="6" t="b">
        <v>0</v>
      </c>
      <c r="N134" s="6" t="b">
        <v>0</v>
      </c>
      <c r="O134" s="6" t="b">
        <v>0</v>
      </c>
      <c r="P134" s="6" t="b">
        <v>0</v>
      </c>
      <c r="Q134" s="6" t="b">
        <v>0</v>
      </c>
      <c r="R134" s="6" t="b">
        <v>0</v>
      </c>
      <c r="S134" s="6" t="b">
        <v>0</v>
      </c>
      <c r="T134" s="6" t="b">
        <v>0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0</v>
      </c>
      <c r="AJ134" s="6" t="b">
        <v>0</v>
      </c>
      <c r="AK134" s="6" t="b">
        <v>0</v>
      </c>
      <c r="AL134" s="9" t="str">
        <f t="shared" si="1"/>
        <v>0 dari 31 (0%)</v>
      </c>
    </row>
    <row r="135" ht="22.5" customHeight="1">
      <c r="A135" s="10">
        <v>134.0</v>
      </c>
      <c r="B135" s="11"/>
      <c r="C135" s="20">
        <v>61033.0</v>
      </c>
      <c r="D135" s="12" t="s">
        <v>39</v>
      </c>
      <c r="E135" s="12" t="s">
        <v>45</v>
      </c>
      <c r="F135" s="13"/>
      <c r="G135" s="6" t="b">
        <v>0</v>
      </c>
      <c r="H135" s="6" t="b">
        <v>0</v>
      </c>
      <c r="I135" s="6" t="b">
        <v>0</v>
      </c>
      <c r="J135" s="6" t="b">
        <v>0</v>
      </c>
      <c r="K135" s="6" t="b">
        <v>0</v>
      </c>
      <c r="L135" s="6" t="b">
        <v>0</v>
      </c>
      <c r="M135" s="6" t="b">
        <v>0</v>
      </c>
      <c r="N135" s="6" t="b">
        <v>0</v>
      </c>
      <c r="O135" s="6" t="b">
        <v>0</v>
      </c>
      <c r="P135" s="6" t="b">
        <v>0</v>
      </c>
      <c r="Q135" s="6" t="b">
        <v>0</v>
      </c>
      <c r="R135" s="6" t="b">
        <v>0</v>
      </c>
      <c r="S135" s="6" t="b">
        <v>0</v>
      </c>
      <c r="T135" s="6" t="b">
        <v>0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0</v>
      </c>
      <c r="AJ135" s="6" t="b">
        <v>0</v>
      </c>
      <c r="AK135" s="6" t="b">
        <v>0</v>
      </c>
      <c r="AL135" s="17" t="str">
        <f t="shared" si="1"/>
        <v>0 dari 31 (0%)</v>
      </c>
    </row>
    <row r="136" ht="22.5" customHeight="1">
      <c r="A136" s="2">
        <v>135.0</v>
      </c>
      <c r="B136" s="11"/>
      <c r="C136" s="20">
        <v>50043.0</v>
      </c>
      <c r="D136" s="12" t="s">
        <v>39</v>
      </c>
      <c r="E136" s="12" t="s">
        <v>45</v>
      </c>
      <c r="F136" s="13"/>
      <c r="G136" s="6" t="b">
        <v>0</v>
      </c>
      <c r="H136" s="6" t="b">
        <v>0</v>
      </c>
      <c r="I136" s="6" t="b">
        <v>0</v>
      </c>
      <c r="J136" s="6" t="b">
        <v>0</v>
      </c>
      <c r="K136" s="6" t="b">
        <v>0</v>
      </c>
      <c r="L136" s="6" t="b">
        <v>0</v>
      </c>
      <c r="M136" s="6" t="b">
        <v>0</v>
      </c>
      <c r="N136" s="6" t="b">
        <v>0</v>
      </c>
      <c r="O136" s="6" t="b">
        <v>0</v>
      </c>
      <c r="P136" s="6" t="b">
        <v>0</v>
      </c>
      <c r="Q136" s="6" t="b">
        <v>0</v>
      </c>
      <c r="R136" s="6" t="b">
        <v>0</v>
      </c>
      <c r="S136" s="6" t="b">
        <v>0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0</v>
      </c>
      <c r="AJ136" s="6" t="b">
        <v>0</v>
      </c>
      <c r="AK136" s="6" t="b">
        <v>0</v>
      </c>
      <c r="AL136" s="9" t="str">
        <f t="shared" si="1"/>
        <v>0 dari 31 (0%)</v>
      </c>
    </row>
    <row r="137" ht="22.5" customHeight="1">
      <c r="A137" s="10">
        <v>136.0</v>
      </c>
      <c r="B137" s="11"/>
      <c r="C137" s="22">
        <v>61051.0</v>
      </c>
      <c r="D137" s="12" t="s">
        <v>39</v>
      </c>
      <c r="E137" s="12" t="s">
        <v>45</v>
      </c>
      <c r="F137" s="13"/>
      <c r="G137" s="6" t="b">
        <v>0</v>
      </c>
      <c r="H137" s="6" t="b">
        <v>0</v>
      </c>
      <c r="I137" s="6" t="b">
        <v>0</v>
      </c>
      <c r="J137" s="6" t="b">
        <v>0</v>
      </c>
      <c r="K137" s="6" t="b">
        <v>0</v>
      </c>
      <c r="L137" s="6" t="b">
        <v>0</v>
      </c>
      <c r="M137" s="6" t="b">
        <v>0</v>
      </c>
      <c r="N137" s="6" t="b">
        <v>0</v>
      </c>
      <c r="O137" s="6" t="b">
        <v>0</v>
      </c>
      <c r="P137" s="6" t="b">
        <v>0</v>
      </c>
      <c r="Q137" s="6" t="b">
        <v>0</v>
      </c>
      <c r="R137" s="6" t="b">
        <v>0</v>
      </c>
      <c r="S137" s="6" t="b">
        <v>0</v>
      </c>
      <c r="T137" s="6" t="b">
        <v>0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0</v>
      </c>
      <c r="AJ137" s="6" t="b">
        <v>0</v>
      </c>
      <c r="AK137" s="6" t="b">
        <v>0</v>
      </c>
      <c r="AL137" s="9" t="str">
        <f t="shared" si="1"/>
        <v>0 dari 31 (0%)</v>
      </c>
    </row>
    <row r="138" ht="22.5" customHeight="1">
      <c r="A138" s="10">
        <v>137.0</v>
      </c>
      <c r="B138" s="11"/>
      <c r="C138" s="22">
        <v>60878.0</v>
      </c>
      <c r="D138" s="12" t="s">
        <v>39</v>
      </c>
      <c r="E138" s="12" t="s">
        <v>45</v>
      </c>
      <c r="F138" s="13"/>
      <c r="G138" s="6" t="b">
        <v>0</v>
      </c>
      <c r="H138" s="6" t="b">
        <v>0</v>
      </c>
      <c r="I138" s="6" t="b">
        <v>0</v>
      </c>
      <c r="J138" s="6" t="b">
        <v>0</v>
      </c>
      <c r="K138" s="6" t="b">
        <v>0</v>
      </c>
      <c r="L138" s="6" t="b">
        <v>0</v>
      </c>
      <c r="M138" s="6" t="b">
        <v>0</v>
      </c>
      <c r="N138" s="6" t="b">
        <v>0</v>
      </c>
      <c r="O138" s="6" t="b">
        <v>0</v>
      </c>
      <c r="P138" s="6" t="b">
        <v>0</v>
      </c>
      <c r="Q138" s="6" t="b">
        <v>0</v>
      </c>
      <c r="R138" s="6" t="b">
        <v>0</v>
      </c>
      <c r="S138" s="6" t="b">
        <v>0</v>
      </c>
      <c r="T138" s="6" t="b">
        <v>0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0</v>
      </c>
      <c r="AJ138" s="6" t="b">
        <v>0</v>
      </c>
      <c r="AK138" s="6" t="b">
        <v>0</v>
      </c>
      <c r="AL138" s="17" t="str">
        <f t="shared" si="1"/>
        <v>0 dari 31 (0%)</v>
      </c>
    </row>
    <row r="139" ht="22.5" customHeight="1">
      <c r="A139" s="2">
        <v>138.0</v>
      </c>
      <c r="B139" s="11"/>
      <c r="C139" s="22">
        <v>61068.0</v>
      </c>
      <c r="D139" s="12" t="s">
        <v>39</v>
      </c>
      <c r="E139" s="12" t="s">
        <v>45</v>
      </c>
      <c r="F139" s="13"/>
      <c r="G139" s="6" t="b">
        <v>0</v>
      </c>
      <c r="H139" s="6" t="b">
        <v>0</v>
      </c>
      <c r="I139" s="6" t="b">
        <v>0</v>
      </c>
      <c r="J139" s="6" t="b">
        <v>0</v>
      </c>
      <c r="K139" s="6" t="b">
        <v>0</v>
      </c>
      <c r="L139" s="6" t="b">
        <v>0</v>
      </c>
      <c r="M139" s="6" t="b">
        <v>0</v>
      </c>
      <c r="N139" s="6" t="b">
        <v>0</v>
      </c>
      <c r="O139" s="6" t="b">
        <v>0</v>
      </c>
      <c r="P139" s="6" t="b">
        <v>0</v>
      </c>
      <c r="Q139" s="6" t="b">
        <v>0</v>
      </c>
      <c r="R139" s="6" t="b">
        <v>0</v>
      </c>
      <c r="S139" s="6" t="b">
        <v>0</v>
      </c>
      <c r="T139" s="6" t="b">
        <v>0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0</v>
      </c>
      <c r="AJ139" s="6" t="b">
        <v>0</v>
      </c>
      <c r="AK139" s="6" t="b">
        <v>0</v>
      </c>
      <c r="AL139" s="9" t="str">
        <f t="shared" si="1"/>
        <v>0 dari 31 (0%)</v>
      </c>
    </row>
    <row r="140" ht="22.5" customHeight="1">
      <c r="A140" s="10">
        <v>139.0</v>
      </c>
      <c r="B140" s="11"/>
      <c r="C140" s="22">
        <v>59968.0</v>
      </c>
      <c r="D140" s="12" t="s">
        <v>39</v>
      </c>
      <c r="E140" s="12" t="s">
        <v>45</v>
      </c>
      <c r="F140" s="13"/>
      <c r="G140" s="6" t="b">
        <v>0</v>
      </c>
      <c r="H140" s="6" t="b">
        <v>0</v>
      </c>
      <c r="I140" s="6" t="b">
        <v>0</v>
      </c>
      <c r="J140" s="6" t="b">
        <v>0</v>
      </c>
      <c r="K140" s="6" t="b">
        <v>0</v>
      </c>
      <c r="L140" s="6" t="b">
        <v>0</v>
      </c>
      <c r="M140" s="6" t="b">
        <v>0</v>
      </c>
      <c r="N140" s="6" t="b">
        <v>0</v>
      </c>
      <c r="O140" s="6" t="b">
        <v>0</v>
      </c>
      <c r="P140" s="6" t="b">
        <v>0</v>
      </c>
      <c r="Q140" s="6" t="b">
        <v>0</v>
      </c>
      <c r="R140" s="6" t="b">
        <v>0</v>
      </c>
      <c r="S140" s="6" t="b">
        <v>0</v>
      </c>
      <c r="T140" s="6" t="b">
        <v>0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0</v>
      </c>
      <c r="AJ140" s="6" t="b">
        <v>0</v>
      </c>
      <c r="AK140" s="6" t="b">
        <v>0</v>
      </c>
      <c r="AL140" s="9" t="str">
        <f t="shared" si="1"/>
        <v>0 dari 31 (0%)</v>
      </c>
    </row>
    <row r="141" ht="22.5" customHeight="1">
      <c r="A141" s="10">
        <v>140.0</v>
      </c>
      <c r="B141" s="11"/>
      <c r="C141" s="22">
        <v>44682.0</v>
      </c>
      <c r="D141" s="12" t="s">
        <v>39</v>
      </c>
      <c r="E141" s="12" t="s">
        <v>45</v>
      </c>
      <c r="F141" s="13"/>
      <c r="G141" s="6" t="b">
        <v>0</v>
      </c>
      <c r="H141" s="6" t="b">
        <v>0</v>
      </c>
      <c r="I141" s="6" t="b">
        <v>0</v>
      </c>
      <c r="J141" s="6" t="b">
        <v>0</v>
      </c>
      <c r="K141" s="6" t="b">
        <v>0</v>
      </c>
      <c r="L141" s="6" t="b">
        <v>0</v>
      </c>
      <c r="M141" s="6" t="b">
        <v>0</v>
      </c>
      <c r="N141" s="6" t="b">
        <v>0</v>
      </c>
      <c r="O141" s="6" t="b">
        <v>0</v>
      </c>
      <c r="P141" s="6" t="b">
        <v>0</v>
      </c>
      <c r="Q141" s="6" t="b">
        <v>0</v>
      </c>
      <c r="R141" s="6" t="b">
        <v>0</v>
      </c>
      <c r="S141" s="6" t="b">
        <v>0</v>
      </c>
      <c r="T141" s="6" t="b">
        <v>0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0</v>
      </c>
      <c r="AJ141" s="6" t="b">
        <v>0</v>
      </c>
      <c r="AK141" s="6" t="b">
        <v>0</v>
      </c>
      <c r="AL141" s="17" t="str">
        <f t="shared" si="1"/>
        <v>0 dari 31 (0%)</v>
      </c>
    </row>
    <row r="142" ht="22.5" customHeight="1">
      <c r="A142" s="2">
        <v>141.0</v>
      </c>
      <c r="B142" s="11"/>
      <c r="C142" s="20">
        <v>60642.0</v>
      </c>
      <c r="D142" s="12" t="s">
        <v>39</v>
      </c>
      <c r="E142" s="12" t="s">
        <v>45</v>
      </c>
      <c r="F142" s="13"/>
      <c r="G142" s="6" t="b">
        <v>0</v>
      </c>
      <c r="H142" s="6" t="b">
        <v>0</v>
      </c>
      <c r="I142" s="6" t="b">
        <v>0</v>
      </c>
      <c r="J142" s="6" t="b">
        <v>0</v>
      </c>
      <c r="K142" s="6" t="b">
        <v>0</v>
      </c>
      <c r="L142" s="6" t="b">
        <v>0</v>
      </c>
      <c r="M142" s="6" t="b">
        <v>0</v>
      </c>
      <c r="N142" s="6" t="b">
        <v>0</v>
      </c>
      <c r="O142" s="6" t="b">
        <v>0</v>
      </c>
      <c r="P142" s="6" t="b">
        <v>0</v>
      </c>
      <c r="Q142" s="6" t="b">
        <v>0</v>
      </c>
      <c r="R142" s="6" t="b">
        <v>0</v>
      </c>
      <c r="S142" s="6" t="b">
        <v>0</v>
      </c>
      <c r="T142" s="6" t="b">
        <v>0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0</v>
      </c>
      <c r="AJ142" s="6" t="b">
        <v>0</v>
      </c>
      <c r="AK142" s="6" t="b">
        <v>0</v>
      </c>
      <c r="AL142" s="9" t="str">
        <f t="shared" si="1"/>
        <v>0 dari 31 (0%)</v>
      </c>
    </row>
    <row r="143" ht="22.5" customHeight="1">
      <c r="A143" s="61">
        <v>142.0</v>
      </c>
      <c r="B143" s="62"/>
      <c r="C143" s="60">
        <v>59659.0</v>
      </c>
      <c r="D143" s="51" t="s">
        <v>39</v>
      </c>
      <c r="E143" s="51" t="s">
        <v>45</v>
      </c>
      <c r="F143" s="53"/>
      <c r="G143" s="35" t="b">
        <v>0</v>
      </c>
      <c r="H143" s="35" t="b">
        <v>0</v>
      </c>
      <c r="I143" s="35" t="b">
        <v>0</v>
      </c>
      <c r="J143" s="35" t="b">
        <v>0</v>
      </c>
      <c r="K143" s="35" t="b">
        <v>0</v>
      </c>
      <c r="L143" s="35" t="b">
        <v>0</v>
      </c>
      <c r="M143" s="35" t="b">
        <v>0</v>
      </c>
      <c r="N143" s="35" t="b">
        <v>0</v>
      </c>
      <c r="O143" s="35" t="b">
        <v>0</v>
      </c>
      <c r="P143" s="35" t="b">
        <v>0</v>
      </c>
      <c r="Q143" s="35" t="b">
        <v>0</v>
      </c>
      <c r="R143" s="35" t="b">
        <v>0</v>
      </c>
      <c r="S143" s="35" t="b">
        <v>0</v>
      </c>
      <c r="T143" s="35" t="b">
        <v>0</v>
      </c>
      <c r="U143" s="35" t="b">
        <v>0</v>
      </c>
      <c r="V143" s="35" t="b">
        <v>0</v>
      </c>
      <c r="W143" s="35" t="b">
        <v>0</v>
      </c>
      <c r="X143" s="35" t="b">
        <v>0</v>
      </c>
      <c r="Y143" s="35" t="b">
        <v>0</v>
      </c>
      <c r="Z143" s="35" t="b">
        <v>0</v>
      </c>
      <c r="AA143" s="35" t="b">
        <v>0</v>
      </c>
      <c r="AB143" s="35" t="b">
        <v>0</v>
      </c>
      <c r="AC143" s="35" t="b">
        <v>0</v>
      </c>
      <c r="AD143" s="35" t="b">
        <v>0</v>
      </c>
      <c r="AE143" s="35" t="b">
        <v>0</v>
      </c>
      <c r="AF143" s="35" t="b">
        <v>0</v>
      </c>
      <c r="AG143" s="35" t="b">
        <v>0</v>
      </c>
      <c r="AH143" s="35" t="b">
        <v>0</v>
      </c>
      <c r="AI143" s="35" t="b">
        <v>0</v>
      </c>
      <c r="AJ143" s="35" t="b">
        <v>0</v>
      </c>
      <c r="AK143" s="35" t="b">
        <v>0</v>
      </c>
      <c r="AL143" s="38" t="str">
        <f t="shared" si="1"/>
        <v>0 dari 31 (0%)</v>
      </c>
    </row>
    <row r="144" ht="22.5" customHeight="1">
      <c r="A144" s="10">
        <v>143.0</v>
      </c>
      <c r="B144" s="11"/>
      <c r="C144" s="20">
        <v>60652.0</v>
      </c>
      <c r="D144" s="12" t="s">
        <v>39</v>
      </c>
      <c r="E144" s="12" t="s">
        <v>45</v>
      </c>
      <c r="F144" s="13"/>
      <c r="G144" s="6" t="b">
        <v>0</v>
      </c>
      <c r="H144" s="6" t="b">
        <v>0</v>
      </c>
      <c r="I144" s="6" t="b">
        <v>0</v>
      </c>
      <c r="J144" s="6" t="b">
        <v>0</v>
      </c>
      <c r="K144" s="6" t="b">
        <v>0</v>
      </c>
      <c r="L144" s="6" t="b">
        <v>0</v>
      </c>
      <c r="M144" s="6" t="b">
        <v>0</v>
      </c>
      <c r="N144" s="6" t="b">
        <v>0</v>
      </c>
      <c r="O144" s="6" t="b">
        <v>0</v>
      </c>
      <c r="P144" s="6" t="b">
        <v>0</v>
      </c>
      <c r="Q144" s="6" t="b">
        <v>0</v>
      </c>
      <c r="R144" s="6" t="b">
        <v>0</v>
      </c>
      <c r="S144" s="6" t="b">
        <v>0</v>
      </c>
      <c r="T144" s="6" t="b">
        <v>0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0</v>
      </c>
      <c r="AJ144" s="6" t="b">
        <v>0</v>
      </c>
      <c r="AK144" s="6" t="b">
        <v>0</v>
      </c>
      <c r="AL144" s="17" t="str">
        <f t="shared" si="1"/>
        <v>0 dari 31 (0%)</v>
      </c>
    </row>
    <row r="145" ht="22.5" customHeight="1">
      <c r="A145" s="2">
        <v>144.0</v>
      </c>
      <c r="B145" s="11"/>
      <c r="C145" s="20">
        <v>59658.0</v>
      </c>
      <c r="D145" s="12" t="s">
        <v>39</v>
      </c>
      <c r="E145" s="12" t="s">
        <v>45</v>
      </c>
      <c r="F145" s="13"/>
      <c r="G145" s="6" t="b">
        <v>0</v>
      </c>
      <c r="H145" s="6" t="b">
        <v>0</v>
      </c>
      <c r="I145" s="6" t="b">
        <v>0</v>
      </c>
      <c r="J145" s="6" t="b">
        <v>0</v>
      </c>
      <c r="K145" s="6" t="b">
        <v>0</v>
      </c>
      <c r="L145" s="6" t="b">
        <v>0</v>
      </c>
      <c r="M145" s="6" t="b">
        <v>0</v>
      </c>
      <c r="N145" s="6" t="b">
        <v>0</v>
      </c>
      <c r="O145" s="6" t="b">
        <v>0</v>
      </c>
      <c r="P145" s="6" t="b">
        <v>0</v>
      </c>
      <c r="Q145" s="6" t="b">
        <v>0</v>
      </c>
      <c r="R145" s="6" t="b">
        <v>0</v>
      </c>
      <c r="S145" s="6" t="b">
        <v>0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0</v>
      </c>
      <c r="AJ145" s="6" t="b">
        <v>0</v>
      </c>
      <c r="AK145" s="6" t="b">
        <v>0</v>
      </c>
      <c r="AL145" s="9" t="str">
        <f t="shared" si="1"/>
        <v>0 dari 31 (0%)</v>
      </c>
    </row>
    <row r="146" ht="22.5" customHeight="1">
      <c r="A146" s="10">
        <v>145.0</v>
      </c>
      <c r="B146" s="11"/>
      <c r="C146" s="20">
        <v>44813.0</v>
      </c>
      <c r="D146" s="12" t="s">
        <v>39</v>
      </c>
      <c r="E146" s="12" t="s">
        <v>45</v>
      </c>
      <c r="F146" s="13"/>
      <c r="G146" s="6" t="b">
        <v>0</v>
      </c>
      <c r="H146" s="6" t="b">
        <v>0</v>
      </c>
      <c r="I146" s="6" t="b">
        <v>0</v>
      </c>
      <c r="J146" s="6" t="b">
        <v>0</v>
      </c>
      <c r="K146" s="6" t="b">
        <v>0</v>
      </c>
      <c r="L146" s="6" t="b">
        <v>0</v>
      </c>
      <c r="M146" s="6" t="b">
        <v>0</v>
      </c>
      <c r="N146" s="6" t="b">
        <v>0</v>
      </c>
      <c r="O146" s="6" t="b">
        <v>0</v>
      </c>
      <c r="P146" s="6" t="b">
        <v>0</v>
      </c>
      <c r="Q146" s="6" t="b">
        <v>0</v>
      </c>
      <c r="R146" s="6" t="b">
        <v>0</v>
      </c>
      <c r="S146" s="6" t="b">
        <v>0</v>
      </c>
      <c r="T146" s="6" t="b">
        <v>0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0</v>
      </c>
      <c r="AJ146" s="6" t="b">
        <v>0</v>
      </c>
      <c r="AK146" s="6" t="b">
        <v>0</v>
      </c>
      <c r="AL146" s="9" t="str">
        <f t="shared" si="1"/>
        <v>0 dari 31 (0%)</v>
      </c>
    </row>
    <row r="147" ht="22.5" customHeight="1">
      <c r="A147" s="10">
        <v>146.0</v>
      </c>
      <c r="B147" s="11"/>
      <c r="C147" s="22">
        <v>60963.0</v>
      </c>
      <c r="D147" s="12" t="s">
        <v>39</v>
      </c>
      <c r="E147" s="12" t="s">
        <v>45</v>
      </c>
      <c r="F147" s="13"/>
      <c r="G147" s="6" t="b">
        <v>0</v>
      </c>
      <c r="H147" s="6" t="b">
        <v>0</v>
      </c>
      <c r="I147" s="6" t="b">
        <v>0</v>
      </c>
      <c r="J147" s="6" t="b">
        <v>0</v>
      </c>
      <c r="K147" s="6" t="b">
        <v>0</v>
      </c>
      <c r="L147" s="6" t="b">
        <v>0</v>
      </c>
      <c r="M147" s="6" t="b">
        <v>0</v>
      </c>
      <c r="N147" s="6" t="b">
        <v>0</v>
      </c>
      <c r="O147" s="6" t="b">
        <v>0</v>
      </c>
      <c r="P147" s="6" t="b">
        <v>0</v>
      </c>
      <c r="Q147" s="6" t="b">
        <v>0</v>
      </c>
      <c r="R147" s="6" t="b">
        <v>0</v>
      </c>
      <c r="S147" s="6" t="b">
        <v>0</v>
      </c>
      <c r="T147" s="6" t="b">
        <v>0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0</v>
      </c>
      <c r="AJ147" s="6" t="b">
        <v>0</v>
      </c>
      <c r="AK147" s="6" t="b">
        <v>0</v>
      </c>
      <c r="AL147" s="17" t="str">
        <f t="shared" si="1"/>
        <v>0 dari 31 (0%)</v>
      </c>
    </row>
    <row r="148" ht="22.5" customHeight="1">
      <c r="A148" s="2">
        <v>147.0</v>
      </c>
      <c r="B148" s="11"/>
      <c r="C148" s="22">
        <v>60761.0</v>
      </c>
      <c r="D148" s="12" t="s">
        <v>39</v>
      </c>
      <c r="E148" s="12" t="s">
        <v>45</v>
      </c>
      <c r="F148" s="13"/>
      <c r="G148" s="6" t="b">
        <v>0</v>
      </c>
      <c r="H148" s="6" t="b">
        <v>0</v>
      </c>
      <c r="I148" s="6" t="b">
        <v>0</v>
      </c>
      <c r="J148" s="6" t="b">
        <v>0</v>
      </c>
      <c r="K148" s="6" t="b">
        <v>0</v>
      </c>
      <c r="L148" s="6" t="b">
        <v>0</v>
      </c>
      <c r="M148" s="6" t="b">
        <v>0</v>
      </c>
      <c r="N148" s="6" t="b">
        <v>0</v>
      </c>
      <c r="O148" s="6" t="b">
        <v>0</v>
      </c>
      <c r="P148" s="6" t="b">
        <v>0</v>
      </c>
      <c r="Q148" s="6" t="b">
        <v>0</v>
      </c>
      <c r="R148" s="6" t="b">
        <v>0</v>
      </c>
      <c r="S148" s="6" t="b">
        <v>0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0</v>
      </c>
      <c r="AJ148" s="6" t="b">
        <v>0</v>
      </c>
      <c r="AK148" s="6" t="b">
        <v>0</v>
      </c>
      <c r="AL148" s="9" t="str">
        <f t="shared" si="1"/>
        <v>0 dari 31 (0%)</v>
      </c>
    </row>
    <row r="149" ht="22.5" customHeight="1">
      <c r="A149" s="10">
        <v>148.0</v>
      </c>
      <c r="B149" s="11"/>
      <c r="C149" s="22">
        <v>60676.0</v>
      </c>
      <c r="D149" s="12" t="s">
        <v>39</v>
      </c>
      <c r="E149" s="12" t="s">
        <v>45</v>
      </c>
      <c r="F149" s="13"/>
      <c r="G149" s="6" t="b">
        <v>0</v>
      </c>
      <c r="H149" s="6" t="b">
        <v>0</v>
      </c>
      <c r="I149" s="6" t="b">
        <v>0</v>
      </c>
      <c r="J149" s="6" t="b">
        <v>0</v>
      </c>
      <c r="K149" s="6" t="b">
        <v>0</v>
      </c>
      <c r="L149" s="6" t="b">
        <v>0</v>
      </c>
      <c r="M149" s="6" t="b">
        <v>0</v>
      </c>
      <c r="N149" s="6" t="b">
        <v>0</v>
      </c>
      <c r="O149" s="6" t="b">
        <v>0</v>
      </c>
      <c r="P149" s="6" t="b">
        <v>0</v>
      </c>
      <c r="Q149" s="6" t="b">
        <v>0</v>
      </c>
      <c r="R149" s="6" t="b">
        <v>0</v>
      </c>
      <c r="S149" s="6" t="b">
        <v>0</v>
      </c>
      <c r="T149" s="6" t="b">
        <v>0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0</v>
      </c>
      <c r="AJ149" s="6" t="b">
        <v>0</v>
      </c>
      <c r="AK149" s="6" t="b">
        <v>0</v>
      </c>
      <c r="AL149" s="9" t="str">
        <f t="shared" si="1"/>
        <v>0 dari 31 (0%)</v>
      </c>
    </row>
    <row r="150" ht="22.5" customHeight="1">
      <c r="A150" s="10">
        <v>149.0</v>
      </c>
      <c r="B150" s="11"/>
      <c r="C150" s="22">
        <v>50708.0</v>
      </c>
      <c r="D150" s="12" t="s">
        <v>39</v>
      </c>
      <c r="E150" s="12" t="s">
        <v>45</v>
      </c>
      <c r="F150" s="14" t="s">
        <v>50</v>
      </c>
      <c r="G150" s="6" t="b">
        <v>0</v>
      </c>
      <c r="H150" s="6" t="b">
        <v>0</v>
      </c>
      <c r="I150" s="6" t="b">
        <v>0</v>
      </c>
      <c r="J150" s="6" t="b">
        <v>0</v>
      </c>
      <c r="K150" s="6" t="b">
        <v>0</v>
      </c>
      <c r="L150" s="6" t="b">
        <v>0</v>
      </c>
      <c r="M150" s="6" t="b">
        <v>0</v>
      </c>
      <c r="N150" s="6" t="b">
        <v>0</v>
      </c>
      <c r="O150" s="6" t="b">
        <v>0</v>
      </c>
      <c r="P150" s="6" t="b">
        <v>0</v>
      </c>
      <c r="Q150" s="6" t="b">
        <v>0</v>
      </c>
      <c r="R150" s="6" t="b">
        <v>0</v>
      </c>
      <c r="S150" s="6" t="b">
        <v>0</v>
      </c>
      <c r="T150" s="6" t="b">
        <v>0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0</v>
      </c>
      <c r="AJ150" s="6" t="b">
        <v>0</v>
      </c>
      <c r="AK150" s="6" t="b">
        <v>0</v>
      </c>
      <c r="AL150" s="17" t="str">
        <f t="shared" si="1"/>
        <v>0 dari 31 (0%)</v>
      </c>
    </row>
    <row r="151" ht="22.5" customHeight="1">
      <c r="A151" s="2">
        <v>150.0</v>
      </c>
      <c r="B151" s="11"/>
      <c r="C151" s="22">
        <v>60632.0</v>
      </c>
      <c r="D151" s="12" t="s">
        <v>39</v>
      </c>
      <c r="E151" s="12" t="s">
        <v>45</v>
      </c>
      <c r="F151" s="13"/>
      <c r="G151" s="6" t="b">
        <v>0</v>
      </c>
      <c r="H151" s="6" t="b">
        <v>0</v>
      </c>
      <c r="I151" s="6" t="b">
        <v>0</v>
      </c>
      <c r="J151" s="6" t="b">
        <v>0</v>
      </c>
      <c r="K151" s="6" t="b">
        <v>0</v>
      </c>
      <c r="L151" s="6" t="b">
        <v>0</v>
      </c>
      <c r="M151" s="6" t="b">
        <v>0</v>
      </c>
      <c r="N151" s="6" t="b">
        <v>0</v>
      </c>
      <c r="O151" s="6" t="b">
        <v>0</v>
      </c>
      <c r="P151" s="6" t="b">
        <v>0</v>
      </c>
      <c r="Q151" s="6" t="b">
        <v>0</v>
      </c>
      <c r="R151" s="6" t="b">
        <v>0</v>
      </c>
      <c r="S151" s="6" t="b">
        <v>0</v>
      </c>
      <c r="T151" s="6" t="b">
        <v>0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0</v>
      </c>
      <c r="AF151" s="6" t="b">
        <v>0</v>
      </c>
      <c r="AG151" s="6" t="b">
        <v>0</v>
      </c>
      <c r="AH151" s="6" t="b">
        <v>0</v>
      </c>
      <c r="AI151" s="6" t="b">
        <v>0</v>
      </c>
      <c r="AJ151" s="6" t="b">
        <v>0</v>
      </c>
      <c r="AK151" s="6" t="b">
        <v>0</v>
      </c>
      <c r="AL151" s="9" t="str">
        <f t="shared" si="1"/>
        <v>0 dari 31 (0%)</v>
      </c>
    </row>
    <row r="152" ht="22.5" customHeight="1">
      <c r="A152" s="10">
        <v>151.0</v>
      </c>
      <c r="B152" s="11"/>
      <c r="C152" s="20">
        <v>60794.0</v>
      </c>
      <c r="D152" s="12" t="s">
        <v>51</v>
      </c>
      <c r="E152" s="12" t="s">
        <v>61</v>
      </c>
      <c r="F152" s="15" t="s">
        <v>50</v>
      </c>
      <c r="G152" s="6" t="b">
        <v>0</v>
      </c>
      <c r="H152" s="6" t="b">
        <v>0</v>
      </c>
      <c r="I152" s="6" t="b">
        <v>0</v>
      </c>
      <c r="J152" s="6" t="b">
        <v>0</v>
      </c>
      <c r="K152" s="6" t="b">
        <v>0</v>
      </c>
      <c r="L152" s="6" t="b">
        <v>0</v>
      </c>
      <c r="M152" s="6" t="b">
        <v>0</v>
      </c>
      <c r="N152" s="6" t="b">
        <v>0</v>
      </c>
      <c r="O152" s="6" t="b">
        <v>0</v>
      </c>
      <c r="P152" s="6" t="b">
        <v>0</v>
      </c>
      <c r="Q152" s="6" t="b">
        <v>0</v>
      </c>
      <c r="R152" s="6" t="b">
        <v>0</v>
      </c>
      <c r="S152" s="6" t="b">
        <v>0</v>
      </c>
      <c r="T152" s="6" t="b">
        <v>0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0</v>
      </c>
      <c r="Z152" s="6" t="b">
        <v>0</v>
      </c>
      <c r="AA152" s="6" t="b">
        <v>0</v>
      </c>
      <c r="AB152" s="6" t="b">
        <v>0</v>
      </c>
      <c r="AC152" s="6" t="b">
        <v>0</v>
      </c>
      <c r="AD152" s="6" t="b">
        <v>0</v>
      </c>
      <c r="AE152" s="6" t="b">
        <v>0</v>
      </c>
      <c r="AF152" s="6" t="b">
        <v>0</v>
      </c>
      <c r="AG152" s="6" t="b">
        <v>0</v>
      </c>
      <c r="AH152" s="6" t="b">
        <v>0</v>
      </c>
      <c r="AI152" s="6" t="b">
        <v>0</v>
      </c>
      <c r="AJ152" s="6" t="b">
        <v>0</v>
      </c>
      <c r="AK152" s="6" t="b">
        <v>0</v>
      </c>
      <c r="AL152" s="9" t="str">
        <f t="shared" si="1"/>
        <v>0 dari 31 (0%)</v>
      </c>
    </row>
    <row r="153" ht="22.5" customHeight="1">
      <c r="A153" s="10">
        <v>152.0</v>
      </c>
      <c r="B153" s="11"/>
      <c r="C153" s="20">
        <v>61400.0</v>
      </c>
      <c r="D153" s="12" t="s">
        <v>39</v>
      </c>
      <c r="E153" s="12" t="s">
        <v>135</v>
      </c>
      <c r="F153" s="13"/>
      <c r="G153" s="112" t="b">
        <v>0</v>
      </c>
      <c r="H153" s="112" t="b">
        <v>0</v>
      </c>
      <c r="I153" s="112" t="b">
        <v>0</v>
      </c>
      <c r="J153" s="112" t="b">
        <v>0</v>
      </c>
      <c r="K153" s="112" t="b">
        <v>0</v>
      </c>
      <c r="L153" s="112" t="b">
        <v>0</v>
      </c>
      <c r="M153" s="112" t="b">
        <v>0</v>
      </c>
      <c r="N153" s="112" t="b">
        <v>0</v>
      </c>
      <c r="O153" s="112" t="b">
        <v>0</v>
      </c>
      <c r="P153" s="112" t="b">
        <v>0</v>
      </c>
      <c r="Q153" s="112" t="b">
        <v>0</v>
      </c>
      <c r="R153" s="112" t="b">
        <v>0</v>
      </c>
      <c r="S153" s="112" t="b">
        <v>0</v>
      </c>
      <c r="T153" s="112" t="b">
        <v>0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0</v>
      </c>
      <c r="AA153" s="112" t="b">
        <v>0</v>
      </c>
      <c r="AB153" s="112" t="b">
        <v>0</v>
      </c>
      <c r="AC153" s="112" t="b">
        <v>0</v>
      </c>
      <c r="AD153" s="112" t="b">
        <v>0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0</v>
      </c>
      <c r="AJ153" s="112" t="b">
        <v>0</v>
      </c>
      <c r="AK153" s="112" t="b">
        <v>0</v>
      </c>
      <c r="AL153" s="113" t="str">
        <f t="shared" si="1"/>
        <v>0 dari 31 (0%)</v>
      </c>
    </row>
    <row r="154" ht="22.5" customHeight="1">
      <c r="A154" s="2">
        <v>153.0</v>
      </c>
      <c r="B154" s="11"/>
      <c r="C154" s="20">
        <v>46192.0</v>
      </c>
      <c r="D154" s="12" t="s">
        <v>54</v>
      </c>
      <c r="E154" s="12" t="s">
        <v>76</v>
      </c>
      <c r="F154" s="15" t="s">
        <v>50</v>
      </c>
      <c r="G154" s="114" t="b">
        <v>0</v>
      </c>
      <c r="H154" s="114" t="b">
        <v>0</v>
      </c>
      <c r="I154" s="114" t="b">
        <v>0</v>
      </c>
      <c r="J154" s="114" t="b">
        <v>0</v>
      </c>
      <c r="K154" s="114" t="b">
        <v>0</v>
      </c>
      <c r="L154" s="114" t="b">
        <v>0</v>
      </c>
      <c r="M154" s="114" t="b">
        <v>0</v>
      </c>
      <c r="N154" s="114" t="b">
        <v>0</v>
      </c>
      <c r="O154" s="114" t="b">
        <v>0</v>
      </c>
      <c r="P154" s="114" t="b">
        <v>0</v>
      </c>
      <c r="Q154" s="114" t="b">
        <v>0</v>
      </c>
      <c r="R154" s="114" t="b">
        <v>0</v>
      </c>
      <c r="S154" s="114" t="b">
        <v>0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0</v>
      </c>
      <c r="AJ154" s="114" t="b">
        <v>0</v>
      </c>
      <c r="AK154" s="114" t="b">
        <v>0</v>
      </c>
      <c r="AL154" s="115" t="str">
        <f t="shared" si="1"/>
        <v>0 dari 31 (0%)</v>
      </c>
    </row>
    <row r="155" ht="22.5" customHeight="1">
      <c r="A155" s="10">
        <v>154.0</v>
      </c>
      <c r="B155" s="11"/>
      <c r="C155" s="20">
        <v>46192.0</v>
      </c>
      <c r="D155" s="12" t="s">
        <v>40</v>
      </c>
      <c r="E155" s="12" t="s">
        <v>49</v>
      </c>
      <c r="F155" s="13"/>
      <c r="G155" s="114" t="b">
        <v>0</v>
      </c>
      <c r="H155" s="114" t="b">
        <v>0</v>
      </c>
      <c r="I155" s="114" t="b">
        <v>0</v>
      </c>
      <c r="J155" s="114" t="b">
        <v>0</v>
      </c>
      <c r="K155" s="114" t="b">
        <v>0</v>
      </c>
      <c r="L155" s="114" t="b">
        <v>0</v>
      </c>
      <c r="M155" s="114" t="b">
        <v>0</v>
      </c>
      <c r="N155" s="114" t="b">
        <v>0</v>
      </c>
      <c r="O155" s="114" t="b">
        <v>0</v>
      </c>
      <c r="P155" s="114" t="b">
        <v>0</v>
      </c>
      <c r="Q155" s="114" t="b">
        <v>0</v>
      </c>
      <c r="R155" s="114" t="b">
        <v>0</v>
      </c>
      <c r="S155" s="114" t="b">
        <v>0</v>
      </c>
      <c r="T155" s="114" t="b">
        <v>0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5" t="str">
        <f t="shared" si="1"/>
        <v>0 dari 31 (0%)</v>
      </c>
    </row>
    <row r="156" ht="22.5" customHeight="1">
      <c r="A156" s="61">
        <v>155.0</v>
      </c>
      <c r="B156" s="62"/>
      <c r="C156" s="60">
        <v>61401.0</v>
      </c>
      <c r="D156" s="51" t="s">
        <v>54</v>
      </c>
      <c r="E156" s="51" t="s">
        <v>76</v>
      </c>
      <c r="F156" s="136" t="s">
        <v>105</v>
      </c>
      <c r="G156" s="118" t="b">
        <v>0</v>
      </c>
      <c r="H156" s="118" t="b">
        <v>0</v>
      </c>
      <c r="I156" s="118" t="b">
        <v>0</v>
      </c>
      <c r="J156" s="118" t="b">
        <v>0</v>
      </c>
      <c r="K156" s="118" t="b">
        <v>0</v>
      </c>
      <c r="L156" s="118" t="b">
        <v>0</v>
      </c>
      <c r="M156" s="118" t="b">
        <v>0</v>
      </c>
      <c r="N156" s="118" t="b">
        <v>0</v>
      </c>
      <c r="O156" s="118" t="b">
        <v>0</v>
      </c>
      <c r="P156" s="118" t="b">
        <v>0</v>
      </c>
      <c r="Q156" s="118" t="b">
        <v>0</v>
      </c>
      <c r="R156" s="118" t="b">
        <v>0</v>
      </c>
      <c r="S156" s="118" t="b">
        <v>0</v>
      </c>
      <c r="T156" s="118" t="b">
        <v>0</v>
      </c>
      <c r="U156" s="118" t="b">
        <v>0</v>
      </c>
      <c r="V156" s="118" t="b">
        <v>0</v>
      </c>
      <c r="W156" s="118" t="b">
        <v>0</v>
      </c>
      <c r="X156" s="118" t="b">
        <v>0</v>
      </c>
      <c r="Y156" s="118" t="b">
        <v>0</v>
      </c>
      <c r="Z156" s="118" t="b">
        <v>0</v>
      </c>
      <c r="AA156" s="118" t="b">
        <v>0</v>
      </c>
      <c r="AB156" s="118" t="b">
        <v>0</v>
      </c>
      <c r="AC156" s="118" t="b">
        <v>0</v>
      </c>
      <c r="AD156" s="118" t="b">
        <v>0</v>
      </c>
      <c r="AE156" s="118" t="b">
        <v>0</v>
      </c>
      <c r="AF156" s="118" t="b">
        <v>0</v>
      </c>
      <c r="AG156" s="118" t="b">
        <v>0</v>
      </c>
      <c r="AH156" s="118" t="b">
        <v>0</v>
      </c>
      <c r="AI156" s="118" t="b">
        <v>0</v>
      </c>
      <c r="AJ156" s="118" t="b">
        <v>0</v>
      </c>
      <c r="AK156" s="118" t="b">
        <v>0</v>
      </c>
      <c r="AL156" s="119" t="str">
        <f t="shared" si="1"/>
        <v>0 dari 31 (0%)</v>
      </c>
    </row>
    <row r="157" ht="22.5" customHeight="1">
      <c r="A157" s="2">
        <v>156.0</v>
      </c>
      <c r="B157" s="11"/>
      <c r="C157" s="22">
        <v>61378.0</v>
      </c>
      <c r="D157" s="12" t="s">
        <v>54</v>
      </c>
      <c r="E157" s="12" t="s">
        <v>76</v>
      </c>
      <c r="F157" s="15" t="s">
        <v>50</v>
      </c>
      <c r="G157" s="114" t="b">
        <v>0</v>
      </c>
      <c r="H157" s="114" t="b">
        <v>0</v>
      </c>
      <c r="I157" s="114" t="b">
        <v>0</v>
      </c>
      <c r="J157" s="114" t="b">
        <v>0</v>
      </c>
      <c r="K157" s="114" t="b">
        <v>0</v>
      </c>
      <c r="L157" s="114" t="b">
        <v>0</v>
      </c>
      <c r="M157" s="114" t="b">
        <v>0</v>
      </c>
      <c r="N157" s="114" t="b">
        <v>0</v>
      </c>
      <c r="O157" s="114" t="b">
        <v>0</v>
      </c>
      <c r="P157" s="114" t="b">
        <v>0</v>
      </c>
      <c r="Q157" s="114" t="b">
        <v>0</v>
      </c>
      <c r="R157" s="114" t="b">
        <v>0</v>
      </c>
      <c r="S157" s="114" t="b">
        <v>0</v>
      </c>
      <c r="T157" s="114" t="b">
        <v>0</v>
      </c>
      <c r="U157" s="114" t="b">
        <v>0</v>
      </c>
      <c r="V157" s="114" t="b">
        <v>0</v>
      </c>
      <c r="W157" s="114" t="b">
        <v>0</v>
      </c>
      <c r="X157" s="114" t="b">
        <v>0</v>
      </c>
      <c r="Y157" s="114" t="b">
        <v>0</v>
      </c>
      <c r="Z157" s="114" t="b">
        <v>0</v>
      </c>
      <c r="AA157" s="114" t="b">
        <v>0</v>
      </c>
      <c r="AB157" s="114" t="b">
        <v>0</v>
      </c>
      <c r="AC157" s="114" t="b">
        <v>0</v>
      </c>
      <c r="AD157" s="114" t="b">
        <v>0</v>
      </c>
      <c r="AE157" s="114" t="b">
        <v>0</v>
      </c>
      <c r="AF157" s="114" t="b">
        <v>0</v>
      </c>
      <c r="AG157" s="114" t="b">
        <v>0</v>
      </c>
      <c r="AH157" s="114" t="b">
        <v>0</v>
      </c>
      <c r="AI157" s="114" t="b">
        <v>0</v>
      </c>
      <c r="AJ157" s="114" t="b">
        <v>0</v>
      </c>
      <c r="AK157" s="114" t="b">
        <v>0</v>
      </c>
      <c r="AL157" s="115" t="str">
        <f t="shared" si="1"/>
        <v>0 dari 31 (0%)</v>
      </c>
    </row>
    <row r="158" ht="22.5" customHeight="1">
      <c r="A158" s="10">
        <v>157.0</v>
      </c>
      <c r="B158" s="11"/>
      <c r="C158" s="22">
        <v>61098.0</v>
      </c>
      <c r="D158" s="12" t="s">
        <v>51</v>
      </c>
      <c r="E158" s="12" t="s">
        <v>61</v>
      </c>
      <c r="F158" s="15" t="s">
        <v>50</v>
      </c>
      <c r="G158" s="114" t="b">
        <v>0</v>
      </c>
      <c r="H158" s="114" t="b">
        <v>0</v>
      </c>
      <c r="I158" s="114" t="b">
        <v>0</v>
      </c>
      <c r="J158" s="114" t="b">
        <v>0</v>
      </c>
      <c r="K158" s="114" t="b">
        <v>0</v>
      </c>
      <c r="L158" s="114" t="b">
        <v>0</v>
      </c>
      <c r="M158" s="114" t="b">
        <v>0</v>
      </c>
      <c r="N158" s="114" t="b">
        <v>0</v>
      </c>
      <c r="O158" s="114" t="b">
        <v>0</v>
      </c>
      <c r="P158" s="114" t="b">
        <v>0</v>
      </c>
      <c r="Q158" s="114" t="b">
        <v>0</v>
      </c>
      <c r="R158" s="114" t="b">
        <v>0</v>
      </c>
      <c r="S158" s="114" t="b">
        <v>0</v>
      </c>
      <c r="T158" s="114" t="b">
        <v>0</v>
      </c>
      <c r="U158" s="114" t="b">
        <v>0</v>
      </c>
      <c r="V158" s="114" t="b">
        <v>0</v>
      </c>
      <c r="W158" s="114" t="b">
        <v>0</v>
      </c>
      <c r="X158" s="114" t="b">
        <v>0</v>
      </c>
      <c r="Y158" s="114" t="b">
        <v>0</v>
      </c>
      <c r="Z158" s="114" t="b">
        <v>0</v>
      </c>
      <c r="AA158" s="114" t="b">
        <v>0</v>
      </c>
      <c r="AB158" s="114" t="b">
        <v>0</v>
      </c>
      <c r="AC158" s="114" t="b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 t="b">
        <v>0</v>
      </c>
      <c r="AI158" s="114" t="b">
        <v>0</v>
      </c>
      <c r="AJ158" s="114" t="b">
        <v>0</v>
      </c>
      <c r="AK158" s="114" t="b">
        <v>0</v>
      </c>
      <c r="AL158" s="115" t="str">
        <f t="shared" si="1"/>
        <v>0 dari 31 (0%)</v>
      </c>
    </row>
    <row r="159" ht="22.5" customHeight="1">
      <c r="A159" s="10">
        <v>158.0</v>
      </c>
      <c r="B159" s="11"/>
      <c r="C159" s="22">
        <v>61260.0</v>
      </c>
      <c r="D159" s="12" t="s">
        <v>51</v>
      </c>
      <c r="E159" s="12" t="s">
        <v>61</v>
      </c>
      <c r="F159" s="15" t="s">
        <v>50</v>
      </c>
      <c r="G159" s="114" t="b">
        <v>0</v>
      </c>
      <c r="H159" s="114" t="b">
        <v>0</v>
      </c>
      <c r="I159" s="114" t="b">
        <v>0</v>
      </c>
      <c r="J159" s="114" t="b">
        <v>0</v>
      </c>
      <c r="K159" s="114" t="b">
        <v>0</v>
      </c>
      <c r="L159" s="114" t="b">
        <v>0</v>
      </c>
      <c r="M159" s="114" t="b">
        <v>0</v>
      </c>
      <c r="N159" s="114" t="b">
        <v>0</v>
      </c>
      <c r="O159" s="114" t="b">
        <v>0</v>
      </c>
      <c r="P159" s="114" t="b">
        <v>0</v>
      </c>
      <c r="Q159" s="114" t="b">
        <v>0</v>
      </c>
      <c r="R159" s="114" t="b">
        <v>0</v>
      </c>
      <c r="S159" s="114" t="b">
        <v>0</v>
      </c>
      <c r="T159" s="114" t="b">
        <v>0</v>
      </c>
      <c r="U159" s="114" t="b">
        <v>0</v>
      </c>
      <c r="V159" s="114" t="b">
        <v>0</v>
      </c>
      <c r="W159" s="114" t="b">
        <v>0</v>
      </c>
      <c r="X159" s="114" t="b">
        <v>0</v>
      </c>
      <c r="Y159" s="114" t="b">
        <v>0</v>
      </c>
      <c r="Z159" s="114" t="b">
        <v>0</v>
      </c>
      <c r="AA159" s="114" t="b">
        <v>0</v>
      </c>
      <c r="AB159" s="114" t="b">
        <v>0</v>
      </c>
      <c r="AC159" s="114" t="b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 t="b">
        <v>0</v>
      </c>
      <c r="AI159" s="114" t="b">
        <v>0</v>
      </c>
      <c r="AJ159" s="114" t="b">
        <v>0</v>
      </c>
      <c r="AK159" s="114" t="b">
        <v>0</v>
      </c>
      <c r="AL159" s="115" t="str">
        <f t="shared" si="1"/>
        <v>0 dari 31 (0%)</v>
      </c>
    </row>
    <row r="160" ht="22.5" customHeight="1">
      <c r="A160" s="2">
        <v>159.0</v>
      </c>
      <c r="B160" s="11"/>
      <c r="C160" s="22">
        <v>61083.0</v>
      </c>
      <c r="D160" s="12" t="s">
        <v>85</v>
      </c>
      <c r="E160" s="12" t="s">
        <v>91</v>
      </c>
      <c r="F160" s="13"/>
      <c r="G160" s="114" t="b">
        <v>0</v>
      </c>
      <c r="H160" s="114" t="b">
        <v>0</v>
      </c>
      <c r="I160" s="114" t="b">
        <v>0</v>
      </c>
      <c r="J160" s="114" t="b">
        <v>0</v>
      </c>
      <c r="K160" s="114" t="b">
        <v>0</v>
      </c>
      <c r="L160" s="114" t="b">
        <v>0</v>
      </c>
      <c r="M160" s="114" t="b">
        <v>0</v>
      </c>
      <c r="N160" s="114" t="b">
        <v>0</v>
      </c>
      <c r="O160" s="114" t="b">
        <v>0</v>
      </c>
      <c r="P160" s="114" t="b">
        <v>0</v>
      </c>
      <c r="Q160" s="114" t="b">
        <v>0</v>
      </c>
      <c r="R160" s="114" t="b">
        <v>0</v>
      </c>
      <c r="S160" s="114" t="b">
        <v>0</v>
      </c>
      <c r="T160" s="114" t="b">
        <v>0</v>
      </c>
      <c r="U160" s="114" t="b">
        <v>0</v>
      </c>
      <c r="V160" s="114" t="b">
        <v>0</v>
      </c>
      <c r="W160" s="114" t="b">
        <v>0</v>
      </c>
      <c r="X160" s="114" t="b">
        <v>0</v>
      </c>
      <c r="Y160" s="114" t="b">
        <v>0</v>
      </c>
      <c r="Z160" s="114" t="b">
        <v>0</v>
      </c>
      <c r="AA160" s="114" t="b">
        <v>0</v>
      </c>
      <c r="AB160" s="114" t="b">
        <v>0</v>
      </c>
      <c r="AC160" s="114" t="b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 t="b">
        <v>0</v>
      </c>
      <c r="AI160" s="114" t="b">
        <v>0</v>
      </c>
      <c r="AJ160" s="114" t="b">
        <v>0</v>
      </c>
      <c r="AK160" s="114" t="b">
        <v>0</v>
      </c>
      <c r="AL160" s="115" t="str">
        <f t="shared" si="1"/>
        <v>0 dari 31 (0%)</v>
      </c>
    </row>
    <row r="161" ht="22.5" customHeight="1">
      <c r="A161" s="10">
        <v>160.0</v>
      </c>
      <c r="B161" s="11"/>
      <c r="C161" s="22">
        <v>60913.0</v>
      </c>
      <c r="D161" s="12" t="s">
        <v>85</v>
      </c>
      <c r="E161" s="12" t="s">
        <v>90</v>
      </c>
      <c r="F161" s="13"/>
      <c r="G161" s="114" t="b">
        <v>0</v>
      </c>
      <c r="H161" s="114" t="b">
        <v>0</v>
      </c>
      <c r="I161" s="114" t="b">
        <v>0</v>
      </c>
      <c r="J161" s="114" t="b">
        <v>0</v>
      </c>
      <c r="K161" s="114" t="b">
        <v>0</v>
      </c>
      <c r="L161" s="114" t="b">
        <v>0</v>
      </c>
      <c r="M161" s="114" t="b">
        <v>0</v>
      </c>
      <c r="N161" s="114" t="b">
        <v>0</v>
      </c>
      <c r="O161" s="114" t="b">
        <v>0</v>
      </c>
      <c r="P161" s="114" t="b">
        <v>0</v>
      </c>
      <c r="Q161" s="114" t="b">
        <v>0</v>
      </c>
      <c r="R161" s="114" t="b">
        <v>0</v>
      </c>
      <c r="S161" s="114" t="b">
        <v>0</v>
      </c>
      <c r="T161" s="114" t="b">
        <v>0</v>
      </c>
      <c r="U161" s="114" t="b">
        <v>0</v>
      </c>
      <c r="V161" s="114" t="b">
        <v>0</v>
      </c>
      <c r="W161" s="114" t="b">
        <v>0</v>
      </c>
      <c r="X161" s="114" t="b">
        <v>0</v>
      </c>
      <c r="Y161" s="114" t="b">
        <v>0</v>
      </c>
      <c r="Z161" s="114" t="b">
        <v>0</v>
      </c>
      <c r="AA161" s="114" t="b">
        <v>0</v>
      </c>
      <c r="AB161" s="114" t="b">
        <v>0</v>
      </c>
      <c r="AC161" s="114" t="b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 t="b">
        <v>0</v>
      </c>
      <c r="AI161" s="114" t="b">
        <v>0</v>
      </c>
      <c r="AJ161" s="114" t="b">
        <v>0</v>
      </c>
      <c r="AK161" s="114" t="b">
        <v>0</v>
      </c>
      <c r="AL161" s="115" t="str">
        <f t="shared" si="1"/>
        <v>0 dari 31 (0%)</v>
      </c>
    </row>
    <row r="162" ht="22.5" customHeight="1">
      <c r="A162" s="10">
        <v>161.0</v>
      </c>
      <c r="B162" s="11"/>
      <c r="C162" s="20">
        <v>60465.0</v>
      </c>
      <c r="D162" s="12" t="s">
        <v>39</v>
      </c>
      <c r="E162" s="12" t="s">
        <v>45</v>
      </c>
      <c r="F162" s="13"/>
      <c r="G162" s="114" t="b">
        <v>0</v>
      </c>
      <c r="H162" s="114" t="b">
        <v>0</v>
      </c>
      <c r="I162" s="114" t="b">
        <v>0</v>
      </c>
      <c r="J162" s="114" t="b">
        <v>0</v>
      </c>
      <c r="K162" s="114" t="b">
        <v>0</v>
      </c>
      <c r="L162" s="114" t="b">
        <v>0</v>
      </c>
      <c r="M162" s="114" t="b">
        <v>0</v>
      </c>
      <c r="N162" s="114" t="b">
        <v>0</v>
      </c>
      <c r="O162" s="114" t="b">
        <v>0</v>
      </c>
      <c r="P162" s="114" t="b">
        <v>0</v>
      </c>
      <c r="Q162" s="114" t="b">
        <v>0</v>
      </c>
      <c r="R162" s="114" t="b">
        <v>0</v>
      </c>
      <c r="S162" s="114" t="b">
        <v>0</v>
      </c>
      <c r="T162" s="114" t="b">
        <v>0</v>
      </c>
      <c r="U162" s="114" t="b">
        <v>0</v>
      </c>
      <c r="V162" s="114" t="b">
        <v>0</v>
      </c>
      <c r="W162" s="114" t="b">
        <v>0</v>
      </c>
      <c r="X162" s="114" t="b">
        <v>0</v>
      </c>
      <c r="Y162" s="114" t="b">
        <v>0</v>
      </c>
      <c r="Z162" s="114" t="b">
        <v>0</v>
      </c>
      <c r="AA162" s="114" t="b">
        <v>0</v>
      </c>
      <c r="AB162" s="114" t="b">
        <v>0</v>
      </c>
      <c r="AC162" s="114" t="b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 t="b">
        <v>0</v>
      </c>
      <c r="AI162" s="114" t="b">
        <v>0</v>
      </c>
      <c r="AJ162" s="114" t="b">
        <v>0</v>
      </c>
      <c r="AK162" s="114" t="b">
        <v>0</v>
      </c>
      <c r="AL162" s="115" t="str">
        <f t="shared" si="1"/>
        <v>0 dari 31 (0%)</v>
      </c>
    </row>
    <row r="163" ht="22.5" customHeight="1">
      <c r="A163" s="2">
        <v>162.0</v>
      </c>
      <c r="B163" s="11"/>
      <c r="C163" s="20">
        <v>18275.0</v>
      </c>
      <c r="D163" s="12" t="s">
        <v>39</v>
      </c>
      <c r="E163" s="12" t="s">
        <v>66</v>
      </c>
      <c r="F163" s="13"/>
      <c r="G163" s="114" t="b">
        <v>0</v>
      </c>
      <c r="H163" s="114" t="b">
        <v>0</v>
      </c>
      <c r="I163" s="114" t="b">
        <v>0</v>
      </c>
      <c r="J163" s="114" t="b">
        <v>0</v>
      </c>
      <c r="K163" s="114" t="b">
        <v>0</v>
      </c>
      <c r="L163" s="114" t="b">
        <v>0</v>
      </c>
      <c r="M163" s="114" t="b">
        <v>0</v>
      </c>
      <c r="N163" s="114" t="b">
        <v>0</v>
      </c>
      <c r="O163" s="114" t="b">
        <v>0</v>
      </c>
      <c r="P163" s="114" t="b">
        <v>0</v>
      </c>
      <c r="Q163" s="114" t="b">
        <v>0</v>
      </c>
      <c r="R163" s="114" t="b">
        <v>0</v>
      </c>
      <c r="S163" s="114" t="b">
        <v>0</v>
      </c>
      <c r="T163" s="114" t="b">
        <v>0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0</v>
      </c>
      <c r="AJ163" s="114" t="b">
        <v>0</v>
      </c>
      <c r="AK163" s="114" t="b">
        <v>0</v>
      </c>
      <c r="AL163" s="115" t="str">
        <f t="shared" si="1"/>
        <v>0 dari 31 (0%)</v>
      </c>
    </row>
    <row r="164" ht="22.5" customHeight="1">
      <c r="A164" s="10">
        <v>163.0</v>
      </c>
      <c r="B164" s="11"/>
      <c r="C164" s="20">
        <v>54034.0</v>
      </c>
      <c r="D164" s="12" t="s">
        <v>181</v>
      </c>
      <c r="E164" s="12" t="s">
        <v>49</v>
      </c>
      <c r="F164" s="13"/>
      <c r="G164" s="114" t="b">
        <v>0</v>
      </c>
      <c r="H164" s="114" t="b">
        <v>0</v>
      </c>
      <c r="I164" s="114" t="b">
        <v>0</v>
      </c>
      <c r="J164" s="114" t="b">
        <v>0</v>
      </c>
      <c r="K164" s="114" t="b">
        <v>0</v>
      </c>
      <c r="L164" s="114" t="b">
        <v>0</v>
      </c>
      <c r="M164" s="114" t="b">
        <v>0</v>
      </c>
      <c r="N164" s="114" t="b">
        <v>0</v>
      </c>
      <c r="O164" s="114" t="b">
        <v>0</v>
      </c>
      <c r="P164" s="114" t="b">
        <v>0</v>
      </c>
      <c r="Q164" s="114" t="b">
        <v>0</v>
      </c>
      <c r="R164" s="114" t="b">
        <v>0</v>
      </c>
      <c r="S164" s="114" t="b">
        <v>0</v>
      </c>
      <c r="T164" s="114" t="b">
        <v>0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0</v>
      </c>
      <c r="AJ164" s="114" t="b">
        <v>0</v>
      </c>
      <c r="AK164" s="114" t="b">
        <v>0</v>
      </c>
      <c r="AL164" s="115" t="str">
        <f t="shared" si="1"/>
        <v>0 dari 31 (0%)</v>
      </c>
    </row>
    <row r="165" ht="22.5" customHeight="1">
      <c r="A165" s="10">
        <v>164.0</v>
      </c>
      <c r="B165" s="11"/>
      <c r="C165" s="20">
        <v>59260.0</v>
      </c>
      <c r="D165" s="12" t="s">
        <v>40</v>
      </c>
      <c r="E165" s="12" t="s">
        <v>49</v>
      </c>
      <c r="F165" s="13"/>
      <c r="G165" s="114" t="b">
        <v>0</v>
      </c>
      <c r="H165" s="114" t="b">
        <v>0</v>
      </c>
      <c r="I165" s="114" t="b">
        <v>0</v>
      </c>
      <c r="J165" s="114" t="b">
        <v>0</v>
      </c>
      <c r="K165" s="114" t="b">
        <v>0</v>
      </c>
      <c r="L165" s="114" t="b">
        <v>0</v>
      </c>
      <c r="M165" s="114" t="b">
        <v>0</v>
      </c>
      <c r="N165" s="114" t="b">
        <v>0</v>
      </c>
      <c r="O165" s="114" t="b">
        <v>0</v>
      </c>
      <c r="P165" s="114" t="b">
        <v>0</v>
      </c>
      <c r="Q165" s="114" t="b">
        <v>0</v>
      </c>
      <c r="R165" s="114" t="b">
        <v>0</v>
      </c>
      <c r="S165" s="114" t="b">
        <v>0</v>
      </c>
      <c r="T165" s="114" t="b">
        <v>0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0</v>
      </c>
      <c r="AA165" s="114" t="b">
        <v>0</v>
      </c>
      <c r="AB165" s="114" t="b">
        <v>0</v>
      </c>
      <c r="AC165" s="114" t="b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0</v>
      </c>
      <c r="AJ165" s="114" t="b">
        <v>0</v>
      </c>
      <c r="AK165" s="114" t="b">
        <v>0</v>
      </c>
      <c r="AL165" s="115" t="str">
        <f t="shared" si="1"/>
        <v>0 dari 31 (0%)</v>
      </c>
    </row>
    <row r="166" ht="22.5" customHeight="1">
      <c r="A166" s="2">
        <v>165.0</v>
      </c>
      <c r="B166" s="11"/>
      <c r="C166" s="20">
        <v>61250.0</v>
      </c>
      <c r="D166" s="12" t="s">
        <v>182</v>
      </c>
      <c r="E166" s="12" t="s">
        <v>61</v>
      </c>
      <c r="F166" s="15" t="s">
        <v>50</v>
      </c>
      <c r="G166" s="114" t="b">
        <v>0</v>
      </c>
      <c r="H166" s="114" t="b">
        <v>0</v>
      </c>
      <c r="I166" s="114" t="b">
        <v>0</v>
      </c>
      <c r="J166" s="114" t="b">
        <v>0</v>
      </c>
      <c r="K166" s="114" t="b">
        <v>0</v>
      </c>
      <c r="L166" s="114" t="b">
        <v>0</v>
      </c>
      <c r="M166" s="114" t="b">
        <v>0</v>
      </c>
      <c r="N166" s="114" t="b">
        <v>0</v>
      </c>
      <c r="O166" s="114" t="b">
        <v>0</v>
      </c>
      <c r="P166" s="114" t="b">
        <v>0</v>
      </c>
      <c r="Q166" s="114" t="b">
        <v>0</v>
      </c>
      <c r="R166" s="114" t="b">
        <v>0</v>
      </c>
      <c r="S166" s="114" t="b">
        <v>0</v>
      </c>
      <c r="T166" s="114" t="b">
        <v>0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0</v>
      </c>
      <c r="AJ166" s="114" t="b">
        <v>0</v>
      </c>
      <c r="AK166" s="114" t="b">
        <v>0</v>
      </c>
      <c r="AL166" s="115" t="str">
        <f t="shared" si="1"/>
        <v>0 dari 31 (0%)</v>
      </c>
    </row>
    <row r="167" ht="22.5" customHeight="1">
      <c r="A167" s="61">
        <v>166.0</v>
      </c>
      <c r="B167" s="62"/>
      <c r="C167" s="32">
        <v>61211.0</v>
      </c>
      <c r="D167" s="51" t="s">
        <v>98</v>
      </c>
      <c r="E167" s="51" t="s">
        <v>133</v>
      </c>
      <c r="F167" s="53"/>
      <c r="G167" s="118" t="b">
        <v>0</v>
      </c>
      <c r="H167" s="118" t="b">
        <v>0</v>
      </c>
      <c r="I167" s="118" t="b">
        <v>0</v>
      </c>
      <c r="J167" s="118" t="b">
        <v>0</v>
      </c>
      <c r="K167" s="118" t="b">
        <v>0</v>
      </c>
      <c r="L167" s="118" t="b">
        <v>0</v>
      </c>
      <c r="M167" s="118" t="b">
        <v>0</v>
      </c>
      <c r="N167" s="118" t="b">
        <v>0</v>
      </c>
      <c r="O167" s="118" t="b">
        <v>0</v>
      </c>
      <c r="P167" s="118" t="b">
        <v>0</v>
      </c>
      <c r="Q167" s="118" t="b">
        <v>0</v>
      </c>
      <c r="R167" s="118" t="b">
        <v>0</v>
      </c>
      <c r="S167" s="118" t="b">
        <v>0</v>
      </c>
      <c r="T167" s="118" t="b">
        <v>0</v>
      </c>
      <c r="U167" s="118" t="b">
        <v>0</v>
      </c>
      <c r="V167" s="118" t="b">
        <v>0</v>
      </c>
      <c r="W167" s="118" t="b">
        <v>0</v>
      </c>
      <c r="X167" s="118" t="b">
        <v>0</v>
      </c>
      <c r="Y167" s="118" t="b">
        <v>0</v>
      </c>
      <c r="Z167" s="118" t="b">
        <v>0</v>
      </c>
      <c r="AA167" s="118" t="b">
        <v>0</v>
      </c>
      <c r="AB167" s="118" t="b">
        <v>0</v>
      </c>
      <c r="AC167" s="118" t="b">
        <v>0</v>
      </c>
      <c r="AD167" s="118" t="b">
        <v>0</v>
      </c>
      <c r="AE167" s="118" t="b">
        <v>0</v>
      </c>
      <c r="AF167" s="118" t="b">
        <v>0</v>
      </c>
      <c r="AG167" s="118" t="b">
        <v>0</v>
      </c>
      <c r="AH167" s="118" t="b">
        <v>0</v>
      </c>
      <c r="AI167" s="118" t="b">
        <v>0</v>
      </c>
      <c r="AJ167" s="118" t="b">
        <v>0</v>
      </c>
      <c r="AK167" s="118" t="b">
        <v>0</v>
      </c>
      <c r="AL167" s="119" t="str">
        <f t="shared" si="1"/>
        <v>0 dari 31 (0%)</v>
      </c>
    </row>
    <row r="168" ht="22.5" customHeight="1">
      <c r="A168" s="10">
        <v>167.0</v>
      </c>
      <c r="B168" s="11"/>
      <c r="C168" s="22">
        <v>61407.0</v>
      </c>
      <c r="D168" s="12" t="s">
        <v>63</v>
      </c>
      <c r="E168" s="12" t="s">
        <v>73</v>
      </c>
      <c r="F168" s="13"/>
      <c r="G168" s="114" t="b">
        <v>0</v>
      </c>
      <c r="H168" s="114" t="b">
        <v>0</v>
      </c>
      <c r="I168" s="114" t="b">
        <v>0</v>
      </c>
      <c r="J168" s="114" t="b">
        <v>0</v>
      </c>
      <c r="K168" s="114" t="b">
        <v>0</v>
      </c>
      <c r="L168" s="114" t="b">
        <v>0</v>
      </c>
      <c r="M168" s="114" t="b">
        <v>0</v>
      </c>
      <c r="N168" s="114" t="b">
        <v>0</v>
      </c>
      <c r="O168" s="114" t="b">
        <v>0</v>
      </c>
      <c r="P168" s="114" t="b">
        <v>0</v>
      </c>
      <c r="Q168" s="114" t="b">
        <v>0</v>
      </c>
      <c r="R168" s="114" t="b">
        <v>0</v>
      </c>
      <c r="S168" s="114" t="b">
        <v>0</v>
      </c>
      <c r="T168" s="114" t="b">
        <v>0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0</v>
      </c>
      <c r="AJ168" s="114" t="b">
        <v>0</v>
      </c>
      <c r="AK168" s="114" t="b">
        <v>0</v>
      </c>
      <c r="AL168" s="115" t="str">
        <f t="shared" si="1"/>
        <v>0 dari 31 (0%)</v>
      </c>
    </row>
    <row r="169" ht="22.5" customHeight="1">
      <c r="A169" s="2">
        <v>168.0</v>
      </c>
      <c r="B169" s="11"/>
      <c r="C169" s="22">
        <v>61405.0</v>
      </c>
      <c r="D169" s="12" t="s">
        <v>63</v>
      </c>
      <c r="E169" s="12" t="s">
        <v>64</v>
      </c>
      <c r="F169" s="13"/>
      <c r="G169" s="114" t="b">
        <v>0</v>
      </c>
      <c r="H169" s="114" t="b">
        <v>0</v>
      </c>
      <c r="I169" s="114" t="b">
        <v>0</v>
      </c>
      <c r="J169" s="114" t="b">
        <v>0</v>
      </c>
      <c r="K169" s="114" t="b">
        <v>0</v>
      </c>
      <c r="L169" s="114" t="b">
        <v>0</v>
      </c>
      <c r="M169" s="114" t="b">
        <v>0</v>
      </c>
      <c r="N169" s="114" t="b">
        <v>0</v>
      </c>
      <c r="O169" s="114" t="b">
        <v>0</v>
      </c>
      <c r="P169" s="114" t="b">
        <v>0</v>
      </c>
      <c r="Q169" s="114" t="b">
        <v>0</v>
      </c>
      <c r="R169" s="114" t="b">
        <v>0</v>
      </c>
      <c r="S169" s="114" t="b">
        <v>0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0</v>
      </c>
      <c r="AJ169" s="114" t="b">
        <v>0</v>
      </c>
      <c r="AK169" s="114" t="b">
        <v>0</v>
      </c>
      <c r="AL169" s="115" t="str">
        <f t="shared" si="1"/>
        <v>0 dari 31 (0%)</v>
      </c>
    </row>
    <row r="170" ht="22.5" customHeight="1">
      <c r="A170" s="10">
        <v>169.0</v>
      </c>
      <c r="B170" s="11"/>
      <c r="C170" s="22">
        <v>61402.0</v>
      </c>
      <c r="D170" s="12" t="s">
        <v>183</v>
      </c>
      <c r="E170" s="12" t="s">
        <v>86</v>
      </c>
      <c r="F170" s="13"/>
      <c r="G170" s="114" t="b">
        <v>0</v>
      </c>
      <c r="H170" s="114" t="b">
        <v>0</v>
      </c>
      <c r="I170" s="114" t="b">
        <v>0</v>
      </c>
      <c r="J170" s="114" t="b">
        <v>0</v>
      </c>
      <c r="K170" s="114" t="b">
        <v>0</v>
      </c>
      <c r="L170" s="114" t="b">
        <v>0</v>
      </c>
      <c r="M170" s="114" t="b">
        <v>0</v>
      </c>
      <c r="N170" s="114" t="b">
        <v>0</v>
      </c>
      <c r="O170" s="114" t="b">
        <v>0</v>
      </c>
      <c r="P170" s="114" t="b">
        <v>0</v>
      </c>
      <c r="Q170" s="114" t="b">
        <v>0</v>
      </c>
      <c r="R170" s="114" t="b">
        <v>0</v>
      </c>
      <c r="S170" s="114" t="b">
        <v>0</v>
      </c>
      <c r="T170" s="114" t="b">
        <v>0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0</v>
      </c>
      <c r="AA170" s="114" t="b">
        <v>0</v>
      </c>
      <c r="AB170" s="114" t="b">
        <v>0</v>
      </c>
      <c r="AC170" s="114" t="b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0</v>
      </c>
      <c r="AJ170" s="114" t="b">
        <v>0</v>
      </c>
      <c r="AK170" s="114" t="b">
        <v>0</v>
      </c>
      <c r="AL170" s="115" t="str">
        <f t="shared" si="1"/>
        <v>0 dari 31 (0%)</v>
      </c>
    </row>
    <row r="171" ht="22.5" customHeight="1">
      <c r="A171" s="10">
        <v>170.0</v>
      </c>
      <c r="B171" s="11"/>
      <c r="C171" s="22">
        <v>61406.0</v>
      </c>
      <c r="D171" s="12" t="s">
        <v>63</v>
      </c>
      <c r="E171" s="12" t="s">
        <v>73</v>
      </c>
      <c r="F171" s="13"/>
      <c r="G171" s="114" t="b">
        <v>0</v>
      </c>
      <c r="H171" s="114" t="b">
        <v>0</v>
      </c>
      <c r="I171" s="114" t="b">
        <v>0</v>
      </c>
      <c r="J171" s="114" t="b">
        <v>0</v>
      </c>
      <c r="K171" s="114" t="b">
        <v>0</v>
      </c>
      <c r="L171" s="114" t="b">
        <v>0</v>
      </c>
      <c r="M171" s="114" t="b">
        <v>0</v>
      </c>
      <c r="N171" s="114" t="b">
        <v>0</v>
      </c>
      <c r="O171" s="114" t="b">
        <v>0</v>
      </c>
      <c r="P171" s="114" t="b">
        <v>0</v>
      </c>
      <c r="Q171" s="114" t="b">
        <v>0</v>
      </c>
      <c r="R171" s="114" t="b">
        <v>0</v>
      </c>
      <c r="S171" s="114" t="b">
        <v>0</v>
      </c>
      <c r="T171" s="114" t="b">
        <v>0</v>
      </c>
      <c r="U171" s="114" t="b">
        <v>0</v>
      </c>
      <c r="V171" s="114" t="b">
        <v>0</v>
      </c>
      <c r="W171" s="114" t="b">
        <v>0</v>
      </c>
      <c r="X171" s="114" t="b">
        <v>0</v>
      </c>
      <c r="Y171" s="114" t="b">
        <v>0</v>
      </c>
      <c r="Z171" s="114" t="b">
        <v>0</v>
      </c>
      <c r="AA171" s="114" t="b">
        <v>0</v>
      </c>
      <c r="AB171" s="114" t="b">
        <v>0</v>
      </c>
      <c r="AC171" s="114" t="b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 t="b">
        <v>0</v>
      </c>
      <c r="AI171" s="114" t="b">
        <v>0</v>
      </c>
      <c r="AJ171" s="114" t="b">
        <v>0</v>
      </c>
      <c r="AK171" s="114" t="b">
        <v>0</v>
      </c>
      <c r="AL171" s="115" t="str">
        <f t="shared" si="1"/>
        <v>0 dari 31 (0%)</v>
      </c>
    </row>
    <row r="172" ht="22.5" customHeight="1">
      <c r="A172" s="2">
        <v>171.0</v>
      </c>
      <c r="B172" s="11"/>
      <c r="C172" s="20">
        <v>61408.0</v>
      </c>
      <c r="D172" s="12" t="s">
        <v>63</v>
      </c>
      <c r="E172" s="12" t="s">
        <v>72</v>
      </c>
      <c r="F172" s="13"/>
      <c r="G172" s="114" t="b">
        <v>0</v>
      </c>
      <c r="H172" s="114" t="b">
        <v>0</v>
      </c>
      <c r="I172" s="114" t="b">
        <v>0</v>
      </c>
      <c r="J172" s="114" t="b">
        <v>0</v>
      </c>
      <c r="K172" s="114" t="b">
        <v>0</v>
      </c>
      <c r="L172" s="114" t="b">
        <v>0</v>
      </c>
      <c r="M172" s="114" t="b">
        <v>0</v>
      </c>
      <c r="N172" s="114" t="b">
        <v>0</v>
      </c>
      <c r="O172" s="114" t="b">
        <v>0</v>
      </c>
      <c r="P172" s="114" t="b">
        <v>0</v>
      </c>
      <c r="Q172" s="114" t="b">
        <v>0</v>
      </c>
      <c r="R172" s="114" t="b">
        <v>0</v>
      </c>
      <c r="S172" s="114" t="b">
        <v>0</v>
      </c>
      <c r="T172" s="114" t="b">
        <v>0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0</v>
      </c>
      <c r="AJ172" s="114" t="b">
        <v>0</v>
      </c>
      <c r="AK172" s="114" t="b">
        <v>0</v>
      </c>
      <c r="AL172" s="115" t="str">
        <f t="shared" si="1"/>
        <v>0 dari 31 (0%)</v>
      </c>
    </row>
    <row r="173" ht="22.5" customHeight="1">
      <c r="A173" s="61">
        <v>172.0</v>
      </c>
      <c r="B173" s="62"/>
      <c r="C173" s="32">
        <v>60750.0</v>
      </c>
      <c r="D173" s="51" t="s">
        <v>63</v>
      </c>
      <c r="E173" s="51" t="s">
        <v>175</v>
      </c>
      <c r="F173" s="53"/>
      <c r="G173" s="118" t="b">
        <v>0</v>
      </c>
      <c r="H173" s="118" t="b">
        <v>0</v>
      </c>
      <c r="I173" s="118" t="b">
        <v>0</v>
      </c>
      <c r="J173" s="118" t="b">
        <v>0</v>
      </c>
      <c r="K173" s="118" t="b">
        <v>0</v>
      </c>
      <c r="L173" s="118" t="b">
        <v>0</v>
      </c>
      <c r="M173" s="118" t="b">
        <v>0</v>
      </c>
      <c r="N173" s="118" t="b">
        <v>0</v>
      </c>
      <c r="O173" s="118" t="b">
        <v>0</v>
      </c>
      <c r="P173" s="118" t="b">
        <v>0</v>
      </c>
      <c r="Q173" s="118" t="b">
        <v>0</v>
      </c>
      <c r="R173" s="118" t="b">
        <v>0</v>
      </c>
      <c r="S173" s="118" t="b">
        <v>0</v>
      </c>
      <c r="T173" s="118" t="b">
        <v>0</v>
      </c>
      <c r="U173" s="118" t="b">
        <v>0</v>
      </c>
      <c r="V173" s="118" t="b">
        <v>0</v>
      </c>
      <c r="W173" s="118" t="b">
        <v>0</v>
      </c>
      <c r="X173" s="118" t="b">
        <v>0</v>
      </c>
      <c r="Y173" s="118" t="b">
        <v>0</v>
      </c>
      <c r="Z173" s="118" t="b">
        <v>0</v>
      </c>
      <c r="AA173" s="118" t="b">
        <v>0</v>
      </c>
      <c r="AB173" s="118" t="b">
        <v>0</v>
      </c>
      <c r="AC173" s="118" t="b">
        <v>0</v>
      </c>
      <c r="AD173" s="118" t="b">
        <v>0</v>
      </c>
      <c r="AE173" s="118" t="b">
        <v>0</v>
      </c>
      <c r="AF173" s="118" t="b">
        <v>0</v>
      </c>
      <c r="AG173" s="118" t="b">
        <v>0</v>
      </c>
      <c r="AH173" s="118" t="b">
        <v>0</v>
      </c>
      <c r="AI173" s="118" t="b">
        <v>0</v>
      </c>
      <c r="AJ173" s="118" t="b">
        <v>0</v>
      </c>
      <c r="AK173" s="118" t="b">
        <v>0</v>
      </c>
      <c r="AL173" s="119" t="str">
        <f t="shared" si="1"/>
        <v>0 dari 31 (0%)</v>
      </c>
    </row>
    <row r="174" ht="22.5" customHeight="1">
      <c r="A174" s="61">
        <v>173.0</v>
      </c>
      <c r="B174" s="62"/>
      <c r="C174" s="32">
        <v>61410.0</v>
      </c>
      <c r="D174" s="51" t="s">
        <v>93</v>
      </c>
      <c r="E174" s="51" t="s">
        <v>162</v>
      </c>
      <c r="F174" s="53"/>
      <c r="G174" s="118" t="b">
        <v>0</v>
      </c>
      <c r="H174" s="118" t="b">
        <v>0</v>
      </c>
      <c r="I174" s="118" t="b">
        <v>0</v>
      </c>
      <c r="J174" s="118" t="b">
        <v>0</v>
      </c>
      <c r="K174" s="118" t="b">
        <v>0</v>
      </c>
      <c r="L174" s="118" t="b">
        <v>0</v>
      </c>
      <c r="M174" s="118" t="b">
        <v>0</v>
      </c>
      <c r="N174" s="118" t="b">
        <v>0</v>
      </c>
      <c r="O174" s="118" t="b">
        <v>0</v>
      </c>
      <c r="P174" s="118" t="b">
        <v>0</v>
      </c>
      <c r="Q174" s="118" t="b">
        <v>0</v>
      </c>
      <c r="R174" s="118" t="b">
        <v>0</v>
      </c>
      <c r="S174" s="118" t="b">
        <v>0</v>
      </c>
      <c r="T174" s="118" t="b">
        <v>0</v>
      </c>
      <c r="U174" s="118" t="b">
        <v>0</v>
      </c>
      <c r="V174" s="118" t="b">
        <v>0</v>
      </c>
      <c r="W174" s="118" t="b">
        <v>0</v>
      </c>
      <c r="X174" s="118" t="b">
        <v>0</v>
      </c>
      <c r="Y174" s="118" t="b">
        <v>0</v>
      </c>
      <c r="Z174" s="118" t="b">
        <v>0</v>
      </c>
      <c r="AA174" s="118" t="b">
        <v>0</v>
      </c>
      <c r="AB174" s="118" t="b">
        <v>0</v>
      </c>
      <c r="AC174" s="118" t="b">
        <v>0</v>
      </c>
      <c r="AD174" s="118" t="b">
        <v>0</v>
      </c>
      <c r="AE174" s="118" t="b">
        <v>0</v>
      </c>
      <c r="AF174" s="118" t="b">
        <v>0</v>
      </c>
      <c r="AG174" s="118" t="b">
        <v>0</v>
      </c>
      <c r="AH174" s="118" t="b">
        <v>0</v>
      </c>
      <c r="AI174" s="118" t="b">
        <v>0</v>
      </c>
      <c r="AJ174" s="118" t="b">
        <v>0</v>
      </c>
      <c r="AK174" s="118" t="b">
        <v>0</v>
      </c>
      <c r="AL174" s="119" t="str">
        <f t="shared" si="1"/>
        <v>0 dari 31 (0%)</v>
      </c>
    </row>
    <row r="175" ht="22.5" customHeight="1">
      <c r="A175" s="30">
        <v>174.0</v>
      </c>
      <c r="B175" s="62"/>
      <c r="C175" s="60">
        <v>61411.0</v>
      </c>
      <c r="D175" s="51" t="s">
        <v>93</v>
      </c>
      <c r="E175" s="51" t="s">
        <v>162</v>
      </c>
      <c r="F175" s="53"/>
      <c r="G175" s="118" t="b">
        <v>0</v>
      </c>
      <c r="H175" s="118" t="b">
        <v>0</v>
      </c>
      <c r="I175" s="118" t="b">
        <v>0</v>
      </c>
      <c r="J175" s="118" t="b">
        <v>0</v>
      </c>
      <c r="K175" s="118" t="b">
        <v>0</v>
      </c>
      <c r="L175" s="118" t="b">
        <v>0</v>
      </c>
      <c r="M175" s="118" t="b">
        <v>0</v>
      </c>
      <c r="N175" s="118" t="b">
        <v>0</v>
      </c>
      <c r="O175" s="118" t="b">
        <v>0</v>
      </c>
      <c r="P175" s="118" t="b">
        <v>0</v>
      </c>
      <c r="Q175" s="118" t="b">
        <v>0</v>
      </c>
      <c r="R175" s="118" t="b">
        <v>0</v>
      </c>
      <c r="S175" s="118" t="b">
        <v>0</v>
      </c>
      <c r="T175" s="118" t="b">
        <v>0</v>
      </c>
      <c r="U175" s="118" t="b">
        <v>0</v>
      </c>
      <c r="V175" s="118" t="b">
        <v>0</v>
      </c>
      <c r="W175" s="118" t="b">
        <v>0</v>
      </c>
      <c r="X175" s="118" t="b">
        <v>0</v>
      </c>
      <c r="Y175" s="118" t="b">
        <v>0</v>
      </c>
      <c r="Z175" s="118" t="b">
        <v>0</v>
      </c>
      <c r="AA175" s="118" t="b">
        <v>0</v>
      </c>
      <c r="AB175" s="118" t="b">
        <v>0</v>
      </c>
      <c r="AC175" s="118" t="b">
        <v>0</v>
      </c>
      <c r="AD175" s="118" t="b">
        <v>0</v>
      </c>
      <c r="AE175" s="118" t="b">
        <v>0</v>
      </c>
      <c r="AF175" s="118" t="b">
        <v>0</v>
      </c>
      <c r="AG175" s="118" t="b">
        <v>0</v>
      </c>
      <c r="AH175" s="118" t="b">
        <v>0</v>
      </c>
      <c r="AI175" s="118" t="b">
        <v>0</v>
      </c>
      <c r="AJ175" s="118" t="b">
        <v>0</v>
      </c>
      <c r="AK175" s="118" t="b">
        <v>0</v>
      </c>
      <c r="AL175" s="119" t="str">
        <f t="shared" si="1"/>
        <v>0 dari 31 (0%)</v>
      </c>
    </row>
    <row r="176" ht="22.5" customHeight="1">
      <c r="A176" s="10">
        <v>175.0</v>
      </c>
      <c r="B176" s="11"/>
      <c r="C176" s="20">
        <v>61415.0</v>
      </c>
      <c r="D176" s="12" t="s">
        <v>93</v>
      </c>
      <c r="E176" s="12" t="s">
        <v>162</v>
      </c>
      <c r="F176" s="13"/>
      <c r="G176" s="114" t="b">
        <v>0</v>
      </c>
      <c r="H176" s="114" t="b">
        <v>0</v>
      </c>
      <c r="I176" s="114" t="b">
        <v>0</v>
      </c>
      <c r="J176" s="114" t="b">
        <v>0</v>
      </c>
      <c r="K176" s="114" t="b">
        <v>0</v>
      </c>
      <c r="L176" s="114" t="b">
        <v>0</v>
      </c>
      <c r="M176" s="114" t="b">
        <v>0</v>
      </c>
      <c r="N176" s="114" t="b">
        <v>0</v>
      </c>
      <c r="O176" s="114" t="b">
        <v>0</v>
      </c>
      <c r="P176" s="114" t="b">
        <v>0</v>
      </c>
      <c r="Q176" s="114" t="b">
        <v>0</v>
      </c>
      <c r="R176" s="114" t="b">
        <v>0</v>
      </c>
      <c r="S176" s="114" t="b">
        <v>0</v>
      </c>
      <c r="T176" s="114" t="b">
        <v>0</v>
      </c>
      <c r="U176" s="114" t="b">
        <v>0</v>
      </c>
      <c r="V176" s="114" t="b">
        <v>0</v>
      </c>
      <c r="W176" s="114" t="b">
        <v>0</v>
      </c>
      <c r="X176" s="114" t="b">
        <v>0</v>
      </c>
      <c r="Y176" s="114" t="b">
        <v>0</v>
      </c>
      <c r="Z176" s="114" t="b">
        <v>0</v>
      </c>
      <c r="AA176" s="114" t="b">
        <v>0</v>
      </c>
      <c r="AB176" s="114" t="b">
        <v>0</v>
      </c>
      <c r="AC176" s="114" t="b">
        <v>0</v>
      </c>
      <c r="AD176" s="114" t="b">
        <v>0</v>
      </c>
      <c r="AE176" s="114" t="b">
        <v>0</v>
      </c>
      <c r="AF176" s="114" t="b">
        <v>0</v>
      </c>
      <c r="AG176" s="114" t="b">
        <v>0</v>
      </c>
      <c r="AH176" s="114" t="b">
        <v>0</v>
      </c>
      <c r="AI176" s="114" t="b">
        <v>0</v>
      </c>
      <c r="AJ176" s="114" t="b">
        <v>0</v>
      </c>
      <c r="AK176" s="114" t="b">
        <v>0</v>
      </c>
      <c r="AL176" s="115" t="str">
        <f t="shared" si="1"/>
        <v>0 dari 31 (0%)</v>
      </c>
    </row>
    <row r="177" ht="22.5" customHeight="1">
      <c r="A177" s="10">
        <v>176.0</v>
      </c>
      <c r="B177" s="11"/>
      <c r="C177" s="22">
        <v>61417.0</v>
      </c>
      <c r="D177" s="12" t="s">
        <v>93</v>
      </c>
      <c r="E177" s="12" t="s">
        <v>162</v>
      </c>
      <c r="F177" s="13"/>
      <c r="G177" s="114" t="b">
        <v>0</v>
      </c>
      <c r="H177" s="114" t="b">
        <v>0</v>
      </c>
      <c r="I177" s="114" t="b">
        <v>0</v>
      </c>
      <c r="J177" s="114" t="b">
        <v>0</v>
      </c>
      <c r="K177" s="114" t="b">
        <v>0</v>
      </c>
      <c r="L177" s="114" t="b">
        <v>0</v>
      </c>
      <c r="M177" s="114" t="b">
        <v>0</v>
      </c>
      <c r="N177" s="114" t="b">
        <v>0</v>
      </c>
      <c r="O177" s="114" t="b">
        <v>0</v>
      </c>
      <c r="P177" s="114" t="b">
        <v>0</v>
      </c>
      <c r="Q177" s="114" t="b">
        <v>0</v>
      </c>
      <c r="R177" s="114" t="b">
        <v>0</v>
      </c>
      <c r="S177" s="114" t="b">
        <v>0</v>
      </c>
      <c r="T177" s="114" t="b">
        <v>0</v>
      </c>
      <c r="U177" s="114" t="b">
        <v>0</v>
      </c>
      <c r="V177" s="114" t="b">
        <v>0</v>
      </c>
      <c r="W177" s="114" t="b">
        <v>0</v>
      </c>
      <c r="X177" s="114" t="b">
        <v>0</v>
      </c>
      <c r="Y177" s="114" t="b">
        <v>0</v>
      </c>
      <c r="Z177" s="114" t="b">
        <v>0</v>
      </c>
      <c r="AA177" s="114" t="b">
        <v>0</v>
      </c>
      <c r="AB177" s="114" t="b">
        <v>0</v>
      </c>
      <c r="AC177" s="114" t="b">
        <v>0</v>
      </c>
      <c r="AD177" s="114" t="b">
        <v>0</v>
      </c>
      <c r="AE177" s="114" t="b">
        <v>0</v>
      </c>
      <c r="AF177" s="114" t="b">
        <v>0</v>
      </c>
      <c r="AG177" s="114" t="b">
        <v>0</v>
      </c>
      <c r="AH177" s="114" t="b">
        <v>0</v>
      </c>
      <c r="AI177" s="114" t="b">
        <v>0</v>
      </c>
      <c r="AJ177" s="114" t="b">
        <v>0</v>
      </c>
      <c r="AK177" s="114" t="b">
        <v>0</v>
      </c>
      <c r="AL177" s="115" t="str">
        <f t="shared" si="1"/>
        <v>0 dari 31 (0%)</v>
      </c>
    </row>
    <row r="178" ht="22.5" customHeight="1">
      <c r="A178" s="2">
        <v>177.0</v>
      </c>
      <c r="B178" s="11"/>
      <c r="C178" s="22">
        <v>61451.0</v>
      </c>
      <c r="D178" s="12" t="s">
        <v>93</v>
      </c>
      <c r="E178" s="12" t="s">
        <v>179</v>
      </c>
      <c r="F178" s="15" t="s">
        <v>50</v>
      </c>
      <c r="G178" s="114" t="b">
        <v>0</v>
      </c>
      <c r="H178" s="114" t="b">
        <v>0</v>
      </c>
      <c r="I178" s="114" t="b">
        <v>0</v>
      </c>
      <c r="J178" s="114" t="b">
        <v>0</v>
      </c>
      <c r="K178" s="114" t="b">
        <v>0</v>
      </c>
      <c r="L178" s="114" t="b">
        <v>0</v>
      </c>
      <c r="M178" s="114" t="b">
        <v>0</v>
      </c>
      <c r="N178" s="114" t="b">
        <v>0</v>
      </c>
      <c r="O178" s="114" t="b">
        <v>0</v>
      </c>
      <c r="P178" s="114" t="b">
        <v>0</v>
      </c>
      <c r="Q178" s="114" t="b">
        <v>0</v>
      </c>
      <c r="R178" s="114" t="b">
        <v>0</v>
      </c>
      <c r="S178" s="114" t="b">
        <v>0</v>
      </c>
      <c r="T178" s="114" t="b">
        <v>0</v>
      </c>
      <c r="U178" s="114" t="b">
        <v>0</v>
      </c>
      <c r="V178" s="114" t="b">
        <v>0</v>
      </c>
      <c r="W178" s="114" t="b">
        <v>0</v>
      </c>
      <c r="X178" s="114" t="b">
        <v>0</v>
      </c>
      <c r="Y178" s="114" t="b">
        <v>0</v>
      </c>
      <c r="Z178" s="114" t="b">
        <v>0</v>
      </c>
      <c r="AA178" s="114" t="b">
        <v>0</v>
      </c>
      <c r="AB178" s="114" t="b">
        <v>0</v>
      </c>
      <c r="AC178" s="114" t="b">
        <v>0</v>
      </c>
      <c r="AD178" s="114" t="b">
        <v>0</v>
      </c>
      <c r="AE178" s="114" t="b">
        <v>0</v>
      </c>
      <c r="AF178" s="114" t="b">
        <v>0</v>
      </c>
      <c r="AG178" s="114" t="b">
        <v>0</v>
      </c>
      <c r="AH178" s="114" t="b">
        <v>0</v>
      </c>
      <c r="AI178" s="114" t="b">
        <v>0</v>
      </c>
      <c r="AJ178" s="114" t="b">
        <v>0</v>
      </c>
      <c r="AK178" s="114" t="b">
        <v>0</v>
      </c>
      <c r="AL178" s="115" t="str">
        <f t="shared" si="1"/>
        <v>0 dari 31 (0%)</v>
      </c>
    </row>
    <row r="179" ht="22.5" customHeight="1">
      <c r="A179" s="10">
        <v>178.0</v>
      </c>
      <c r="B179" s="11"/>
      <c r="C179" s="22">
        <v>61412.0</v>
      </c>
      <c r="D179" s="12" t="s">
        <v>89</v>
      </c>
      <c r="E179" s="12" t="s">
        <v>95</v>
      </c>
      <c r="F179" s="15" t="s">
        <v>50</v>
      </c>
      <c r="G179" s="114" t="b">
        <v>0</v>
      </c>
      <c r="H179" s="114" t="b">
        <v>0</v>
      </c>
      <c r="I179" s="114" t="b">
        <v>0</v>
      </c>
      <c r="J179" s="114" t="b">
        <v>0</v>
      </c>
      <c r="K179" s="114" t="b">
        <v>0</v>
      </c>
      <c r="L179" s="114" t="b">
        <v>0</v>
      </c>
      <c r="M179" s="114" t="b">
        <v>0</v>
      </c>
      <c r="N179" s="114" t="b">
        <v>0</v>
      </c>
      <c r="O179" s="114" t="b">
        <v>0</v>
      </c>
      <c r="P179" s="114" t="b">
        <v>0</v>
      </c>
      <c r="Q179" s="114" t="b">
        <v>0</v>
      </c>
      <c r="R179" s="114" t="b">
        <v>0</v>
      </c>
      <c r="S179" s="114" t="b">
        <v>0</v>
      </c>
      <c r="T179" s="114" t="b">
        <v>0</v>
      </c>
      <c r="U179" s="114" t="b">
        <v>0</v>
      </c>
      <c r="V179" s="114" t="b">
        <v>0</v>
      </c>
      <c r="W179" s="114" t="b">
        <v>0</v>
      </c>
      <c r="X179" s="114" t="b">
        <v>0</v>
      </c>
      <c r="Y179" s="114" t="b">
        <v>0</v>
      </c>
      <c r="Z179" s="114" t="b">
        <v>0</v>
      </c>
      <c r="AA179" s="114" t="b">
        <v>0</v>
      </c>
      <c r="AB179" s="114" t="b">
        <v>0</v>
      </c>
      <c r="AC179" s="114" t="b">
        <v>0</v>
      </c>
      <c r="AD179" s="114" t="b">
        <v>0</v>
      </c>
      <c r="AE179" s="114" t="b">
        <v>0</v>
      </c>
      <c r="AF179" s="114" t="b">
        <v>0</v>
      </c>
      <c r="AG179" s="114" t="b">
        <v>0</v>
      </c>
      <c r="AH179" s="114" t="b">
        <v>0</v>
      </c>
      <c r="AI179" s="114" t="b">
        <v>0</v>
      </c>
      <c r="AJ179" s="114" t="b">
        <v>0</v>
      </c>
      <c r="AK179" s="114" t="b">
        <v>0</v>
      </c>
      <c r="AL179" s="115" t="str">
        <f t="shared" si="1"/>
        <v>0 dari 31 (0%)</v>
      </c>
    </row>
    <row r="180" ht="22.5" customHeight="1">
      <c r="A180" s="10">
        <v>179.0</v>
      </c>
      <c r="B180" s="11"/>
      <c r="C180" s="22">
        <v>61413.0</v>
      </c>
      <c r="D180" s="12" t="s">
        <v>89</v>
      </c>
      <c r="E180" s="12" t="s">
        <v>95</v>
      </c>
      <c r="F180" s="15" t="s">
        <v>50</v>
      </c>
      <c r="G180" s="114" t="b">
        <v>0</v>
      </c>
      <c r="H180" s="114" t="b">
        <v>0</v>
      </c>
      <c r="I180" s="114" t="b">
        <v>0</v>
      </c>
      <c r="J180" s="114" t="b">
        <v>0</v>
      </c>
      <c r="K180" s="114" t="b">
        <v>0</v>
      </c>
      <c r="L180" s="114" t="b">
        <v>0</v>
      </c>
      <c r="M180" s="114" t="b">
        <v>0</v>
      </c>
      <c r="N180" s="114" t="b">
        <v>0</v>
      </c>
      <c r="O180" s="114" t="b">
        <v>0</v>
      </c>
      <c r="P180" s="114" t="b">
        <v>0</v>
      </c>
      <c r="Q180" s="114" t="b">
        <v>0</v>
      </c>
      <c r="R180" s="114" t="b">
        <v>0</v>
      </c>
      <c r="S180" s="114" t="b">
        <v>0</v>
      </c>
      <c r="T180" s="114" t="b">
        <v>0</v>
      </c>
      <c r="U180" s="114" t="b">
        <v>0</v>
      </c>
      <c r="V180" s="114" t="b">
        <v>0</v>
      </c>
      <c r="W180" s="114" t="b">
        <v>0</v>
      </c>
      <c r="X180" s="114" t="b">
        <v>0</v>
      </c>
      <c r="Y180" s="114" t="b">
        <v>0</v>
      </c>
      <c r="Z180" s="114" t="b">
        <v>0</v>
      </c>
      <c r="AA180" s="114" t="b">
        <v>0</v>
      </c>
      <c r="AB180" s="114" t="b">
        <v>0</v>
      </c>
      <c r="AC180" s="114" t="b">
        <v>0</v>
      </c>
      <c r="AD180" s="114" t="b">
        <v>0</v>
      </c>
      <c r="AE180" s="114" t="b">
        <v>0</v>
      </c>
      <c r="AF180" s="114" t="b">
        <v>0</v>
      </c>
      <c r="AG180" s="114" t="b">
        <v>0</v>
      </c>
      <c r="AH180" s="114" t="b">
        <v>0</v>
      </c>
      <c r="AI180" s="114" t="b">
        <v>0</v>
      </c>
      <c r="AJ180" s="114" t="b">
        <v>0</v>
      </c>
      <c r="AK180" s="114" t="b">
        <v>0</v>
      </c>
      <c r="AL180" s="115" t="str">
        <f t="shared" si="1"/>
        <v>0 dari 31 (0%)</v>
      </c>
    </row>
    <row r="181" ht="22.5" customHeight="1">
      <c r="A181" s="2">
        <v>180.0</v>
      </c>
      <c r="B181" s="11"/>
      <c r="C181" s="22">
        <v>61414.0</v>
      </c>
      <c r="D181" s="12" t="s">
        <v>89</v>
      </c>
      <c r="E181" s="12" t="s">
        <v>95</v>
      </c>
      <c r="F181" s="15" t="s">
        <v>50</v>
      </c>
      <c r="G181" s="114" t="b">
        <v>0</v>
      </c>
      <c r="H181" s="114" t="b">
        <v>0</v>
      </c>
      <c r="I181" s="114" t="b">
        <v>0</v>
      </c>
      <c r="J181" s="114" t="b">
        <v>0</v>
      </c>
      <c r="K181" s="114" t="b">
        <v>0</v>
      </c>
      <c r="L181" s="114" t="b">
        <v>0</v>
      </c>
      <c r="M181" s="114" t="b">
        <v>0</v>
      </c>
      <c r="N181" s="114" t="b">
        <v>0</v>
      </c>
      <c r="O181" s="114" t="b">
        <v>0</v>
      </c>
      <c r="P181" s="114" t="b">
        <v>0</v>
      </c>
      <c r="Q181" s="114" t="b">
        <v>0</v>
      </c>
      <c r="R181" s="114" t="b">
        <v>0</v>
      </c>
      <c r="S181" s="114" t="b">
        <v>0</v>
      </c>
      <c r="T181" s="114" t="b">
        <v>0</v>
      </c>
      <c r="U181" s="114" t="b">
        <v>0</v>
      </c>
      <c r="V181" s="114" t="b">
        <v>0</v>
      </c>
      <c r="W181" s="114" t="b">
        <v>0</v>
      </c>
      <c r="X181" s="114" t="b">
        <v>0</v>
      </c>
      <c r="Y181" s="114" t="b">
        <v>0</v>
      </c>
      <c r="Z181" s="114" t="b">
        <v>0</v>
      </c>
      <c r="AA181" s="114" t="b">
        <v>0</v>
      </c>
      <c r="AB181" s="114" t="b">
        <v>0</v>
      </c>
      <c r="AC181" s="114" t="b">
        <v>0</v>
      </c>
      <c r="AD181" s="114" t="b">
        <v>0</v>
      </c>
      <c r="AE181" s="114" t="b">
        <v>0</v>
      </c>
      <c r="AF181" s="114" t="b">
        <v>0</v>
      </c>
      <c r="AG181" s="114" t="b">
        <v>0</v>
      </c>
      <c r="AH181" s="114" t="b">
        <v>0</v>
      </c>
      <c r="AI181" s="114" t="b">
        <v>0</v>
      </c>
      <c r="AJ181" s="114" t="b">
        <v>0</v>
      </c>
      <c r="AK181" s="114" t="b">
        <v>0</v>
      </c>
      <c r="AL181" s="115" t="str">
        <f t="shared" si="1"/>
        <v>0 dari 31 (0%)</v>
      </c>
    </row>
    <row r="182" ht="22.5" customHeight="1">
      <c r="A182" s="82">
        <v>181.0</v>
      </c>
      <c r="B182" s="83"/>
      <c r="C182" s="84">
        <v>61416.0</v>
      </c>
      <c r="D182" s="85" t="s">
        <v>89</v>
      </c>
      <c r="E182" s="85" t="s">
        <v>95</v>
      </c>
      <c r="F182" s="86" t="s">
        <v>67</v>
      </c>
      <c r="G182" s="116" t="b">
        <v>0</v>
      </c>
      <c r="H182" s="116" t="b">
        <v>0</v>
      </c>
      <c r="I182" s="116" t="b">
        <v>0</v>
      </c>
      <c r="J182" s="116" t="b">
        <v>0</v>
      </c>
      <c r="K182" s="116" t="b">
        <v>0</v>
      </c>
      <c r="L182" s="116" t="b">
        <v>0</v>
      </c>
      <c r="M182" s="116" t="b">
        <v>0</v>
      </c>
      <c r="N182" s="116" t="b">
        <v>0</v>
      </c>
      <c r="O182" s="116" t="b">
        <v>0</v>
      </c>
      <c r="P182" s="116" t="b">
        <v>0</v>
      </c>
      <c r="Q182" s="116" t="b">
        <v>0</v>
      </c>
      <c r="R182" s="116" t="b">
        <v>0</v>
      </c>
      <c r="S182" s="116" t="b">
        <v>0</v>
      </c>
      <c r="T182" s="116" t="b">
        <v>0</v>
      </c>
      <c r="U182" s="116" t="b">
        <v>0</v>
      </c>
      <c r="V182" s="116" t="b">
        <v>0</v>
      </c>
      <c r="W182" s="116" t="b">
        <v>0</v>
      </c>
      <c r="X182" s="116" t="b">
        <v>0</v>
      </c>
      <c r="Y182" s="116" t="b">
        <v>0</v>
      </c>
      <c r="Z182" s="116" t="b">
        <v>0</v>
      </c>
      <c r="AA182" s="116" t="b">
        <v>0</v>
      </c>
      <c r="AB182" s="116" t="b">
        <v>0</v>
      </c>
      <c r="AC182" s="116" t="b">
        <v>0</v>
      </c>
      <c r="AD182" s="116" t="b">
        <v>0</v>
      </c>
      <c r="AE182" s="116" t="b">
        <v>0</v>
      </c>
      <c r="AF182" s="116" t="b">
        <v>0</v>
      </c>
      <c r="AG182" s="116" t="b">
        <v>0</v>
      </c>
      <c r="AH182" s="116" t="b">
        <v>0</v>
      </c>
      <c r="AI182" s="116" t="b">
        <v>0</v>
      </c>
      <c r="AJ182" s="116" t="b">
        <v>0</v>
      </c>
      <c r="AK182" s="116" t="b">
        <v>0</v>
      </c>
      <c r="AL182" s="117" t="str">
        <f t="shared" si="1"/>
        <v>0 dari 31 (0%)</v>
      </c>
    </row>
    <row r="183" ht="22.5" customHeight="1">
      <c r="A183" s="10">
        <v>182.0</v>
      </c>
      <c r="B183" s="11"/>
      <c r="C183" s="22">
        <v>61403.0</v>
      </c>
      <c r="D183" s="12" t="s">
        <v>89</v>
      </c>
      <c r="E183" s="12" t="s">
        <v>95</v>
      </c>
      <c r="F183" s="15" t="s">
        <v>50</v>
      </c>
      <c r="G183" s="114" t="b">
        <v>0</v>
      </c>
      <c r="H183" s="114" t="b">
        <v>0</v>
      </c>
      <c r="I183" s="114" t="b">
        <v>0</v>
      </c>
      <c r="J183" s="114" t="b">
        <v>0</v>
      </c>
      <c r="K183" s="114" t="b">
        <v>0</v>
      </c>
      <c r="L183" s="114" t="b">
        <v>0</v>
      </c>
      <c r="M183" s="114" t="b">
        <v>0</v>
      </c>
      <c r="N183" s="114" t="b">
        <v>0</v>
      </c>
      <c r="O183" s="114" t="b">
        <v>0</v>
      </c>
      <c r="P183" s="114" t="b">
        <v>0</v>
      </c>
      <c r="Q183" s="114" t="b">
        <v>0</v>
      </c>
      <c r="R183" s="114" t="b">
        <v>0</v>
      </c>
      <c r="S183" s="114" t="b">
        <v>0</v>
      </c>
      <c r="T183" s="114" t="b">
        <v>0</v>
      </c>
      <c r="U183" s="114" t="b">
        <v>0</v>
      </c>
      <c r="V183" s="114" t="b">
        <v>0</v>
      </c>
      <c r="W183" s="114" t="b">
        <v>0</v>
      </c>
      <c r="X183" s="114" t="b">
        <v>0</v>
      </c>
      <c r="Y183" s="114" t="b">
        <v>0</v>
      </c>
      <c r="Z183" s="114" t="b">
        <v>0</v>
      </c>
      <c r="AA183" s="114" t="b">
        <v>0</v>
      </c>
      <c r="AB183" s="114" t="b">
        <v>0</v>
      </c>
      <c r="AC183" s="114" t="b">
        <v>0</v>
      </c>
      <c r="AD183" s="114" t="b">
        <v>0</v>
      </c>
      <c r="AE183" s="114" t="b">
        <v>0</v>
      </c>
      <c r="AF183" s="114" t="b">
        <v>0</v>
      </c>
      <c r="AG183" s="114" t="b">
        <v>0</v>
      </c>
      <c r="AH183" s="114" t="b">
        <v>0</v>
      </c>
      <c r="AI183" s="114" t="b">
        <v>0</v>
      </c>
      <c r="AJ183" s="114" t="b">
        <v>0</v>
      </c>
      <c r="AK183" s="114" t="b">
        <v>0</v>
      </c>
      <c r="AL183" s="115" t="str">
        <f t="shared" si="1"/>
        <v>0 dari 31 (0%)</v>
      </c>
    </row>
    <row r="184" ht="22.5" customHeight="1">
      <c r="A184" s="2">
        <v>183.0</v>
      </c>
      <c r="B184" s="11"/>
      <c r="C184" s="22">
        <v>61400.0</v>
      </c>
      <c r="D184" s="12" t="s">
        <v>89</v>
      </c>
      <c r="E184" s="12" t="s">
        <v>95</v>
      </c>
      <c r="F184" s="15" t="s">
        <v>50</v>
      </c>
      <c r="G184" s="114" t="b">
        <v>0</v>
      </c>
      <c r="H184" s="114" t="b">
        <v>0</v>
      </c>
      <c r="I184" s="114" t="b">
        <v>0</v>
      </c>
      <c r="J184" s="114" t="b">
        <v>0</v>
      </c>
      <c r="K184" s="114" t="b">
        <v>0</v>
      </c>
      <c r="L184" s="114" t="b">
        <v>0</v>
      </c>
      <c r="M184" s="114" t="b">
        <v>0</v>
      </c>
      <c r="N184" s="114" t="b">
        <v>0</v>
      </c>
      <c r="O184" s="114" t="b">
        <v>0</v>
      </c>
      <c r="P184" s="114" t="b">
        <v>0</v>
      </c>
      <c r="Q184" s="114" t="b">
        <v>0</v>
      </c>
      <c r="R184" s="114" t="b">
        <v>0</v>
      </c>
      <c r="S184" s="114" t="b">
        <v>0</v>
      </c>
      <c r="T184" s="114" t="b">
        <v>0</v>
      </c>
      <c r="U184" s="114" t="b">
        <v>0</v>
      </c>
      <c r="V184" s="114" t="b">
        <v>0</v>
      </c>
      <c r="W184" s="114" t="b">
        <v>0</v>
      </c>
      <c r="X184" s="114" t="b">
        <v>0</v>
      </c>
      <c r="Y184" s="114" t="b">
        <v>0</v>
      </c>
      <c r="Z184" s="114" t="b">
        <v>0</v>
      </c>
      <c r="AA184" s="114" t="b">
        <v>0</v>
      </c>
      <c r="AB184" s="114" t="b">
        <v>0</v>
      </c>
      <c r="AC184" s="114" t="b">
        <v>0</v>
      </c>
      <c r="AD184" s="114" t="b">
        <v>0</v>
      </c>
      <c r="AE184" s="114" t="b">
        <v>0</v>
      </c>
      <c r="AF184" s="114" t="b">
        <v>0</v>
      </c>
      <c r="AG184" s="114" t="b">
        <v>0</v>
      </c>
      <c r="AH184" s="114" t="b">
        <v>0</v>
      </c>
      <c r="AI184" s="114" t="b">
        <v>0</v>
      </c>
      <c r="AJ184" s="114" t="b">
        <v>0</v>
      </c>
      <c r="AK184" s="114" t="b">
        <v>0</v>
      </c>
      <c r="AL184" s="115" t="str">
        <f t="shared" si="1"/>
        <v>0 dari 31 (0%)</v>
      </c>
    </row>
    <row r="186">
      <c r="B186" s="71" t="s">
        <v>38</v>
      </c>
      <c r="C186" s="72"/>
      <c r="D186" s="72"/>
      <c r="E186" s="72"/>
      <c r="F186" s="73"/>
      <c r="G186" s="74">
        <f>COUNTIF(JULI_20[ID Encounter], TRUE)</f>
        <v>20</v>
      </c>
      <c r="H186" s="74">
        <f>COUNTIF(JULI_20[ID Condition], TRUE)</f>
        <v>20</v>
      </c>
      <c r="I186" s="74">
        <f>COUNTIF(JULI_20[ID Clinical Impression], TRUE)</f>
        <v>20</v>
      </c>
      <c r="J186" s="74">
        <f>COUNTIF(JULI_20[ID Observation Tensi], TRUE)</f>
        <v>20</v>
      </c>
      <c r="K186" s="74">
        <f>COUNTIF(JULI_20[ID Observation Nadi], TRUE)</f>
        <v>20</v>
      </c>
      <c r="L186" s="74">
        <f>COUNTIF(JULI_20[ID Observation RR], TRUE)</f>
        <v>20</v>
      </c>
      <c r="M186" s="74">
        <f>COUNTIF(JULI_20[ID Observation Suhu], TRUE)</f>
        <v>20</v>
      </c>
      <c r="N186" s="74">
        <f>COUNTIF(JULI_20[ID Observation SPO2], TRUE)</f>
        <v>20</v>
      </c>
      <c r="O186" s="74">
        <f>COUNTIF(JULI_20[ID Observation GCS], TRUE)</f>
        <v>20</v>
      </c>
      <c r="P186" s="74">
        <f>COUNTIF(JULI_20[ID Observation Tinggi], TRUE)</f>
        <v>20</v>
      </c>
      <c r="Q186" s="74">
        <f>COUNTIF(JULI_20[ID Observation Berat], TRUE)</f>
        <v>20</v>
      </c>
      <c r="R186" s="74">
        <f>COUNTIF(JULI_20[ID Observation Perut], TRUE)</f>
        <v>19</v>
      </c>
      <c r="S186" s="74">
        <f>COUNTIF(JULI_20[ID Observation Kesadaran], TRUE)</f>
        <v>20</v>
      </c>
      <c r="T186" s="74">
        <f>COUNTIF(JULI_20[ID Procedure], TRUE)</f>
        <v>12</v>
      </c>
      <c r="U186" s="74">
        <f>COUNTIF(JULI_20[ID Composition], TRUE)</f>
        <v>0</v>
      </c>
      <c r="V186" s="74">
        <f>COUNTIF(JULI_20[ID Vaksin/Imunisasi], TRUE)</f>
        <v>0</v>
      </c>
      <c r="W186" s="74">
        <f>COUNTIF(JULI_20[ID Medication Request], TRUE)</f>
        <v>0</v>
      </c>
      <c r="X186" s="74">
        <f>COUNTIF(JULI_20[ID Medication Dispense], TRUE)</f>
        <v>0</v>
      </c>
      <c r="Y186" s="74">
        <f>COUNTIF(JULI_20[ID Medication Statement], TRUE)</f>
        <v>0</v>
      </c>
      <c r="Z186" s="74">
        <f>COUNTIF(JULI_20[ID Service Request Radiologi], TRUE)</f>
        <v>1</v>
      </c>
      <c r="AA186" s="74">
        <f>COUNTIF(JULI_20[ID Specimen Radiologi], TRUE)</f>
        <v>1</v>
      </c>
      <c r="AB186" s="74">
        <f>COUNTIF(JULI_20[ID Observation Radiologi], TRUE)</f>
        <v>1</v>
      </c>
      <c r="AC186" s="74">
        <f>COUNTIF(JULI_20[ID Diagnostic Report Radiologi], TRUE)</f>
        <v>1</v>
      </c>
      <c r="AD186" s="74">
        <f>COUNTIF(JULI_20[Image Study], TRUE)</f>
        <v>1</v>
      </c>
      <c r="AE186" s="74">
        <f>COUNTIF(JULI_20[ID Service Request Lab PK], TRUE)</f>
        <v>0</v>
      </c>
      <c r="AF186" s="74">
        <f>COUNTIF(JULI_20[ID Specimen Lab PK], TRUE)</f>
        <v>0</v>
      </c>
      <c r="AG186" s="74">
        <f>COUNTIF(JULI_20[ID Observation Lab PK], TRUE)</f>
        <v>0</v>
      </c>
      <c r="AH186" s="74">
        <f>COUNTIF(JULI_20[ID Diagnostic Report Lab PK], TRUE)</f>
        <v>0</v>
      </c>
      <c r="AI186" s="74">
        <f>COUNTIF(JULI_20[ID Care Plan], TRUE)</f>
        <v>9</v>
      </c>
      <c r="AJ186" s="74">
        <f>COUNTIF(JULI_20[ID Allergy], TRUE)</f>
        <v>0</v>
      </c>
      <c r="AK186" s="74">
        <f>COUNTIF(JULI_20[ID Questionnaire], TRUE)</f>
        <v>0</v>
      </c>
      <c r="AL186" s="75" t="str">
        <f>COUNTIF(JULI_20[[ID Encounter]:[ID Questionnaire]], TRUE()) &amp; " dari " &amp; (ROWS(JULI_20[[ID Encounter]:[ID Questionnaire]])*COLUMNS(JULI_20[[ID Encounter]:[ID Questionnaire]])) &amp; " (" &amp; TEXT(COUNTIF(JULI_20[[ID Encounter]:[ID Questionnaire]], TRUE())/(ROWS(JULI_20[[ID Encounter]:[ID Questionnaire]])*COLUMNS(JULI_20[[ID Encounter]:[ID Questionnaire]])),"0%") &amp; ")"</f>
        <v>285 dari 5673 (5%)</v>
      </c>
    </row>
    <row r="187">
      <c r="B187" s="76"/>
      <c r="C187" s="77"/>
      <c r="D187" s="77"/>
      <c r="E187" s="77"/>
      <c r="F187" s="78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</row>
  </sheetData>
  <mergeCells count="33">
    <mergeCell ref="B186:F187"/>
    <mergeCell ref="G186:G187"/>
    <mergeCell ref="H186:H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Q186:Q187"/>
    <mergeCell ref="R186:R187"/>
    <mergeCell ref="S186:S187"/>
    <mergeCell ref="T186:T187"/>
    <mergeCell ref="U186:U187"/>
    <mergeCell ref="V186:V187"/>
    <mergeCell ref="W186:W187"/>
    <mergeCell ref="X186:X187"/>
    <mergeCell ref="Y186:Y187"/>
    <mergeCell ref="Z186:Z187"/>
    <mergeCell ref="AH186:AH187"/>
    <mergeCell ref="AI186:AI187"/>
    <mergeCell ref="AJ186:AJ187"/>
    <mergeCell ref="AK186:AK187"/>
    <mergeCell ref="AL186:AL187"/>
    <mergeCell ref="AA186:AA187"/>
    <mergeCell ref="AB186:AB187"/>
    <mergeCell ref="AC186:AC187"/>
    <mergeCell ref="AD186:AD187"/>
    <mergeCell ref="AE186:AE187"/>
    <mergeCell ref="AF186:AF187"/>
    <mergeCell ref="AG186:AG187"/>
  </mergeCell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46211.0</v>
      </c>
      <c r="C2" s="22">
        <v>61418.0</v>
      </c>
      <c r="D2" s="12" t="s">
        <v>93</v>
      </c>
      <c r="E2" s="12" t="s">
        <v>179</v>
      </c>
      <c r="F2" s="14" t="s">
        <v>50</v>
      </c>
      <c r="G2" s="6" t="b">
        <v>0</v>
      </c>
      <c r="H2" s="6" t="b">
        <v>0</v>
      </c>
      <c r="I2" s="6" t="b">
        <v>0</v>
      </c>
      <c r="J2" s="6" t="b">
        <v>0</v>
      </c>
      <c r="K2" s="6" t="b">
        <v>0</v>
      </c>
      <c r="L2" s="6" t="b">
        <v>0</v>
      </c>
      <c r="M2" s="6" t="b">
        <v>0</v>
      </c>
      <c r="N2" s="6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104" si="1">COUNTIF(G2:AK2, TRUE()) &amp; " dari " &amp; COLUMNS(G2:AK2) &amp; " (" &amp; TEXT(COUNTIF(G2:AK2, TRUE())/COLUMNS(G2:AK2),"0%") &amp; ")"</f>
        <v>0 dari 31 (0%)</v>
      </c>
    </row>
    <row r="3" ht="22.5" customHeight="1">
      <c r="A3" s="10">
        <v>2.0</v>
      </c>
      <c r="B3" s="11"/>
      <c r="C3" s="22">
        <v>61287.0</v>
      </c>
      <c r="D3" s="12" t="s">
        <v>51</v>
      </c>
      <c r="E3" s="12" t="s">
        <v>65</v>
      </c>
      <c r="F3" s="13"/>
      <c r="G3" s="16" t="b">
        <v>0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6" t="b">
        <v>0</v>
      </c>
      <c r="O3" s="16" t="b">
        <v>0</v>
      </c>
      <c r="P3" s="16" t="b">
        <v>0</v>
      </c>
      <c r="Q3" s="16" t="b">
        <v>0</v>
      </c>
      <c r="R3" s="16" t="b">
        <v>0</v>
      </c>
      <c r="S3" s="16" t="b">
        <v>0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0 dari 31 (0%)</v>
      </c>
    </row>
    <row r="4" ht="22.5" customHeight="1">
      <c r="A4" s="2">
        <v>3.0</v>
      </c>
      <c r="B4" s="18"/>
      <c r="C4" s="22">
        <v>55108.0</v>
      </c>
      <c r="D4" s="12" t="s">
        <v>51</v>
      </c>
      <c r="E4" s="12" t="s">
        <v>65</v>
      </c>
      <c r="F4" s="13"/>
      <c r="G4" s="6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0 dari 31 (0%)</v>
      </c>
    </row>
    <row r="5" ht="22.5" customHeight="1">
      <c r="A5" s="10">
        <v>4.0</v>
      </c>
      <c r="B5" s="11"/>
      <c r="C5" s="22">
        <v>61093.0</v>
      </c>
      <c r="D5" s="12" t="s">
        <v>41</v>
      </c>
      <c r="E5" s="12" t="s">
        <v>125</v>
      </c>
      <c r="F5" s="13"/>
      <c r="G5" s="16" t="b">
        <v>0</v>
      </c>
      <c r="H5" s="16" t="b">
        <v>0</v>
      </c>
      <c r="I5" s="16" t="b">
        <v>0</v>
      </c>
      <c r="J5" s="16" t="b">
        <v>0</v>
      </c>
      <c r="K5" s="16" t="b">
        <v>0</v>
      </c>
      <c r="L5" s="16" t="b">
        <v>0</v>
      </c>
      <c r="M5" s="16" t="b">
        <v>0</v>
      </c>
      <c r="N5" s="16" t="b">
        <v>0</v>
      </c>
      <c r="O5" s="16" t="b">
        <v>0</v>
      </c>
      <c r="P5" s="16" t="b">
        <v>0</v>
      </c>
      <c r="Q5" s="16" t="b">
        <v>0</v>
      </c>
      <c r="R5" s="16" t="b">
        <v>0</v>
      </c>
      <c r="S5" s="16" t="b">
        <v>0</v>
      </c>
      <c r="T5" s="16" t="b">
        <v>0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0</v>
      </c>
      <c r="AJ5" s="16" t="b">
        <v>0</v>
      </c>
      <c r="AK5" s="16" t="b">
        <v>0</v>
      </c>
      <c r="AL5" s="17" t="str">
        <f t="shared" si="1"/>
        <v>0 dari 31 (0%)</v>
      </c>
    </row>
    <row r="6" ht="22.5" customHeight="1">
      <c r="A6" s="2">
        <v>5.0</v>
      </c>
      <c r="B6" s="18"/>
      <c r="C6" s="20">
        <v>60742.0</v>
      </c>
      <c r="D6" s="12" t="s">
        <v>41</v>
      </c>
      <c r="E6" s="12" t="s">
        <v>125</v>
      </c>
      <c r="F6" s="13"/>
      <c r="G6" s="6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9" t="str">
        <f t="shared" si="1"/>
        <v>0 dari 31 (0%)</v>
      </c>
    </row>
    <row r="7" ht="22.5" customHeight="1">
      <c r="A7" s="10">
        <v>6.0</v>
      </c>
      <c r="B7" s="11"/>
      <c r="C7" s="20">
        <v>60174.0</v>
      </c>
      <c r="D7" s="12" t="s">
        <v>54</v>
      </c>
      <c r="E7" s="12" t="s">
        <v>76</v>
      </c>
      <c r="F7" s="13"/>
      <c r="G7" s="16" t="b">
        <v>0</v>
      </c>
      <c r="H7" s="16" t="b">
        <v>0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  <c r="N7" s="16" t="b">
        <v>0</v>
      </c>
      <c r="O7" s="16" t="b">
        <v>0</v>
      </c>
      <c r="P7" s="16" t="b">
        <v>0</v>
      </c>
      <c r="Q7" s="16" t="b">
        <v>0</v>
      </c>
      <c r="R7" s="16" t="b">
        <v>0</v>
      </c>
      <c r="S7" s="16" t="b">
        <v>0</v>
      </c>
      <c r="T7" s="16" t="b">
        <v>0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7" t="str">
        <f t="shared" si="1"/>
        <v>0 dari 31 (0%)</v>
      </c>
    </row>
    <row r="8" ht="22.5" customHeight="1">
      <c r="A8" s="2">
        <v>7.0</v>
      </c>
      <c r="B8" s="18"/>
      <c r="C8" s="20">
        <v>60643.0</v>
      </c>
      <c r="D8" s="12" t="s">
        <v>54</v>
      </c>
      <c r="E8" s="12" t="s">
        <v>76</v>
      </c>
      <c r="F8" s="13"/>
      <c r="G8" s="6" t="b">
        <v>0</v>
      </c>
      <c r="H8" s="6" t="b">
        <v>0</v>
      </c>
      <c r="I8" s="6" t="b">
        <v>0</v>
      </c>
      <c r="J8" s="6" t="b">
        <v>0</v>
      </c>
      <c r="K8" s="6" t="b">
        <v>0</v>
      </c>
      <c r="L8" s="6" t="b">
        <v>0</v>
      </c>
      <c r="M8" s="6" t="b">
        <v>0</v>
      </c>
      <c r="N8" s="6" t="b">
        <v>0</v>
      </c>
      <c r="O8" s="6" t="b">
        <v>0</v>
      </c>
      <c r="P8" s="6" t="b">
        <v>0</v>
      </c>
      <c r="Q8" s="6" t="b">
        <v>0</v>
      </c>
      <c r="R8" s="6" t="b">
        <v>0</v>
      </c>
      <c r="S8" s="6" t="b">
        <v>0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9" t="str">
        <f t="shared" si="1"/>
        <v>0 dari 31 (0%)</v>
      </c>
    </row>
    <row r="9" ht="22.5" customHeight="1">
      <c r="A9" s="10">
        <v>8.0</v>
      </c>
      <c r="B9" s="11"/>
      <c r="C9" s="22">
        <v>56895.0</v>
      </c>
      <c r="D9" s="12" t="s">
        <v>63</v>
      </c>
      <c r="E9" s="12" t="s">
        <v>72</v>
      </c>
      <c r="F9" s="13"/>
      <c r="G9" s="16" t="b">
        <v>0</v>
      </c>
      <c r="H9" s="16" t="b">
        <v>0</v>
      </c>
      <c r="I9" s="16" t="b">
        <v>0</v>
      </c>
      <c r="J9" s="16" t="b">
        <v>0</v>
      </c>
      <c r="K9" s="16" t="b">
        <v>0</v>
      </c>
      <c r="L9" s="16" t="b">
        <v>0</v>
      </c>
      <c r="M9" s="16" t="b">
        <v>0</v>
      </c>
      <c r="N9" s="16" t="b">
        <v>0</v>
      </c>
      <c r="O9" s="16" t="b">
        <v>0</v>
      </c>
      <c r="P9" s="16" t="b">
        <v>0</v>
      </c>
      <c r="Q9" s="16" t="b">
        <v>0</v>
      </c>
      <c r="R9" s="16" t="b">
        <v>0</v>
      </c>
      <c r="S9" s="16" t="b">
        <v>0</v>
      </c>
      <c r="T9" s="16" t="b">
        <v>0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0 dari 31 (0%)</v>
      </c>
    </row>
    <row r="10" ht="22.5" customHeight="1">
      <c r="A10" s="2">
        <v>9.0</v>
      </c>
      <c r="B10" s="18"/>
      <c r="C10" s="22">
        <v>60831.0</v>
      </c>
      <c r="D10" s="12" t="s">
        <v>63</v>
      </c>
      <c r="E10" s="12" t="s">
        <v>72</v>
      </c>
      <c r="F10" s="13"/>
      <c r="G10" s="6" t="b">
        <v>0</v>
      </c>
      <c r="H10" s="6" t="b">
        <v>0</v>
      </c>
      <c r="I10" s="6" t="b">
        <v>0</v>
      </c>
      <c r="J10" s="6" t="b">
        <v>0</v>
      </c>
      <c r="K10" s="6" t="b">
        <v>0</v>
      </c>
      <c r="L10" s="6" t="b">
        <v>0</v>
      </c>
      <c r="M10" s="6" t="b">
        <v>0</v>
      </c>
      <c r="N10" s="6" t="b">
        <v>0</v>
      </c>
      <c r="O10" s="6" t="b">
        <v>0</v>
      </c>
      <c r="P10" s="6" t="b">
        <v>0</v>
      </c>
      <c r="Q10" s="6" t="b">
        <v>0</v>
      </c>
      <c r="R10" s="6" t="b">
        <v>0</v>
      </c>
      <c r="S10" s="6" t="b">
        <v>0</v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0 dari 31 (0%)</v>
      </c>
    </row>
    <row r="11" ht="22.5" customHeight="1">
      <c r="A11" s="10">
        <v>10.0</v>
      </c>
      <c r="B11" s="11"/>
      <c r="C11" s="22">
        <v>47998.0</v>
      </c>
      <c r="D11" s="12" t="s">
        <v>63</v>
      </c>
      <c r="E11" s="12" t="s">
        <v>72</v>
      </c>
      <c r="F11" s="13"/>
      <c r="G11" s="16" t="b">
        <v>0</v>
      </c>
      <c r="H11" s="16" t="b">
        <v>0</v>
      </c>
      <c r="I11" s="16" t="b">
        <v>0</v>
      </c>
      <c r="J11" s="16" t="b">
        <v>0</v>
      </c>
      <c r="K11" s="16" t="b">
        <v>0</v>
      </c>
      <c r="L11" s="16" t="b">
        <v>0</v>
      </c>
      <c r="M11" s="16" t="b">
        <v>0</v>
      </c>
      <c r="N11" s="16" t="b">
        <v>0</v>
      </c>
      <c r="O11" s="16" t="b">
        <v>0</v>
      </c>
      <c r="P11" s="16" t="b">
        <v>0</v>
      </c>
      <c r="Q11" s="16" t="b">
        <v>0</v>
      </c>
      <c r="R11" s="16" t="b">
        <v>0</v>
      </c>
      <c r="S11" s="16" t="b">
        <v>0</v>
      </c>
      <c r="T11" s="16" t="b">
        <v>0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7" t="str">
        <f t="shared" si="1"/>
        <v>0 dari 31 (0%)</v>
      </c>
    </row>
    <row r="12" ht="22.5" customHeight="1">
      <c r="A12" s="2">
        <v>11.0</v>
      </c>
      <c r="B12" s="18"/>
      <c r="C12" s="20">
        <v>60030.0</v>
      </c>
      <c r="D12" s="12" t="s">
        <v>63</v>
      </c>
      <c r="E12" s="12" t="s">
        <v>72</v>
      </c>
      <c r="F12" s="13"/>
      <c r="G12" s="6" t="b">
        <v>0</v>
      </c>
      <c r="H12" s="6" t="b">
        <v>0</v>
      </c>
      <c r="I12" s="6" t="b">
        <v>0</v>
      </c>
      <c r="J12" s="6" t="b">
        <v>0</v>
      </c>
      <c r="K12" s="6" t="b">
        <v>0</v>
      </c>
      <c r="L12" s="6" t="b">
        <v>0</v>
      </c>
      <c r="M12" s="6" t="b">
        <v>0</v>
      </c>
      <c r="N12" s="6" t="b">
        <v>0</v>
      </c>
      <c r="O12" s="6" t="b">
        <v>0</v>
      </c>
      <c r="P12" s="6" t="b">
        <v>0</v>
      </c>
      <c r="Q12" s="6" t="b">
        <v>0</v>
      </c>
      <c r="R12" s="6" t="b">
        <v>0</v>
      </c>
      <c r="S12" s="6" t="b">
        <v>0</v>
      </c>
      <c r="T12" s="6" t="b">
        <v>0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0 dari 31 (0%)</v>
      </c>
    </row>
    <row r="13" ht="22.5" customHeight="1">
      <c r="A13" s="10">
        <v>12.0</v>
      </c>
      <c r="B13" s="11"/>
      <c r="C13" s="20">
        <v>60366.0</v>
      </c>
      <c r="D13" s="12" t="s">
        <v>63</v>
      </c>
      <c r="E13" s="12" t="s">
        <v>72</v>
      </c>
      <c r="F13" s="13"/>
      <c r="G13" s="16" t="b">
        <v>0</v>
      </c>
      <c r="H13" s="16" t="b">
        <v>0</v>
      </c>
      <c r="I13" s="16" t="b">
        <v>0</v>
      </c>
      <c r="J13" s="16" t="b">
        <v>0</v>
      </c>
      <c r="K13" s="16" t="b">
        <v>0</v>
      </c>
      <c r="L13" s="16" t="b">
        <v>0</v>
      </c>
      <c r="M13" s="16" t="b">
        <v>0</v>
      </c>
      <c r="N13" s="16" t="b">
        <v>0</v>
      </c>
      <c r="O13" s="16" t="b">
        <v>0</v>
      </c>
      <c r="P13" s="16" t="b">
        <v>0</v>
      </c>
      <c r="Q13" s="16" t="b">
        <v>0</v>
      </c>
      <c r="R13" s="16" t="b">
        <v>0</v>
      </c>
      <c r="S13" s="16" t="b">
        <v>0</v>
      </c>
      <c r="T13" s="16" t="b">
        <v>0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7" t="str">
        <f t="shared" si="1"/>
        <v>0 dari 31 (0%)</v>
      </c>
    </row>
    <row r="14" ht="22.5" customHeight="1">
      <c r="A14" s="2">
        <v>13.0</v>
      </c>
      <c r="B14" s="18"/>
      <c r="C14" s="20">
        <v>60321.0</v>
      </c>
      <c r="D14" s="12" t="s">
        <v>63</v>
      </c>
      <c r="E14" s="12" t="s">
        <v>72</v>
      </c>
      <c r="F14" s="13"/>
      <c r="G14" s="6" t="b">
        <v>0</v>
      </c>
      <c r="H14" s="6" t="b">
        <v>0</v>
      </c>
      <c r="I14" s="6" t="b">
        <v>0</v>
      </c>
      <c r="J14" s="6" t="b">
        <v>0</v>
      </c>
      <c r="K14" s="6" t="b">
        <v>0</v>
      </c>
      <c r="L14" s="6" t="b">
        <v>0</v>
      </c>
      <c r="M14" s="6" t="b">
        <v>0</v>
      </c>
      <c r="N14" s="6" t="b">
        <v>0</v>
      </c>
      <c r="O14" s="6" t="b">
        <v>0</v>
      </c>
      <c r="P14" s="6" t="b">
        <v>0</v>
      </c>
      <c r="Q14" s="6" t="b">
        <v>0</v>
      </c>
      <c r="R14" s="6" t="b">
        <v>0</v>
      </c>
      <c r="S14" s="6" t="b">
        <v>0</v>
      </c>
      <c r="T14" s="6" t="b">
        <v>0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0 dari 31 (0%)</v>
      </c>
    </row>
    <row r="15" ht="22.5" customHeight="1">
      <c r="A15" s="10">
        <v>14.0</v>
      </c>
      <c r="B15" s="11"/>
      <c r="C15" s="20">
        <v>60027.0</v>
      </c>
      <c r="D15" s="12" t="s">
        <v>63</v>
      </c>
      <c r="E15" s="12" t="s">
        <v>72</v>
      </c>
      <c r="F15" s="13"/>
      <c r="G15" s="16" t="b">
        <v>0</v>
      </c>
      <c r="H15" s="16" t="b">
        <v>0</v>
      </c>
      <c r="I15" s="16" t="b">
        <v>0</v>
      </c>
      <c r="J15" s="16" t="b">
        <v>0</v>
      </c>
      <c r="K15" s="16" t="b">
        <v>0</v>
      </c>
      <c r="L15" s="16" t="b">
        <v>0</v>
      </c>
      <c r="M15" s="16" t="b">
        <v>0</v>
      </c>
      <c r="N15" s="16" t="b">
        <v>0</v>
      </c>
      <c r="O15" s="16" t="b">
        <v>0</v>
      </c>
      <c r="P15" s="16" t="b">
        <v>0</v>
      </c>
      <c r="Q15" s="16" t="b">
        <v>0</v>
      </c>
      <c r="R15" s="16" t="b">
        <v>0</v>
      </c>
      <c r="S15" s="16" t="b">
        <v>0</v>
      </c>
      <c r="T15" s="16" t="b">
        <v>0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0 dari 31 (0%)</v>
      </c>
    </row>
    <row r="16" ht="22.5" customHeight="1">
      <c r="A16" s="2">
        <v>15.0</v>
      </c>
      <c r="B16" s="18"/>
      <c r="C16" s="20">
        <v>43817.0</v>
      </c>
      <c r="D16" s="12" t="s">
        <v>63</v>
      </c>
      <c r="E16" s="12" t="s">
        <v>72</v>
      </c>
      <c r="F16" s="13"/>
      <c r="G16" s="6" t="b">
        <v>0</v>
      </c>
      <c r="H16" s="6" t="b">
        <v>0</v>
      </c>
      <c r="I16" s="6" t="b">
        <v>0</v>
      </c>
      <c r="J16" s="6" t="b">
        <v>0</v>
      </c>
      <c r="K16" s="6" t="b">
        <v>0</v>
      </c>
      <c r="L16" s="6" t="b">
        <v>0</v>
      </c>
      <c r="M16" s="6" t="b">
        <v>0</v>
      </c>
      <c r="N16" s="6" t="b">
        <v>0</v>
      </c>
      <c r="O16" s="6" t="b">
        <v>0</v>
      </c>
      <c r="P16" s="6" t="b">
        <v>0</v>
      </c>
      <c r="Q16" s="6" t="b">
        <v>0</v>
      </c>
      <c r="R16" s="6" t="b">
        <v>0</v>
      </c>
      <c r="S16" s="6" t="b">
        <v>0</v>
      </c>
      <c r="T16" s="6" t="b">
        <v>0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0 dari 31 (0%)</v>
      </c>
    </row>
    <row r="17" ht="22.5" customHeight="1">
      <c r="A17" s="10">
        <v>16.0</v>
      </c>
      <c r="B17" s="11"/>
      <c r="C17" s="22">
        <v>60544.0</v>
      </c>
      <c r="D17" s="12" t="s">
        <v>63</v>
      </c>
      <c r="E17" s="12" t="s">
        <v>72</v>
      </c>
      <c r="F17" s="13"/>
      <c r="G17" s="16" t="b">
        <v>0</v>
      </c>
      <c r="H17" s="16" t="b">
        <v>0</v>
      </c>
      <c r="I17" s="16" t="b">
        <v>0</v>
      </c>
      <c r="J17" s="16" t="b">
        <v>0</v>
      </c>
      <c r="K17" s="16" t="b">
        <v>0</v>
      </c>
      <c r="L17" s="16" t="b">
        <v>0</v>
      </c>
      <c r="M17" s="16" t="b">
        <v>0</v>
      </c>
      <c r="N17" s="16" t="b">
        <v>0</v>
      </c>
      <c r="O17" s="16" t="b">
        <v>0</v>
      </c>
      <c r="P17" s="16" t="b">
        <v>0</v>
      </c>
      <c r="Q17" s="16" t="b">
        <v>0</v>
      </c>
      <c r="R17" s="16" t="b">
        <v>0</v>
      </c>
      <c r="S17" s="16" t="b">
        <v>0</v>
      </c>
      <c r="T17" s="16" t="b">
        <v>0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0 dari 31 (0%)</v>
      </c>
    </row>
    <row r="18" ht="22.5" customHeight="1">
      <c r="A18" s="2">
        <v>17.0</v>
      </c>
      <c r="B18" s="18"/>
      <c r="C18" s="20">
        <v>59839.0</v>
      </c>
      <c r="D18" s="12" t="s">
        <v>63</v>
      </c>
      <c r="E18" s="12" t="s">
        <v>72</v>
      </c>
      <c r="F18" s="13"/>
      <c r="G18" s="6" t="b">
        <v>0</v>
      </c>
      <c r="H18" s="6" t="b">
        <v>0</v>
      </c>
      <c r="I18" s="6" t="b">
        <v>0</v>
      </c>
      <c r="J18" s="6" t="b">
        <v>0</v>
      </c>
      <c r="K18" s="6" t="b">
        <v>0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0</v>
      </c>
      <c r="Q18" s="6" t="b">
        <v>0</v>
      </c>
      <c r="R18" s="6" t="b">
        <v>0</v>
      </c>
      <c r="S18" s="6" t="b">
        <v>0</v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0 dari 31 (0%)</v>
      </c>
    </row>
    <row r="19" ht="22.5" customHeight="1">
      <c r="A19" s="10">
        <v>18.0</v>
      </c>
      <c r="B19" s="11"/>
      <c r="C19" s="20">
        <v>59844.0</v>
      </c>
      <c r="D19" s="12" t="s">
        <v>63</v>
      </c>
      <c r="E19" s="12" t="s">
        <v>72</v>
      </c>
      <c r="F19" s="14" t="s">
        <v>50</v>
      </c>
      <c r="G19" s="16" t="b">
        <v>0</v>
      </c>
      <c r="H19" s="16" t="b">
        <v>0</v>
      </c>
      <c r="I19" s="16" t="b">
        <v>0</v>
      </c>
      <c r="J19" s="16" t="b">
        <v>0</v>
      </c>
      <c r="K19" s="16" t="b">
        <v>0</v>
      </c>
      <c r="L19" s="16" t="b">
        <v>0</v>
      </c>
      <c r="M19" s="16" t="b">
        <v>0</v>
      </c>
      <c r="N19" s="16" t="b">
        <v>0</v>
      </c>
      <c r="O19" s="16" t="b">
        <v>0</v>
      </c>
      <c r="P19" s="16" t="b">
        <v>0</v>
      </c>
      <c r="Q19" s="16" t="b">
        <v>0</v>
      </c>
      <c r="R19" s="16" t="b">
        <v>0</v>
      </c>
      <c r="S19" s="16" t="b">
        <v>0</v>
      </c>
      <c r="T19" s="16" t="b">
        <v>0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0 dari 31 (0%)</v>
      </c>
    </row>
    <row r="20" ht="22.5" customHeight="1">
      <c r="A20" s="2">
        <v>19.0</v>
      </c>
      <c r="B20" s="18"/>
      <c r="C20" s="20">
        <v>12938.0</v>
      </c>
      <c r="D20" s="12" t="s">
        <v>63</v>
      </c>
      <c r="E20" s="12" t="s">
        <v>72</v>
      </c>
      <c r="F20" s="13"/>
      <c r="G20" s="6" t="b">
        <v>0</v>
      </c>
      <c r="H20" s="6" t="b">
        <v>0</v>
      </c>
      <c r="I20" s="6" t="b">
        <v>0</v>
      </c>
      <c r="J20" s="6" t="b">
        <v>0</v>
      </c>
      <c r="K20" s="6" t="b">
        <v>0</v>
      </c>
      <c r="L20" s="6" t="b">
        <v>0</v>
      </c>
      <c r="M20" s="6" t="b">
        <v>0</v>
      </c>
      <c r="N20" s="6" t="b">
        <v>0</v>
      </c>
      <c r="O20" s="6" t="b">
        <v>0</v>
      </c>
      <c r="P20" s="6" t="b">
        <v>0</v>
      </c>
      <c r="Q20" s="6" t="b">
        <v>0</v>
      </c>
      <c r="R20" s="6" t="b">
        <v>0</v>
      </c>
      <c r="S20" s="6" t="b">
        <v>0</v>
      </c>
      <c r="T20" s="6" t="b">
        <v>0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9" t="str">
        <f t="shared" si="1"/>
        <v>0 dari 31 (0%)</v>
      </c>
    </row>
    <row r="21" ht="22.5" customHeight="1">
      <c r="A21" s="10">
        <v>20.0</v>
      </c>
      <c r="B21" s="11"/>
      <c r="C21" s="20">
        <v>38634.0</v>
      </c>
      <c r="D21" s="12" t="s">
        <v>63</v>
      </c>
      <c r="E21" s="12" t="s">
        <v>72</v>
      </c>
      <c r="F21" s="13"/>
      <c r="G21" s="16" t="b">
        <v>0</v>
      </c>
      <c r="H21" s="16" t="b">
        <v>0</v>
      </c>
      <c r="I21" s="16" t="b">
        <v>0</v>
      </c>
      <c r="J21" s="16" t="b">
        <v>0</v>
      </c>
      <c r="K21" s="16" t="b">
        <v>0</v>
      </c>
      <c r="L21" s="16" t="b">
        <v>0</v>
      </c>
      <c r="M21" s="16" t="b">
        <v>0</v>
      </c>
      <c r="N21" s="16" t="b">
        <v>0</v>
      </c>
      <c r="O21" s="16" t="b">
        <v>0</v>
      </c>
      <c r="P21" s="16" t="b">
        <v>0</v>
      </c>
      <c r="Q21" s="16" t="b">
        <v>0</v>
      </c>
      <c r="R21" s="16" t="b">
        <v>0</v>
      </c>
      <c r="S21" s="16" t="b">
        <v>0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0 dari 31 (0%)</v>
      </c>
    </row>
    <row r="22" ht="22.5" customHeight="1">
      <c r="A22" s="2">
        <v>21.0</v>
      </c>
      <c r="B22" s="18"/>
      <c r="C22" s="22">
        <v>54658.0</v>
      </c>
      <c r="D22" s="12" t="s">
        <v>63</v>
      </c>
      <c r="E22" s="12" t="s">
        <v>72</v>
      </c>
      <c r="F22" s="13"/>
      <c r="G22" s="6" t="b">
        <v>0</v>
      </c>
      <c r="H22" s="6" t="b">
        <v>0</v>
      </c>
      <c r="I22" s="6" t="b">
        <v>0</v>
      </c>
      <c r="J22" s="6" t="b">
        <v>0</v>
      </c>
      <c r="K22" s="6" t="b">
        <v>0</v>
      </c>
      <c r="L22" s="6" t="b">
        <v>0</v>
      </c>
      <c r="M22" s="6" t="b">
        <v>0</v>
      </c>
      <c r="N22" s="6" t="b">
        <v>0</v>
      </c>
      <c r="O22" s="6" t="b">
        <v>0</v>
      </c>
      <c r="P22" s="6" t="b">
        <v>0</v>
      </c>
      <c r="Q22" s="6" t="b">
        <v>0</v>
      </c>
      <c r="R22" s="6" t="b">
        <v>0</v>
      </c>
      <c r="S22" s="6" t="b">
        <v>0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0 dari 31 (0%)</v>
      </c>
    </row>
    <row r="23" ht="22.5" customHeight="1">
      <c r="A23" s="10">
        <v>22.0</v>
      </c>
      <c r="B23" s="11"/>
      <c r="C23" s="22">
        <v>46169.0</v>
      </c>
      <c r="D23" s="12" t="s">
        <v>63</v>
      </c>
      <c r="E23" s="12" t="s">
        <v>72</v>
      </c>
      <c r="F23" s="13"/>
      <c r="G23" s="16" t="b">
        <v>0</v>
      </c>
      <c r="H23" s="16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6" t="b">
        <v>0</v>
      </c>
      <c r="Q23" s="16" t="b">
        <v>0</v>
      </c>
      <c r="R23" s="16" t="b">
        <v>0</v>
      </c>
      <c r="S23" s="16" t="b">
        <v>0</v>
      </c>
      <c r="T23" s="16" t="b">
        <v>0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0 dari 31 (0%)</v>
      </c>
    </row>
    <row r="24" ht="22.5" customHeight="1">
      <c r="A24" s="2">
        <v>23.0</v>
      </c>
      <c r="B24" s="18"/>
      <c r="C24" s="22">
        <v>60076.0</v>
      </c>
      <c r="D24" s="12" t="s">
        <v>63</v>
      </c>
      <c r="E24" s="12" t="s">
        <v>72</v>
      </c>
      <c r="F24" s="13"/>
      <c r="G24" s="6" t="b">
        <v>0</v>
      </c>
      <c r="H24" s="6" t="b">
        <v>0</v>
      </c>
      <c r="I24" s="6" t="b">
        <v>0</v>
      </c>
      <c r="J24" s="6" t="b">
        <v>0</v>
      </c>
      <c r="K24" s="6" t="b">
        <v>0</v>
      </c>
      <c r="L24" s="6" t="b">
        <v>0</v>
      </c>
      <c r="M24" s="6" t="b">
        <v>0</v>
      </c>
      <c r="N24" s="6" t="b">
        <v>0</v>
      </c>
      <c r="O24" s="6" t="b">
        <v>0</v>
      </c>
      <c r="P24" s="6" t="b">
        <v>0</v>
      </c>
      <c r="Q24" s="6" t="b">
        <v>0</v>
      </c>
      <c r="R24" s="6" t="b">
        <v>0</v>
      </c>
      <c r="S24" s="6" t="b">
        <v>0</v>
      </c>
      <c r="T24" s="6" t="b">
        <v>0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0 dari 31 (0%)</v>
      </c>
    </row>
    <row r="25" ht="22.5" customHeight="1">
      <c r="A25" s="10">
        <v>24.0</v>
      </c>
      <c r="B25" s="11"/>
      <c r="C25" s="22">
        <v>37598.0</v>
      </c>
      <c r="D25" s="12" t="s">
        <v>63</v>
      </c>
      <c r="E25" s="12" t="s">
        <v>72</v>
      </c>
      <c r="F25" s="13"/>
      <c r="G25" s="16" t="b">
        <v>0</v>
      </c>
      <c r="H25" s="16" t="b">
        <v>0</v>
      </c>
      <c r="I25" s="16" t="b">
        <v>0</v>
      </c>
      <c r="J25" s="16" t="b">
        <v>0</v>
      </c>
      <c r="K25" s="16" t="b">
        <v>0</v>
      </c>
      <c r="L25" s="16" t="b">
        <v>0</v>
      </c>
      <c r="M25" s="16" t="b">
        <v>0</v>
      </c>
      <c r="N25" s="16" t="b">
        <v>0</v>
      </c>
      <c r="O25" s="16" t="b">
        <v>0</v>
      </c>
      <c r="P25" s="16" t="b">
        <v>0</v>
      </c>
      <c r="Q25" s="16" t="b">
        <v>0</v>
      </c>
      <c r="R25" s="16" t="b">
        <v>0</v>
      </c>
      <c r="S25" s="16" t="b">
        <v>0</v>
      </c>
      <c r="T25" s="16" t="b">
        <v>0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0 dari 31 (0%)</v>
      </c>
    </row>
    <row r="26" ht="22.5" customHeight="1">
      <c r="A26" s="2">
        <v>25.0</v>
      </c>
      <c r="B26" s="18"/>
      <c r="C26" s="22">
        <v>60822.0</v>
      </c>
      <c r="D26" s="12" t="s">
        <v>63</v>
      </c>
      <c r="E26" s="12" t="s">
        <v>72</v>
      </c>
      <c r="F26" s="13"/>
      <c r="G26" s="6" t="b">
        <v>0</v>
      </c>
      <c r="H26" s="6" t="b">
        <v>0</v>
      </c>
      <c r="I26" s="6" t="b">
        <v>0</v>
      </c>
      <c r="J26" s="6" t="b">
        <v>0</v>
      </c>
      <c r="K26" s="6" t="b">
        <v>0</v>
      </c>
      <c r="L26" s="6" t="b">
        <v>0</v>
      </c>
      <c r="M26" s="6" t="b">
        <v>0</v>
      </c>
      <c r="N26" s="6" t="b">
        <v>0</v>
      </c>
      <c r="O26" s="6" t="b">
        <v>0</v>
      </c>
      <c r="P26" s="6" t="b">
        <v>0</v>
      </c>
      <c r="Q26" s="6" t="b">
        <v>0</v>
      </c>
      <c r="R26" s="6" t="b">
        <v>0</v>
      </c>
      <c r="S26" s="6" t="b">
        <v>0</v>
      </c>
      <c r="T26" s="6" t="b">
        <v>0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0 dari 31 (0%)</v>
      </c>
    </row>
    <row r="27" ht="22.5" customHeight="1">
      <c r="A27" s="10">
        <v>26.0</v>
      </c>
      <c r="B27" s="11"/>
      <c r="C27" s="22">
        <v>60367.0</v>
      </c>
      <c r="D27" s="12" t="s">
        <v>63</v>
      </c>
      <c r="E27" s="12" t="s">
        <v>72</v>
      </c>
      <c r="F27" s="13"/>
      <c r="G27" s="16" t="b">
        <v>0</v>
      </c>
      <c r="H27" s="16" t="b">
        <v>0</v>
      </c>
      <c r="I27" s="16" t="b">
        <v>0</v>
      </c>
      <c r="J27" s="16" t="b">
        <v>0</v>
      </c>
      <c r="K27" s="16" t="b">
        <v>0</v>
      </c>
      <c r="L27" s="16" t="b">
        <v>0</v>
      </c>
      <c r="M27" s="16" t="b">
        <v>0</v>
      </c>
      <c r="N27" s="16" t="b">
        <v>0</v>
      </c>
      <c r="O27" s="16" t="b">
        <v>0</v>
      </c>
      <c r="P27" s="16" t="b">
        <v>0</v>
      </c>
      <c r="Q27" s="16" t="b">
        <v>0</v>
      </c>
      <c r="R27" s="16" t="b">
        <v>0</v>
      </c>
      <c r="S27" s="16" t="b">
        <v>0</v>
      </c>
      <c r="T27" s="16" t="b">
        <v>0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0 dari 31 (0%)</v>
      </c>
    </row>
    <row r="28" ht="22.5" customHeight="1">
      <c r="A28" s="2">
        <v>27.0</v>
      </c>
      <c r="B28" s="18"/>
      <c r="C28" s="22">
        <v>58537.0</v>
      </c>
      <c r="D28" s="12" t="s">
        <v>63</v>
      </c>
      <c r="E28" s="12" t="s">
        <v>72</v>
      </c>
      <c r="F28" s="13"/>
      <c r="G28" s="6" t="b">
        <v>0</v>
      </c>
      <c r="H28" s="6" t="b">
        <v>0</v>
      </c>
      <c r="I28" s="6" t="b">
        <v>0</v>
      </c>
      <c r="J28" s="6" t="b">
        <v>0</v>
      </c>
      <c r="K28" s="6" t="b">
        <v>0</v>
      </c>
      <c r="L28" s="6" t="b">
        <v>0</v>
      </c>
      <c r="M28" s="6" t="b">
        <v>0</v>
      </c>
      <c r="N28" s="6" t="b">
        <v>0</v>
      </c>
      <c r="O28" s="6" t="b">
        <v>0</v>
      </c>
      <c r="P28" s="6" t="b">
        <v>0</v>
      </c>
      <c r="Q28" s="6" t="b">
        <v>0</v>
      </c>
      <c r="R28" s="6" t="b">
        <v>0</v>
      </c>
      <c r="S28" s="6" t="b">
        <v>0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9" t="str">
        <f t="shared" si="1"/>
        <v>0 dari 31 (0%)</v>
      </c>
    </row>
    <row r="29" ht="22.5" customHeight="1">
      <c r="A29" s="10">
        <v>28.0</v>
      </c>
      <c r="B29" s="11"/>
      <c r="C29" s="22">
        <v>56341.0</v>
      </c>
      <c r="D29" s="12" t="s">
        <v>63</v>
      </c>
      <c r="E29" s="12" t="s">
        <v>72</v>
      </c>
      <c r="F29" s="13"/>
      <c r="G29" s="16" t="b">
        <v>0</v>
      </c>
      <c r="H29" s="16" t="b">
        <v>0</v>
      </c>
      <c r="I29" s="16" t="b">
        <v>0</v>
      </c>
      <c r="J29" s="16" t="b">
        <v>0</v>
      </c>
      <c r="K29" s="16" t="b">
        <v>0</v>
      </c>
      <c r="L29" s="16" t="b">
        <v>0</v>
      </c>
      <c r="M29" s="16" t="b">
        <v>0</v>
      </c>
      <c r="N29" s="16" t="b">
        <v>0</v>
      </c>
      <c r="O29" s="16" t="b">
        <v>0</v>
      </c>
      <c r="P29" s="16" t="b">
        <v>0</v>
      </c>
      <c r="Q29" s="16" t="b">
        <v>0</v>
      </c>
      <c r="R29" s="16" t="b">
        <v>0</v>
      </c>
      <c r="S29" s="16" t="b">
        <v>0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0 dari 31 (0%)</v>
      </c>
    </row>
    <row r="30" ht="22.5" customHeight="1">
      <c r="A30" s="2">
        <v>29.0</v>
      </c>
      <c r="B30" s="18"/>
      <c r="C30" s="22">
        <v>56095.0</v>
      </c>
      <c r="D30" s="7" t="s">
        <v>98</v>
      </c>
      <c r="E30" s="7" t="s">
        <v>100</v>
      </c>
      <c r="F30" s="13"/>
      <c r="G30" s="6" t="b">
        <v>0</v>
      </c>
      <c r="H30" s="6" t="b">
        <v>0</v>
      </c>
      <c r="I30" s="6" t="b">
        <v>0</v>
      </c>
      <c r="J30" s="6" t="b">
        <v>0</v>
      </c>
      <c r="K30" s="6" t="b">
        <v>0</v>
      </c>
      <c r="L30" s="6" t="b">
        <v>0</v>
      </c>
      <c r="M30" s="6" t="b">
        <v>0</v>
      </c>
      <c r="N30" s="6" t="b">
        <v>0</v>
      </c>
      <c r="O30" s="6" t="b">
        <v>0</v>
      </c>
      <c r="P30" s="6" t="b">
        <v>0</v>
      </c>
      <c r="Q30" s="6" t="b">
        <v>0</v>
      </c>
      <c r="R30" s="6" t="b">
        <v>0</v>
      </c>
      <c r="S30" s="6" t="b">
        <v>0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1"/>
        <v>0 dari 31 (0%)</v>
      </c>
    </row>
    <row r="31" ht="22.5" customHeight="1">
      <c r="A31" s="10">
        <v>30.0</v>
      </c>
      <c r="B31" s="11"/>
      <c r="C31" s="22">
        <v>53226.0</v>
      </c>
      <c r="D31" s="7" t="s">
        <v>98</v>
      </c>
      <c r="E31" s="7" t="s">
        <v>100</v>
      </c>
      <c r="F31" s="86" t="s">
        <v>67</v>
      </c>
      <c r="G31" s="16" t="b">
        <v>0</v>
      </c>
      <c r="H31" s="16" t="b">
        <v>0</v>
      </c>
      <c r="I31" s="16" t="b">
        <v>0</v>
      </c>
      <c r="J31" s="16" t="b">
        <v>0</v>
      </c>
      <c r="K31" s="16" t="b">
        <v>0</v>
      </c>
      <c r="L31" s="16" t="b">
        <v>0</v>
      </c>
      <c r="M31" s="16" t="b">
        <v>0</v>
      </c>
      <c r="N31" s="16" t="b">
        <v>0</v>
      </c>
      <c r="O31" s="16" t="b">
        <v>0</v>
      </c>
      <c r="P31" s="16" t="b">
        <v>0</v>
      </c>
      <c r="Q31" s="16" t="b">
        <v>0</v>
      </c>
      <c r="R31" s="16" t="b">
        <v>0</v>
      </c>
      <c r="S31" s="16" t="b">
        <v>0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7" t="str">
        <f t="shared" si="1"/>
        <v>0 dari 31 (0%)</v>
      </c>
    </row>
    <row r="32" ht="22.5" customHeight="1">
      <c r="A32" s="2">
        <v>31.0</v>
      </c>
      <c r="B32" s="18"/>
      <c r="C32" s="22">
        <v>59323.0</v>
      </c>
      <c r="D32" s="12" t="s">
        <v>68</v>
      </c>
      <c r="E32" s="12" t="s">
        <v>82</v>
      </c>
      <c r="F32" s="13"/>
      <c r="G32" s="6" t="b">
        <v>0</v>
      </c>
      <c r="H32" s="6" t="b">
        <v>0</v>
      </c>
      <c r="I32" s="6" t="b">
        <v>0</v>
      </c>
      <c r="J32" s="6" t="b">
        <v>0</v>
      </c>
      <c r="K32" s="6" t="b">
        <v>0</v>
      </c>
      <c r="L32" s="6" t="b">
        <v>0</v>
      </c>
      <c r="M32" s="6" t="b">
        <v>0</v>
      </c>
      <c r="N32" s="6" t="b">
        <v>0</v>
      </c>
      <c r="O32" s="6" t="b">
        <v>0</v>
      </c>
      <c r="P32" s="6" t="b">
        <v>0</v>
      </c>
      <c r="Q32" s="6" t="b">
        <v>0</v>
      </c>
      <c r="R32" s="6" t="b">
        <v>0</v>
      </c>
      <c r="S32" s="6" t="b">
        <v>0</v>
      </c>
      <c r="T32" s="6" t="b">
        <v>0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0 dari 31 (0%)</v>
      </c>
    </row>
    <row r="33" ht="22.5" customHeight="1">
      <c r="A33" s="10">
        <v>32.0</v>
      </c>
      <c r="B33" s="11"/>
      <c r="C33" s="22">
        <v>60961.0</v>
      </c>
      <c r="D33" s="12" t="s">
        <v>68</v>
      </c>
      <c r="E33" s="12" t="s">
        <v>76</v>
      </c>
      <c r="F33" s="13"/>
      <c r="G33" s="16" t="b">
        <v>0</v>
      </c>
      <c r="H33" s="16" t="b">
        <v>0</v>
      </c>
      <c r="I33" s="16" t="b">
        <v>0</v>
      </c>
      <c r="J33" s="16" t="b">
        <v>0</v>
      </c>
      <c r="K33" s="16" t="b">
        <v>0</v>
      </c>
      <c r="L33" s="16" t="b">
        <v>0</v>
      </c>
      <c r="M33" s="16" t="b">
        <v>0</v>
      </c>
      <c r="N33" s="16" t="b">
        <v>0</v>
      </c>
      <c r="O33" s="16" t="b">
        <v>0</v>
      </c>
      <c r="P33" s="16" t="b">
        <v>0</v>
      </c>
      <c r="Q33" s="16" t="b">
        <v>0</v>
      </c>
      <c r="R33" s="16" t="b">
        <v>0</v>
      </c>
      <c r="S33" s="16" t="b">
        <v>0</v>
      </c>
      <c r="T33" s="16" t="b">
        <v>0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0</v>
      </c>
      <c r="AJ33" s="16" t="b">
        <v>0</v>
      </c>
      <c r="AK33" s="16" t="b">
        <v>0</v>
      </c>
      <c r="AL33" s="17" t="str">
        <f t="shared" si="1"/>
        <v>0 dari 31 (0%)</v>
      </c>
    </row>
    <row r="34" ht="22.5" customHeight="1">
      <c r="A34" s="2">
        <v>33.0</v>
      </c>
      <c r="B34" s="18"/>
      <c r="C34" s="22">
        <v>52788.0</v>
      </c>
      <c r="D34" s="12" t="s">
        <v>56</v>
      </c>
      <c r="E34" s="12" t="s">
        <v>64</v>
      </c>
      <c r="F34" s="13"/>
      <c r="G34" s="6" t="b">
        <v>0</v>
      </c>
      <c r="H34" s="6" t="b">
        <v>0</v>
      </c>
      <c r="I34" s="6" t="b">
        <v>0</v>
      </c>
      <c r="J34" s="6" t="b">
        <v>0</v>
      </c>
      <c r="K34" s="6" t="b">
        <v>0</v>
      </c>
      <c r="L34" s="6" t="b">
        <v>0</v>
      </c>
      <c r="M34" s="6" t="b">
        <v>0</v>
      </c>
      <c r="N34" s="6" t="b">
        <v>0</v>
      </c>
      <c r="O34" s="6" t="b">
        <v>0</v>
      </c>
      <c r="P34" s="6" t="b">
        <v>0</v>
      </c>
      <c r="Q34" s="6" t="b">
        <v>0</v>
      </c>
      <c r="R34" s="6" t="b">
        <v>0</v>
      </c>
      <c r="S34" s="6" t="b">
        <v>0</v>
      </c>
      <c r="T34" s="6" t="b">
        <v>0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0</v>
      </c>
      <c r="AJ34" s="6" t="b">
        <v>0</v>
      </c>
      <c r="AK34" s="6" t="b">
        <v>0</v>
      </c>
      <c r="AL34" s="9" t="str">
        <f t="shared" si="1"/>
        <v>0 dari 31 (0%)</v>
      </c>
    </row>
    <row r="35" ht="22.5" customHeight="1">
      <c r="A35" s="10">
        <v>34.0</v>
      </c>
      <c r="B35" s="11"/>
      <c r="C35" s="22">
        <v>60909.0</v>
      </c>
      <c r="D35" s="12" t="s">
        <v>56</v>
      </c>
      <c r="E35" s="12" t="s">
        <v>64</v>
      </c>
      <c r="F35" s="13"/>
      <c r="G35" s="16" t="b">
        <v>0</v>
      </c>
      <c r="H35" s="16" t="b">
        <v>0</v>
      </c>
      <c r="I35" s="16" t="b">
        <v>0</v>
      </c>
      <c r="J35" s="16" t="b">
        <v>0</v>
      </c>
      <c r="K35" s="16" t="b">
        <v>0</v>
      </c>
      <c r="L35" s="16" t="b">
        <v>0</v>
      </c>
      <c r="M35" s="16" t="b">
        <v>0</v>
      </c>
      <c r="N35" s="16" t="b">
        <v>0</v>
      </c>
      <c r="O35" s="16" t="b">
        <v>0</v>
      </c>
      <c r="P35" s="16" t="b">
        <v>0</v>
      </c>
      <c r="Q35" s="16" t="b">
        <v>0</v>
      </c>
      <c r="R35" s="16" t="b">
        <v>0</v>
      </c>
      <c r="S35" s="16" t="b">
        <v>0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7" t="str">
        <f t="shared" si="1"/>
        <v>0 dari 31 (0%)</v>
      </c>
    </row>
    <row r="36" ht="22.5" customHeight="1">
      <c r="A36" s="2">
        <v>35.0</v>
      </c>
      <c r="B36" s="18"/>
      <c r="C36" s="22">
        <v>57286.0</v>
      </c>
      <c r="D36" s="12" t="s">
        <v>80</v>
      </c>
      <c r="E36" s="12" t="s">
        <v>49</v>
      </c>
      <c r="F36" s="13"/>
      <c r="G36" s="6" t="b">
        <v>0</v>
      </c>
      <c r="H36" s="6" t="b">
        <v>0</v>
      </c>
      <c r="I36" s="6" t="b">
        <v>0</v>
      </c>
      <c r="J36" s="6" t="b">
        <v>0</v>
      </c>
      <c r="K36" s="6" t="b">
        <v>0</v>
      </c>
      <c r="L36" s="6" t="b">
        <v>0</v>
      </c>
      <c r="M36" s="6" t="b">
        <v>0</v>
      </c>
      <c r="N36" s="6" t="b">
        <v>0</v>
      </c>
      <c r="O36" s="6" t="b">
        <v>0</v>
      </c>
      <c r="P36" s="6" t="b">
        <v>0</v>
      </c>
      <c r="Q36" s="6" t="b">
        <v>0</v>
      </c>
      <c r="R36" s="6" t="b">
        <v>0</v>
      </c>
      <c r="S36" s="6" t="b">
        <v>0</v>
      </c>
      <c r="T36" s="6" t="b">
        <v>0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0</v>
      </c>
      <c r="AJ36" s="6" t="b">
        <v>0</v>
      </c>
      <c r="AK36" s="6" t="b">
        <v>0</v>
      </c>
      <c r="AL36" s="9" t="str">
        <f t="shared" si="1"/>
        <v>0 dari 31 (0%)</v>
      </c>
    </row>
    <row r="37" ht="22.5" customHeight="1">
      <c r="A37" s="10">
        <v>36.0</v>
      </c>
      <c r="B37" s="11"/>
      <c r="C37" s="22">
        <v>44852.0</v>
      </c>
      <c r="D37" s="12" t="s">
        <v>80</v>
      </c>
      <c r="E37" s="12" t="s">
        <v>43</v>
      </c>
      <c r="F37" s="13"/>
      <c r="G37" s="16" t="b">
        <v>0</v>
      </c>
      <c r="H37" s="16" t="b">
        <v>0</v>
      </c>
      <c r="I37" s="16" t="b">
        <v>0</v>
      </c>
      <c r="J37" s="16" t="b">
        <v>0</v>
      </c>
      <c r="K37" s="16" t="b">
        <v>0</v>
      </c>
      <c r="L37" s="16" t="b">
        <v>0</v>
      </c>
      <c r="M37" s="16" t="b">
        <v>0</v>
      </c>
      <c r="N37" s="16" t="b">
        <v>0</v>
      </c>
      <c r="O37" s="16" t="b">
        <v>0</v>
      </c>
      <c r="P37" s="16" t="b">
        <v>0</v>
      </c>
      <c r="Q37" s="16" t="b">
        <v>0</v>
      </c>
      <c r="R37" s="16" t="b">
        <v>0</v>
      </c>
      <c r="S37" s="16" t="b">
        <v>0</v>
      </c>
      <c r="T37" s="16" t="b">
        <v>0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7" t="str">
        <f t="shared" si="1"/>
        <v>0 dari 31 (0%)</v>
      </c>
    </row>
    <row r="38" ht="22.5" customHeight="1">
      <c r="A38" s="2">
        <v>37.0</v>
      </c>
      <c r="B38" s="18"/>
      <c r="C38" s="22">
        <v>57693.0</v>
      </c>
      <c r="D38" s="12" t="s">
        <v>80</v>
      </c>
      <c r="E38" s="12" t="s">
        <v>43</v>
      </c>
      <c r="F38" s="13"/>
      <c r="G38" s="6" t="b">
        <v>0</v>
      </c>
      <c r="H38" s="6" t="b">
        <v>0</v>
      </c>
      <c r="I38" s="6" t="b">
        <v>0</v>
      </c>
      <c r="J38" s="6" t="b">
        <v>0</v>
      </c>
      <c r="K38" s="6" t="b">
        <v>0</v>
      </c>
      <c r="L38" s="6" t="b">
        <v>0</v>
      </c>
      <c r="M38" s="6" t="b">
        <v>0</v>
      </c>
      <c r="N38" s="6" t="b">
        <v>0</v>
      </c>
      <c r="O38" s="6" t="b">
        <v>0</v>
      </c>
      <c r="P38" s="6" t="b">
        <v>0</v>
      </c>
      <c r="Q38" s="6" t="b">
        <v>0</v>
      </c>
      <c r="R38" s="6" t="b">
        <v>0</v>
      </c>
      <c r="S38" s="6" t="b">
        <v>0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1"/>
        <v>0 dari 31 (0%)</v>
      </c>
    </row>
    <row r="39" ht="22.5" customHeight="1">
      <c r="A39" s="10">
        <v>38.0</v>
      </c>
      <c r="B39" s="11"/>
      <c r="C39" s="22">
        <v>60783.0</v>
      </c>
      <c r="D39" s="12" t="s">
        <v>41</v>
      </c>
      <c r="E39" s="12" t="s">
        <v>125</v>
      </c>
      <c r="F39" s="15" t="s">
        <v>50</v>
      </c>
      <c r="G39" s="16" t="b">
        <v>0</v>
      </c>
      <c r="H39" s="16" t="b">
        <v>0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0</v>
      </c>
      <c r="O39" s="16" t="b">
        <v>0</v>
      </c>
      <c r="P39" s="16" t="b">
        <v>0</v>
      </c>
      <c r="Q39" s="16" t="b">
        <v>0</v>
      </c>
      <c r="R39" s="16" t="b">
        <v>0</v>
      </c>
      <c r="S39" s="16" t="b">
        <v>0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0 dari 31 (0%)</v>
      </c>
    </row>
    <row r="40" ht="22.5" customHeight="1">
      <c r="A40" s="2">
        <v>39.0</v>
      </c>
      <c r="B40" s="18"/>
      <c r="C40" s="22">
        <v>60823.0</v>
      </c>
      <c r="D40" s="12" t="s">
        <v>56</v>
      </c>
      <c r="E40" s="12" t="s">
        <v>64</v>
      </c>
      <c r="F40" s="13"/>
      <c r="G40" s="6" t="b">
        <v>0</v>
      </c>
      <c r="H40" s="6" t="b">
        <v>0</v>
      </c>
      <c r="I40" s="6" t="b">
        <v>0</v>
      </c>
      <c r="J40" s="6" t="b">
        <v>0</v>
      </c>
      <c r="K40" s="6" t="b">
        <v>0</v>
      </c>
      <c r="L40" s="6" t="b">
        <v>0</v>
      </c>
      <c r="M40" s="6" t="b">
        <v>0</v>
      </c>
      <c r="N40" s="6" t="b">
        <v>0</v>
      </c>
      <c r="O40" s="6" t="b">
        <v>0</v>
      </c>
      <c r="P40" s="6" t="b">
        <v>0</v>
      </c>
      <c r="Q40" s="6" t="b">
        <v>0</v>
      </c>
      <c r="R40" s="6" t="b">
        <v>0</v>
      </c>
      <c r="S40" s="6" t="b">
        <v>0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0</v>
      </c>
      <c r="AJ40" s="6" t="b">
        <v>0</v>
      </c>
      <c r="AK40" s="6" t="b">
        <v>0</v>
      </c>
      <c r="AL40" s="9" t="str">
        <f t="shared" si="1"/>
        <v>0 dari 31 (0%)</v>
      </c>
    </row>
    <row r="41" ht="22.5" customHeight="1">
      <c r="A41" s="10">
        <v>40.0</v>
      </c>
      <c r="B41" s="11"/>
      <c r="C41" s="22">
        <v>58418.0</v>
      </c>
      <c r="D41" s="12" t="s">
        <v>56</v>
      </c>
      <c r="E41" s="12" t="s">
        <v>73</v>
      </c>
      <c r="F41" s="13"/>
      <c r="G41" s="16" t="b">
        <v>0</v>
      </c>
      <c r="H41" s="16" t="b">
        <v>0</v>
      </c>
      <c r="I41" s="16" t="b">
        <v>0</v>
      </c>
      <c r="J41" s="16" t="b">
        <v>0</v>
      </c>
      <c r="K41" s="16" t="b">
        <v>0</v>
      </c>
      <c r="L41" s="16" t="b">
        <v>0</v>
      </c>
      <c r="M41" s="16" t="b">
        <v>0</v>
      </c>
      <c r="N41" s="16" t="b">
        <v>0</v>
      </c>
      <c r="O41" s="16" t="b">
        <v>0</v>
      </c>
      <c r="P41" s="16" t="b">
        <v>0</v>
      </c>
      <c r="Q41" s="16" t="b">
        <v>0</v>
      </c>
      <c r="R41" s="16" t="b">
        <v>0</v>
      </c>
      <c r="S41" s="16" t="b">
        <v>0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7" t="str">
        <f t="shared" si="1"/>
        <v>0 dari 31 (0%)</v>
      </c>
    </row>
    <row r="42" ht="22.5" customHeight="1">
      <c r="A42" s="2">
        <v>41.0</v>
      </c>
      <c r="B42" s="18"/>
      <c r="C42" s="20">
        <v>60967.0</v>
      </c>
      <c r="D42" s="12" t="s">
        <v>68</v>
      </c>
      <c r="E42" s="12" t="s">
        <v>82</v>
      </c>
      <c r="F42" s="13"/>
      <c r="G42" s="6" t="b">
        <v>0</v>
      </c>
      <c r="H42" s="6" t="b">
        <v>0</v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6" t="b">
        <v>0</v>
      </c>
      <c r="R42" s="6" t="b">
        <v>0</v>
      </c>
      <c r="S42" s="6" t="b">
        <v>0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0 dari 31 (0%)</v>
      </c>
    </row>
    <row r="43" ht="22.5" customHeight="1">
      <c r="A43" s="10">
        <v>42.0</v>
      </c>
      <c r="B43" s="11"/>
      <c r="C43" s="20">
        <v>51073.0</v>
      </c>
      <c r="D43" s="12" t="s">
        <v>53</v>
      </c>
      <c r="E43" s="12" t="s">
        <v>48</v>
      </c>
      <c r="F43" s="13"/>
      <c r="G43" s="16" t="b">
        <v>0</v>
      </c>
      <c r="H43" s="16" t="b">
        <v>0</v>
      </c>
      <c r="I43" s="16" t="b">
        <v>0</v>
      </c>
      <c r="J43" s="16" t="b">
        <v>0</v>
      </c>
      <c r="K43" s="16" t="b">
        <v>0</v>
      </c>
      <c r="L43" s="16" t="b">
        <v>0</v>
      </c>
      <c r="M43" s="16" t="b">
        <v>0</v>
      </c>
      <c r="N43" s="16" t="b">
        <v>0</v>
      </c>
      <c r="O43" s="16" t="b">
        <v>0</v>
      </c>
      <c r="P43" s="16" t="b">
        <v>0</v>
      </c>
      <c r="Q43" s="16" t="b">
        <v>0</v>
      </c>
      <c r="R43" s="16" t="b">
        <v>0</v>
      </c>
      <c r="S43" s="16" t="b">
        <v>0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1"/>
        <v>0 dari 31 (0%)</v>
      </c>
    </row>
    <row r="44" ht="22.5" customHeight="1">
      <c r="A44" s="2">
        <v>43.0</v>
      </c>
      <c r="B44" s="18"/>
      <c r="C44" s="20">
        <v>56565.0</v>
      </c>
      <c r="D44" s="12" t="s">
        <v>53</v>
      </c>
      <c r="E44" s="12" t="s">
        <v>48</v>
      </c>
      <c r="F44" s="13"/>
      <c r="G44" s="6" t="b">
        <v>0</v>
      </c>
      <c r="H44" s="6" t="b">
        <v>0</v>
      </c>
      <c r="I44" s="6" t="b">
        <v>0</v>
      </c>
      <c r="J44" s="6" t="b">
        <v>0</v>
      </c>
      <c r="K44" s="6" t="b">
        <v>0</v>
      </c>
      <c r="L44" s="6" t="b">
        <v>0</v>
      </c>
      <c r="M44" s="6" t="b">
        <v>0</v>
      </c>
      <c r="N44" s="6" t="b">
        <v>0</v>
      </c>
      <c r="O44" s="6" t="b">
        <v>0</v>
      </c>
      <c r="P44" s="6" t="b">
        <v>0</v>
      </c>
      <c r="Q44" s="6" t="b">
        <v>0</v>
      </c>
      <c r="R44" s="6" t="b">
        <v>0</v>
      </c>
      <c r="S44" s="6" t="b">
        <v>0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0 dari 31 (0%)</v>
      </c>
    </row>
    <row r="45" ht="22.5" customHeight="1">
      <c r="A45" s="10">
        <v>44.0</v>
      </c>
      <c r="B45" s="11"/>
      <c r="C45" s="20">
        <v>44002.0</v>
      </c>
      <c r="D45" s="12" t="s">
        <v>80</v>
      </c>
      <c r="E45" s="12" t="s">
        <v>91</v>
      </c>
      <c r="F45" s="13"/>
      <c r="G45" s="16" t="b">
        <v>0</v>
      </c>
      <c r="H45" s="16" t="b">
        <v>0</v>
      </c>
      <c r="I45" s="16" t="b">
        <v>0</v>
      </c>
      <c r="J45" s="16" t="b">
        <v>0</v>
      </c>
      <c r="K45" s="16" t="b">
        <v>0</v>
      </c>
      <c r="L45" s="16" t="b">
        <v>0</v>
      </c>
      <c r="M45" s="16" t="b">
        <v>0</v>
      </c>
      <c r="N45" s="16" t="b">
        <v>0</v>
      </c>
      <c r="O45" s="16" t="b">
        <v>0</v>
      </c>
      <c r="P45" s="16" t="b">
        <v>0</v>
      </c>
      <c r="Q45" s="16" t="b">
        <v>0</v>
      </c>
      <c r="R45" s="16" t="b">
        <v>0</v>
      </c>
      <c r="S45" s="16" t="b">
        <v>0</v>
      </c>
      <c r="T45" s="16" t="b">
        <v>0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7" t="str">
        <f t="shared" si="1"/>
        <v>0 dari 31 (0%)</v>
      </c>
    </row>
    <row r="46" ht="22.5" customHeight="1">
      <c r="A46" s="2">
        <v>45.0</v>
      </c>
      <c r="B46" s="18"/>
      <c r="C46" s="20">
        <v>58169.0</v>
      </c>
      <c r="D46" s="12" t="s">
        <v>80</v>
      </c>
      <c r="E46" s="12" t="s">
        <v>49</v>
      </c>
      <c r="F46" s="13"/>
      <c r="G46" s="6" t="b">
        <v>0</v>
      </c>
      <c r="H46" s="6" t="b">
        <v>0</v>
      </c>
      <c r="I46" s="6" t="b">
        <v>0</v>
      </c>
      <c r="J46" s="6" t="b">
        <v>0</v>
      </c>
      <c r="K46" s="6" t="b">
        <v>0</v>
      </c>
      <c r="L46" s="6" t="b">
        <v>0</v>
      </c>
      <c r="M46" s="6" t="b">
        <v>0</v>
      </c>
      <c r="N46" s="6" t="b">
        <v>0</v>
      </c>
      <c r="O46" s="6" t="b">
        <v>0</v>
      </c>
      <c r="P46" s="6" t="b">
        <v>0</v>
      </c>
      <c r="Q46" s="6" t="b">
        <v>0</v>
      </c>
      <c r="R46" s="6" t="b">
        <v>0</v>
      </c>
      <c r="S46" s="6" t="b">
        <v>0</v>
      </c>
      <c r="T46" s="6" t="b">
        <v>0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1"/>
        <v>0 dari 31 (0%)</v>
      </c>
    </row>
    <row r="47" ht="22.5" customHeight="1">
      <c r="A47" s="61">
        <v>46.0</v>
      </c>
      <c r="B47" s="62"/>
      <c r="C47" s="60">
        <v>48886.0</v>
      </c>
      <c r="D47" s="51" t="s">
        <v>63</v>
      </c>
      <c r="E47" s="51" t="s">
        <v>72</v>
      </c>
      <c r="F47" s="53"/>
      <c r="G47" s="63" t="b">
        <v>0</v>
      </c>
      <c r="H47" s="63" t="b">
        <v>0</v>
      </c>
      <c r="I47" s="63" t="b">
        <v>0</v>
      </c>
      <c r="J47" s="63" t="b">
        <v>0</v>
      </c>
      <c r="K47" s="63" t="b">
        <v>0</v>
      </c>
      <c r="L47" s="63" t="b">
        <v>0</v>
      </c>
      <c r="M47" s="63" t="b">
        <v>0</v>
      </c>
      <c r="N47" s="63" t="b">
        <v>0</v>
      </c>
      <c r="O47" s="63" t="b">
        <v>0</v>
      </c>
      <c r="P47" s="63" t="b">
        <v>0</v>
      </c>
      <c r="Q47" s="63" t="b">
        <v>0</v>
      </c>
      <c r="R47" s="63" t="b">
        <v>0</v>
      </c>
      <c r="S47" s="63" t="b">
        <v>0</v>
      </c>
      <c r="T47" s="63" t="b">
        <v>0</v>
      </c>
      <c r="U47" s="63" t="b">
        <v>0</v>
      </c>
      <c r="V47" s="63" t="b">
        <v>0</v>
      </c>
      <c r="W47" s="63" t="b">
        <v>0</v>
      </c>
      <c r="X47" s="63" t="b">
        <v>0</v>
      </c>
      <c r="Y47" s="63" t="b">
        <v>0</v>
      </c>
      <c r="Z47" s="63" t="b">
        <v>0</v>
      </c>
      <c r="AA47" s="63" t="b">
        <v>0</v>
      </c>
      <c r="AB47" s="63" t="b">
        <v>0</v>
      </c>
      <c r="AC47" s="63" t="b">
        <v>0</v>
      </c>
      <c r="AD47" s="63" t="b">
        <v>0</v>
      </c>
      <c r="AE47" s="63" t="b">
        <v>0</v>
      </c>
      <c r="AF47" s="63" t="b">
        <v>0</v>
      </c>
      <c r="AG47" s="63" t="b">
        <v>0</v>
      </c>
      <c r="AH47" s="63" t="b">
        <v>0</v>
      </c>
      <c r="AI47" s="63" t="b">
        <v>0</v>
      </c>
      <c r="AJ47" s="63" t="b">
        <v>0</v>
      </c>
      <c r="AK47" s="63" t="b">
        <v>0</v>
      </c>
      <c r="AL47" s="64" t="str">
        <f t="shared" si="1"/>
        <v>0 dari 31 (0%)</v>
      </c>
    </row>
    <row r="48" ht="22.5" customHeight="1">
      <c r="A48" s="10">
        <v>47.0</v>
      </c>
      <c r="B48" s="18"/>
      <c r="C48" s="20">
        <v>61419.0</v>
      </c>
      <c r="D48" s="12" t="s">
        <v>85</v>
      </c>
      <c r="E48" s="12" t="s">
        <v>90</v>
      </c>
      <c r="F48" s="15" t="s">
        <v>50</v>
      </c>
      <c r="G48" s="6" t="b">
        <v>0</v>
      </c>
      <c r="H48" s="6" t="b">
        <v>0</v>
      </c>
      <c r="I48" s="6" t="b">
        <v>0</v>
      </c>
      <c r="J48" s="6" t="b">
        <v>0</v>
      </c>
      <c r="K48" s="6" t="b">
        <v>0</v>
      </c>
      <c r="L48" s="6" t="b">
        <v>0</v>
      </c>
      <c r="M48" s="6" t="b">
        <v>0</v>
      </c>
      <c r="N48" s="6" t="b">
        <v>0</v>
      </c>
      <c r="O48" s="6" t="b">
        <v>0</v>
      </c>
      <c r="P48" s="6" t="b">
        <v>0</v>
      </c>
      <c r="Q48" s="6" t="b">
        <v>0</v>
      </c>
      <c r="R48" s="6" t="b">
        <v>0</v>
      </c>
      <c r="S48" s="6" t="b">
        <v>0</v>
      </c>
      <c r="T48" s="6" t="b">
        <v>0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0 dari 31 (0%)</v>
      </c>
    </row>
    <row r="49" ht="22.5" customHeight="1">
      <c r="A49" s="30">
        <v>48.0</v>
      </c>
      <c r="B49" s="62"/>
      <c r="C49" s="60">
        <v>58803.0</v>
      </c>
      <c r="D49" s="51" t="s">
        <v>98</v>
      </c>
      <c r="E49" s="51" t="s">
        <v>100</v>
      </c>
      <c r="F49" s="53"/>
      <c r="G49" s="63" t="b">
        <v>0</v>
      </c>
      <c r="H49" s="63" t="b">
        <v>0</v>
      </c>
      <c r="I49" s="63" t="b">
        <v>0</v>
      </c>
      <c r="J49" s="63" t="b">
        <v>0</v>
      </c>
      <c r="K49" s="63" t="b">
        <v>0</v>
      </c>
      <c r="L49" s="63" t="b">
        <v>0</v>
      </c>
      <c r="M49" s="63" t="b">
        <v>0</v>
      </c>
      <c r="N49" s="63" t="b">
        <v>0</v>
      </c>
      <c r="O49" s="63" t="b">
        <v>0</v>
      </c>
      <c r="P49" s="63" t="b">
        <v>0</v>
      </c>
      <c r="Q49" s="63" t="b">
        <v>0</v>
      </c>
      <c r="R49" s="63" t="b">
        <v>0</v>
      </c>
      <c r="S49" s="63" t="b">
        <v>0</v>
      </c>
      <c r="T49" s="63" t="b">
        <v>0</v>
      </c>
      <c r="U49" s="63" t="b">
        <v>0</v>
      </c>
      <c r="V49" s="63" t="b">
        <v>0</v>
      </c>
      <c r="W49" s="63" t="b">
        <v>0</v>
      </c>
      <c r="X49" s="63" t="b">
        <v>0</v>
      </c>
      <c r="Y49" s="63" t="b">
        <v>0</v>
      </c>
      <c r="Z49" s="63" t="b">
        <v>0</v>
      </c>
      <c r="AA49" s="63" t="b">
        <v>0</v>
      </c>
      <c r="AB49" s="63" t="b">
        <v>0</v>
      </c>
      <c r="AC49" s="63" t="b">
        <v>0</v>
      </c>
      <c r="AD49" s="63" t="b">
        <v>0</v>
      </c>
      <c r="AE49" s="63" t="b">
        <v>0</v>
      </c>
      <c r="AF49" s="63" t="b">
        <v>0</v>
      </c>
      <c r="AG49" s="63" t="b">
        <v>0</v>
      </c>
      <c r="AH49" s="63" t="b">
        <v>0</v>
      </c>
      <c r="AI49" s="63" t="b">
        <v>0</v>
      </c>
      <c r="AJ49" s="63" t="b">
        <v>0</v>
      </c>
      <c r="AK49" s="63" t="b">
        <v>0</v>
      </c>
      <c r="AL49" s="64" t="str">
        <f t="shared" si="1"/>
        <v>0 dari 31 (0%)</v>
      </c>
    </row>
    <row r="50" ht="22.5" customHeight="1">
      <c r="A50" s="10">
        <v>49.0</v>
      </c>
      <c r="B50" s="11"/>
      <c r="C50" s="20">
        <v>56784.0</v>
      </c>
      <c r="D50" s="12" t="s">
        <v>98</v>
      </c>
      <c r="E50" s="12" t="s">
        <v>142</v>
      </c>
      <c r="F50" s="13"/>
      <c r="G50" s="6" t="b">
        <v>0</v>
      </c>
      <c r="H50" s="6" t="b">
        <v>0</v>
      </c>
      <c r="I50" s="6" t="b">
        <v>0</v>
      </c>
      <c r="J50" s="6" t="b">
        <v>0</v>
      </c>
      <c r="K50" s="6" t="b">
        <v>0</v>
      </c>
      <c r="L50" s="6" t="b">
        <v>0</v>
      </c>
      <c r="M50" s="6" t="b">
        <v>0</v>
      </c>
      <c r="N50" s="6" t="b">
        <v>0</v>
      </c>
      <c r="O50" s="6" t="b">
        <v>0</v>
      </c>
      <c r="P50" s="6" t="b">
        <v>0</v>
      </c>
      <c r="Q50" s="6" t="b">
        <v>0</v>
      </c>
      <c r="R50" s="6" t="b">
        <v>0</v>
      </c>
      <c r="S50" s="6" t="b">
        <v>0</v>
      </c>
      <c r="T50" s="6" t="b">
        <v>0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0</v>
      </c>
      <c r="AJ50" s="6" t="b">
        <v>0</v>
      </c>
      <c r="AK50" s="6" t="b">
        <v>0</v>
      </c>
      <c r="AL50" s="9" t="str">
        <f t="shared" si="1"/>
        <v>0 dari 31 (0%)</v>
      </c>
    </row>
    <row r="51" ht="22.5" customHeight="1">
      <c r="A51" s="10">
        <v>50.0</v>
      </c>
      <c r="B51" s="11"/>
      <c r="C51" s="20">
        <v>61303.0</v>
      </c>
      <c r="D51" s="12" t="s">
        <v>98</v>
      </c>
      <c r="E51" s="12" t="s">
        <v>100</v>
      </c>
      <c r="F51" s="13"/>
      <c r="G51" s="6" t="b">
        <v>0</v>
      </c>
      <c r="H51" s="6" t="b">
        <v>0</v>
      </c>
      <c r="I51" s="6" t="b">
        <v>0</v>
      </c>
      <c r="J51" s="6" t="b">
        <v>0</v>
      </c>
      <c r="K51" s="6" t="b">
        <v>0</v>
      </c>
      <c r="L51" s="6" t="b">
        <v>0</v>
      </c>
      <c r="M51" s="6" t="b">
        <v>0</v>
      </c>
      <c r="N51" s="6" t="b">
        <v>0</v>
      </c>
      <c r="O51" s="6" t="b">
        <v>0</v>
      </c>
      <c r="P51" s="6" t="b">
        <v>0</v>
      </c>
      <c r="Q51" s="6" t="b">
        <v>0</v>
      </c>
      <c r="R51" s="6" t="b">
        <v>0</v>
      </c>
      <c r="S51" s="6" t="b">
        <v>0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0 dari 31 (0%)</v>
      </c>
    </row>
    <row r="52" ht="22.5" customHeight="1">
      <c r="A52" s="2">
        <v>51.0</v>
      </c>
      <c r="B52" s="11"/>
      <c r="C52" s="20">
        <v>56426.0</v>
      </c>
      <c r="D52" s="12" t="s">
        <v>98</v>
      </c>
      <c r="E52" s="12" t="s">
        <v>131</v>
      </c>
      <c r="F52" s="13"/>
      <c r="G52" s="6" t="b">
        <v>0</v>
      </c>
      <c r="H52" s="6" t="b">
        <v>0</v>
      </c>
      <c r="I52" s="6" t="b">
        <v>0</v>
      </c>
      <c r="J52" s="6" t="b">
        <v>0</v>
      </c>
      <c r="K52" s="6" t="b">
        <v>0</v>
      </c>
      <c r="L52" s="6" t="b">
        <v>0</v>
      </c>
      <c r="M52" s="6" t="b">
        <v>0</v>
      </c>
      <c r="N52" s="6" t="b">
        <v>0</v>
      </c>
      <c r="O52" s="6" t="b">
        <v>0</v>
      </c>
      <c r="P52" s="6" t="b">
        <v>0</v>
      </c>
      <c r="Q52" s="6" t="b">
        <v>0</v>
      </c>
      <c r="R52" s="6" t="b">
        <v>0</v>
      </c>
      <c r="S52" s="6" t="b">
        <v>0</v>
      </c>
      <c r="T52" s="6" t="b">
        <v>0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0</v>
      </c>
      <c r="AJ52" s="6" t="b">
        <v>0</v>
      </c>
      <c r="AK52" s="6" t="b">
        <v>0</v>
      </c>
      <c r="AL52" s="9" t="str">
        <f t="shared" si="1"/>
        <v>0 dari 31 (0%)</v>
      </c>
    </row>
    <row r="53" ht="22.5" customHeight="1">
      <c r="A53" s="10">
        <v>52.0</v>
      </c>
      <c r="B53" s="11"/>
      <c r="C53" s="20">
        <v>59769.0</v>
      </c>
      <c r="D53" s="12" t="s">
        <v>98</v>
      </c>
      <c r="E53" s="12" t="s">
        <v>100</v>
      </c>
      <c r="F53" s="13"/>
      <c r="G53" s="6" t="b">
        <v>0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  <c r="P53" s="6" t="b">
        <v>0</v>
      </c>
      <c r="Q53" s="6" t="b">
        <v>0</v>
      </c>
      <c r="R53" s="6" t="b">
        <v>0</v>
      </c>
      <c r="S53" s="6" t="b">
        <v>0</v>
      </c>
      <c r="T53" s="6" t="b">
        <v>0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0 dari 31 (0%)</v>
      </c>
    </row>
    <row r="54" ht="22.5" customHeight="1">
      <c r="A54" s="10">
        <v>53.0</v>
      </c>
      <c r="B54" s="11"/>
      <c r="C54" s="20">
        <v>60605.0</v>
      </c>
      <c r="D54" s="12" t="s">
        <v>98</v>
      </c>
      <c r="E54" s="12" t="s">
        <v>100</v>
      </c>
      <c r="F54" s="15" t="s">
        <v>50</v>
      </c>
      <c r="G54" s="6" t="b">
        <v>0</v>
      </c>
      <c r="H54" s="6" t="b">
        <v>0</v>
      </c>
      <c r="I54" s="6" t="b">
        <v>0</v>
      </c>
      <c r="J54" s="6" t="b">
        <v>0</v>
      </c>
      <c r="K54" s="6" t="b">
        <v>0</v>
      </c>
      <c r="L54" s="6" t="b">
        <v>0</v>
      </c>
      <c r="M54" s="6" t="b">
        <v>0</v>
      </c>
      <c r="N54" s="6" t="b">
        <v>0</v>
      </c>
      <c r="O54" s="6" t="b">
        <v>0</v>
      </c>
      <c r="P54" s="6" t="b">
        <v>0</v>
      </c>
      <c r="Q54" s="6" t="b">
        <v>0</v>
      </c>
      <c r="R54" s="6" t="b">
        <v>0</v>
      </c>
      <c r="S54" s="6" t="b">
        <v>0</v>
      </c>
      <c r="T54" s="6" t="b">
        <v>0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0</v>
      </c>
      <c r="AJ54" s="6" t="b">
        <v>0</v>
      </c>
      <c r="AK54" s="6" t="b">
        <v>0</v>
      </c>
      <c r="AL54" s="17" t="str">
        <f t="shared" si="1"/>
        <v>0 dari 31 (0%)</v>
      </c>
    </row>
    <row r="55" ht="22.5" customHeight="1">
      <c r="A55" s="2">
        <v>54.0</v>
      </c>
      <c r="B55" s="11"/>
      <c r="C55" s="22">
        <v>61271.0</v>
      </c>
      <c r="D55" s="12" t="s">
        <v>98</v>
      </c>
      <c r="E55" s="12" t="s">
        <v>142</v>
      </c>
      <c r="F55" s="13"/>
      <c r="G55" s="6" t="b">
        <v>0</v>
      </c>
      <c r="H55" s="6" t="b">
        <v>0</v>
      </c>
      <c r="I55" s="6" t="b">
        <v>0</v>
      </c>
      <c r="J55" s="6" t="b">
        <v>0</v>
      </c>
      <c r="K55" s="6" t="b">
        <v>0</v>
      </c>
      <c r="L55" s="6" t="b">
        <v>0</v>
      </c>
      <c r="M55" s="6" t="b">
        <v>0</v>
      </c>
      <c r="N55" s="6" t="b">
        <v>0</v>
      </c>
      <c r="O55" s="6" t="b">
        <v>0</v>
      </c>
      <c r="P55" s="6" t="b">
        <v>0</v>
      </c>
      <c r="Q55" s="6" t="b">
        <v>0</v>
      </c>
      <c r="R55" s="6" t="b">
        <v>0</v>
      </c>
      <c r="S55" s="6" t="b">
        <v>0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0</v>
      </c>
      <c r="AJ55" s="6" t="b">
        <v>0</v>
      </c>
      <c r="AK55" s="6" t="b">
        <v>0</v>
      </c>
      <c r="AL55" s="9" t="str">
        <f t="shared" si="1"/>
        <v>0 dari 31 (0%)</v>
      </c>
    </row>
    <row r="56" ht="22.5" customHeight="1">
      <c r="A56" s="10">
        <v>55.0</v>
      </c>
      <c r="B56" s="11"/>
      <c r="C56" s="22">
        <v>61331.0</v>
      </c>
      <c r="D56" s="12" t="s">
        <v>98</v>
      </c>
      <c r="E56" s="12" t="s">
        <v>131</v>
      </c>
      <c r="F56" s="13"/>
      <c r="G56" s="6" t="b">
        <v>0</v>
      </c>
      <c r="H56" s="6" t="b">
        <v>0</v>
      </c>
      <c r="I56" s="6" t="b">
        <v>0</v>
      </c>
      <c r="J56" s="6" t="b">
        <v>0</v>
      </c>
      <c r="K56" s="6" t="b">
        <v>0</v>
      </c>
      <c r="L56" s="6" t="b">
        <v>0</v>
      </c>
      <c r="M56" s="6" t="b">
        <v>0</v>
      </c>
      <c r="N56" s="6" t="b">
        <v>0</v>
      </c>
      <c r="O56" s="6" t="b">
        <v>0</v>
      </c>
      <c r="P56" s="6" t="b">
        <v>0</v>
      </c>
      <c r="Q56" s="6" t="b">
        <v>0</v>
      </c>
      <c r="R56" s="6" t="b">
        <v>0</v>
      </c>
      <c r="S56" s="6" t="b">
        <v>0</v>
      </c>
      <c r="T56" s="6" t="b">
        <v>0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0</v>
      </c>
      <c r="AJ56" s="6" t="b">
        <v>0</v>
      </c>
      <c r="AK56" s="6" t="b">
        <v>0</v>
      </c>
      <c r="AL56" s="9" t="str">
        <f t="shared" si="1"/>
        <v>0 dari 31 (0%)</v>
      </c>
    </row>
    <row r="57" ht="22.5" customHeight="1">
      <c r="A57" s="10">
        <v>56.0</v>
      </c>
      <c r="B57" s="11"/>
      <c r="C57" s="22">
        <v>58246.0</v>
      </c>
      <c r="D57" s="12" t="s">
        <v>98</v>
      </c>
      <c r="E57" s="12" t="s">
        <v>142</v>
      </c>
      <c r="F57" s="15" t="s">
        <v>50</v>
      </c>
      <c r="G57" s="6" t="b">
        <v>0</v>
      </c>
      <c r="H57" s="6" t="b">
        <v>0</v>
      </c>
      <c r="I57" s="6" t="b">
        <v>0</v>
      </c>
      <c r="J57" s="6" t="b">
        <v>0</v>
      </c>
      <c r="K57" s="6" t="b">
        <v>0</v>
      </c>
      <c r="L57" s="6" t="b">
        <v>0</v>
      </c>
      <c r="M57" s="6" t="b">
        <v>0</v>
      </c>
      <c r="N57" s="6" t="b">
        <v>0</v>
      </c>
      <c r="O57" s="6" t="b">
        <v>0</v>
      </c>
      <c r="P57" s="6" t="b">
        <v>0</v>
      </c>
      <c r="Q57" s="6" t="b">
        <v>0</v>
      </c>
      <c r="R57" s="6" t="b">
        <v>0</v>
      </c>
      <c r="S57" s="6" t="b">
        <v>0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0 dari 31 (0%)</v>
      </c>
    </row>
    <row r="58" ht="22.5" customHeight="1">
      <c r="A58" s="2">
        <v>57.0</v>
      </c>
      <c r="B58" s="11"/>
      <c r="C58" s="22">
        <v>61281.0</v>
      </c>
      <c r="D58" s="12" t="s">
        <v>98</v>
      </c>
      <c r="E58" s="12" t="s">
        <v>100</v>
      </c>
      <c r="F58" s="15" t="s">
        <v>50</v>
      </c>
      <c r="G58" s="6" t="b">
        <v>0</v>
      </c>
      <c r="H58" s="6" t="b">
        <v>0</v>
      </c>
      <c r="I58" s="6" t="b">
        <v>0</v>
      </c>
      <c r="J58" s="6" t="b">
        <v>0</v>
      </c>
      <c r="K58" s="6" t="b">
        <v>0</v>
      </c>
      <c r="L58" s="6" t="b">
        <v>0</v>
      </c>
      <c r="M58" s="6" t="b">
        <v>0</v>
      </c>
      <c r="N58" s="6" t="b">
        <v>0</v>
      </c>
      <c r="O58" s="6" t="b">
        <v>0</v>
      </c>
      <c r="P58" s="6" t="b">
        <v>0</v>
      </c>
      <c r="Q58" s="6" t="b">
        <v>0</v>
      </c>
      <c r="R58" s="6" t="b">
        <v>0</v>
      </c>
      <c r="S58" s="6" t="b">
        <v>0</v>
      </c>
      <c r="T58" s="6" t="b">
        <v>0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0 dari 31 (0%)</v>
      </c>
    </row>
    <row r="59" ht="22.5" customHeight="1">
      <c r="A59" s="10">
        <v>58.0</v>
      </c>
      <c r="B59" s="11"/>
      <c r="C59" s="22">
        <v>59929.0</v>
      </c>
      <c r="D59" s="12" t="s">
        <v>98</v>
      </c>
      <c r="E59" s="12" t="s">
        <v>142</v>
      </c>
      <c r="F59" s="13"/>
      <c r="G59" s="6" t="b">
        <v>0</v>
      </c>
      <c r="H59" s="6" t="b">
        <v>0</v>
      </c>
      <c r="I59" s="6" t="b">
        <v>0</v>
      </c>
      <c r="J59" s="6" t="b">
        <v>0</v>
      </c>
      <c r="K59" s="6" t="b">
        <v>0</v>
      </c>
      <c r="L59" s="6" t="b">
        <v>0</v>
      </c>
      <c r="M59" s="6" t="b">
        <v>0</v>
      </c>
      <c r="N59" s="6" t="b">
        <v>0</v>
      </c>
      <c r="O59" s="6" t="b">
        <v>0</v>
      </c>
      <c r="P59" s="6" t="b">
        <v>0</v>
      </c>
      <c r="Q59" s="6" t="b">
        <v>0</v>
      </c>
      <c r="R59" s="6" t="b">
        <v>0</v>
      </c>
      <c r="S59" s="6" t="b">
        <v>0</v>
      </c>
      <c r="T59" s="6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1"/>
        <v>0 dari 31 (0%)</v>
      </c>
    </row>
    <row r="60" ht="22.5" customHeight="1">
      <c r="A60" s="10">
        <v>59.0</v>
      </c>
      <c r="B60" s="11"/>
      <c r="C60" s="22">
        <v>61182.0</v>
      </c>
      <c r="D60" s="12" t="s">
        <v>98</v>
      </c>
      <c r="E60" s="12" t="s">
        <v>142</v>
      </c>
      <c r="F60" s="15" t="s">
        <v>50</v>
      </c>
      <c r="G60" s="6" t="b">
        <v>0</v>
      </c>
      <c r="H60" s="6" t="b">
        <v>0</v>
      </c>
      <c r="I60" s="6" t="b">
        <v>0</v>
      </c>
      <c r="J60" s="6" t="b">
        <v>0</v>
      </c>
      <c r="K60" s="6" t="b">
        <v>0</v>
      </c>
      <c r="L60" s="6" t="b">
        <v>0</v>
      </c>
      <c r="M60" s="6" t="b">
        <v>0</v>
      </c>
      <c r="N60" s="6" t="b">
        <v>0</v>
      </c>
      <c r="O60" s="6" t="b">
        <v>0</v>
      </c>
      <c r="P60" s="6" t="b">
        <v>0</v>
      </c>
      <c r="Q60" s="6" t="b">
        <v>0</v>
      </c>
      <c r="R60" s="6" t="b">
        <v>0</v>
      </c>
      <c r="S60" s="6" t="b">
        <v>0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0 dari 31 (0%)</v>
      </c>
    </row>
    <row r="61" ht="22.5" customHeight="1">
      <c r="A61" s="2">
        <v>60.0</v>
      </c>
      <c r="B61" s="11"/>
      <c r="C61" s="22">
        <v>61267.0</v>
      </c>
      <c r="D61" s="12" t="s">
        <v>98</v>
      </c>
      <c r="E61" s="12" t="s">
        <v>142</v>
      </c>
      <c r="F61" s="13"/>
      <c r="G61" s="6" t="b">
        <v>0</v>
      </c>
      <c r="H61" s="6" t="b">
        <v>0</v>
      </c>
      <c r="I61" s="6" t="b">
        <v>0</v>
      </c>
      <c r="J61" s="6" t="b">
        <v>0</v>
      </c>
      <c r="K61" s="6" t="b">
        <v>0</v>
      </c>
      <c r="L61" s="6" t="b">
        <v>0</v>
      </c>
      <c r="M61" s="6" t="b">
        <v>0</v>
      </c>
      <c r="N61" s="6" t="b">
        <v>0</v>
      </c>
      <c r="O61" s="6" t="b">
        <v>0</v>
      </c>
      <c r="P61" s="6" t="b">
        <v>0</v>
      </c>
      <c r="Q61" s="6" t="b">
        <v>0</v>
      </c>
      <c r="R61" s="6" t="b">
        <v>0</v>
      </c>
      <c r="S61" s="6" t="b">
        <v>0</v>
      </c>
      <c r="T61" s="6" t="b">
        <v>0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1"/>
        <v>0 dari 31 (0%)</v>
      </c>
    </row>
    <row r="62" ht="22.5" customHeight="1">
      <c r="A62" s="61">
        <v>61.0</v>
      </c>
      <c r="B62" s="62"/>
      <c r="C62" s="60">
        <v>25467.0</v>
      </c>
      <c r="D62" s="51" t="s">
        <v>98</v>
      </c>
      <c r="E62" s="51" t="s">
        <v>100</v>
      </c>
      <c r="F62" s="53"/>
      <c r="G62" s="35" t="b">
        <v>0</v>
      </c>
      <c r="H62" s="35" t="b">
        <v>0</v>
      </c>
      <c r="I62" s="35" t="b">
        <v>0</v>
      </c>
      <c r="J62" s="35" t="b">
        <v>0</v>
      </c>
      <c r="K62" s="35" t="b">
        <v>0</v>
      </c>
      <c r="L62" s="35" t="b">
        <v>0</v>
      </c>
      <c r="M62" s="35" t="b">
        <v>0</v>
      </c>
      <c r="N62" s="35" t="b">
        <v>0</v>
      </c>
      <c r="O62" s="35" t="b">
        <v>0</v>
      </c>
      <c r="P62" s="35" t="b">
        <v>0</v>
      </c>
      <c r="Q62" s="35" t="b">
        <v>0</v>
      </c>
      <c r="R62" s="35" t="b">
        <v>0</v>
      </c>
      <c r="S62" s="35" t="b">
        <v>0</v>
      </c>
      <c r="T62" s="35" t="b">
        <v>0</v>
      </c>
      <c r="U62" s="35" t="b">
        <v>0</v>
      </c>
      <c r="V62" s="35" t="b">
        <v>0</v>
      </c>
      <c r="W62" s="35" t="b">
        <v>0</v>
      </c>
      <c r="X62" s="35" t="b">
        <v>0</v>
      </c>
      <c r="Y62" s="35" t="b">
        <v>0</v>
      </c>
      <c r="Z62" s="35" t="b">
        <v>0</v>
      </c>
      <c r="AA62" s="35" t="b">
        <v>0</v>
      </c>
      <c r="AB62" s="35" t="b">
        <v>0</v>
      </c>
      <c r="AC62" s="35" t="b">
        <v>0</v>
      </c>
      <c r="AD62" s="35" t="b">
        <v>0</v>
      </c>
      <c r="AE62" s="35" t="b">
        <v>0</v>
      </c>
      <c r="AF62" s="35" t="b">
        <v>0</v>
      </c>
      <c r="AG62" s="35" t="b">
        <v>0</v>
      </c>
      <c r="AH62" s="35" t="b">
        <v>0</v>
      </c>
      <c r="AI62" s="35" t="b">
        <v>0</v>
      </c>
      <c r="AJ62" s="35" t="b">
        <v>0</v>
      </c>
      <c r="AK62" s="35" t="b">
        <v>0</v>
      </c>
      <c r="AL62" s="38" t="str">
        <f t="shared" si="1"/>
        <v>0 dari 31 (0%)</v>
      </c>
    </row>
    <row r="63" ht="22.5" customHeight="1">
      <c r="A63" s="10">
        <v>62.0</v>
      </c>
      <c r="B63" s="11"/>
      <c r="C63" s="20">
        <v>61418.0</v>
      </c>
      <c r="D63" s="12" t="s">
        <v>51</v>
      </c>
      <c r="E63" s="12" t="s">
        <v>140</v>
      </c>
      <c r="F63" s="13"/>
      <c r="G63" s="6" t="b">
        <v>0</v>
      </c>
      <c r="H63" s="6" t="b">
        <v>0</v>
      </c>
      <c r="I63" s="6" t="b">
        <v>0</v>
      </c>
      <c r="J63" s="6" t="b">
        <v>0</v>
      </c>
      <c r="K63" s="6" t="b">
        <v>0</v>
      </c>
      <c r="L63" s="6" t="b">
        <v>0</v>
      </c>
      <c r="M63" s="6" t="b">
        <v>0</v>
      </c>
      <c r="N63" s="6" t="b">
        <v>0</v>
      </c>
      <c r="O63" s="6" t="b">
        <v>0</v>
      </c>
      <c r="P63" s="6" t="b">
        <v>0</v>
      </c>
      <c r="Q63" s="6" t="b">
        <v>0</v>
      </c>
      <c r="R63" s="6" t="b">
        <v>0</v>
      </c>
      <c r="S63" s="6" t="b">
        <v>0</v>
      </c>
      <c r="T63" s="6" t="b">
        <v>0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0 dari 31 (0%)</v>
      </c>
    </row>
    <row r="64" ht="22.5" customHeight="1">
      <c r="A64" s="2">
        <v>63.0</v>
      </c>
      <c r="B64" s="11"/>
      <c r="C64" s="20">
        <v>31053.0</v>
      </c>
      <c r="D64" s="12" t="s">
        <v>51</v>
      </c>
      <c r="E64" s="12" t="s">
        <v>65</v>
      </c>
      <c r="F64" s="13"/>
      <c r="G64" s="6" t="b">
        <v>0</v>
      </c>
      <c r="H64" s="6" t="b">
        <v>0</v>
      </c>
      <c r="I64" s="6" t="b">
        <v>0</v>
      </c>
      <c r="J64" s="6" t="b">
        <v>0</v>
      </c>
      <c r="K64" s="6" t="b">
        <v>0</v>
      </c>
      <c r="L64" s="6" t="b">
        <v>0</v>
      </c>
      <c r="M64" s="6" t="b">
        <v>0</v>
      </c>
      <c r="N64" s="6" t="b">
        <v>0</v>
      </c>
      <c r="O64" s="6" t="b">
        <v>0</v>
      </c>
      <c r="P64" s="6" t="b">
        <v>0</v>
      </c>
      <c r="Q64" s="6" t="b">
        <v>0</v>
      </c>
      <c r="R64" s="6" t="b">
        <v>0</v>
      </c>
      <c r="S64" s="6" t="b">
        <v>0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1"/>
        <v>0 dari 31 (0%)</v>
      </c>
    </row>
    <row r="65" ht="22.5" customHeight="1">
      <c r="A65" s="10">
        <v>64.0</v>
      </c>
      <c r="B65" s="11"/>
      <c r="C65" s="20">
        <v>61420.0</v>
      </c>
      <c r="D65" s="12" t="s">
        <v>54</v>
      </c>
      <c r="E65" s="12" t="s">
        <v>76</v>
      </c>
      <c r="F65" s="13"/>
      <c r="G65" s="6" t="b">
        <v>0</v>
      </c>
      <c r="H65" s="6" t="b">
        <v>0</v>
      </c>
      <c r="I65" s="6" t="b">
        <v>0</v>
      </c>
      <c r="J65" s="6" t="b">
        <v>0</v>
      </c>
      <c r="K65" s="6" t="b">
        <v>0</v>
      </c>
      <c r="L65" s="6" t="b">
        <v>0</v>
      </c>
      <c r="M65" s="6" t="b">
        <v>0</v>
      </c>
      <c r="N65" s="6" t="b">
        <v>0</v>
      </c>
      <c r="O65" s="6" t="b">
        <v>0</v>
      </c>
      <c r="P65" s="6" t="b">
        <v>0</v>
      </c>
      <c r="Q65" s="6" t="b">
        <v>0</v>
      </c>
      <c r="R65" s="6" t="b">
        <v>0</v>
      </c>
      <c r="S65" s="6" t="b">
        <v>0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0</v>
      </c>
      <c r="AJ65" s="6" t="b">
        <v>0</v>
      </c>
      <c r="AK65" s="6" t="b">
        <v>0</v>
      </c>
      <c r="AL65" s="9" t="str">
        <f t="shared" si="1"/>
        <v>0 dari 31 (0%)</v>
      </c>
    </row>
    <row r="66" ht="22.5" customHeight="1">
      <c r="A66" s="10">
        <v>65.0</v>
      </c>
      <c r="B66" s="11"/>
      <c r="C66" s="20">
        <v>61423.0</v>
      </c>
      <c r="D66" s="12" t="s">
        <v>51</v>
      </c>
      <c r="E66" s="12" t="s">
        <v>65</v>
      </c>
      <c r="F66" s="13"/>
      <c r="G66" s="6" t="b">
        <v>0</v>
      </c>
      <c r="H66" s="6" t="b">
        <v>0</v>
      </c>
      <c r="I66" s="6" t="b">
        <v>0</v>
      </c>
      <c r="J66" s="6" t="b">
        <v>0</v>
      </c>
      <c r="K66" s="6" t="b">
        <v>0</v>
      </c>
      <c r="L66" s="6" t="b">
        <v>0</v>
      </c>
      <c r="M66" s="6" t="b">
        <v>0</v>
      </c>
      <c r="N66" s="6" t="b">
        <v>0</v>
      </c>
      <c r="O66" s="6" t="b">
        <v>0</v>
      </c>
      <c r="P66" s="6" t="b">
        <v>0</v>
      </c>
      <c r="Q66" s="6" t="b">
        <v>0</v>
      </c>
      <c r="R66" s="6" t="b">
        <v>0</v>
      </c>
      <c r="S66" s="6" t="b">
        <v>0</v>
      </c>
      <c r="T66" s="6" t="b">
        <v>0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0</v>
      </c>
      <c r="AJ66" s="6" t="b">
        <v>0</v>
      </c>
      <c r="AK66" s="6" t="b">
        <v>0</v>
      </c>
      <c r="AL66" s="17" t="str">
        <f t="shared" si="1"/>
        <v>0 dari 31 (0%)</v>
      </c>
    </row>
    <row r="67" ht="22.5" customHeight="1">
      <c r="A67" s="2">
        <v>66.0</v>
      </c>
      <c r="B67" s="11"/>
      <c r="C67" s="22">
        <v>61422.0</v>
      </c>
      <c r="D67" s="12" t="s">
        <v>53</v>
      </c>
      <c r="E67" s="12" t="s">
        <v>48</v>
      </c>
      <c r="F67" s="13"/>
      <c r="G67" s="6" t="b">
        <v>0</v>
      </c>
      <c r="H67" s="6" t="b">
        <v>0</v>
      </c>
      <c r="I67" s="6" t="b">
        <v>0</v>
      </c>
      <c r="J67" s="6" t="b">
        <v>0</v>
      </c>
      <c r="K67" s="6" t="b">
        <v>0</v>
      </c>
      <c r="L67" s="6" t="b">
        <v>0</v>
      </c>
      <c r="M67" s="6" t="b">
        <v>0</v>
      </c>
      <c r="N67" s="6" t="b">
        <v>0</v>
      </c>
      <c r="O67" s="6" t="b">
        <v>0</v>
      </c>
      <c r="P67" s="6" t="b">
        <v>0</v>
      </c>
      <c r="Q67" s="6" t="b">
        <v>0</v>
      </c>
      <c r="R67" s="6" t="b">
        <v>0</v>
      </c>
      <c r="S67" s="6" t="b">
        <v>0</v>
      </c>
      <c r="T67" s="6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1"/>
        <v>0 dari 31 (0%)</v>
      </c>
    </row>
    <row r="68" ht="22.5" customHeight="1">
      <c r="A68" s="10">
        <v>67.0</v>
      </c>
      <c r="B68" s="11"/>
      <c r="C68" s="22">
        <v>60523.0</v>
      </c>
      <c r="D68" s="12" t="s">
        <v>63</v>
      </c>
      <c r="E68" s="12" t="s">
        <v>72</v>
      </c>
      <c r="F68" s="15" t="s">
        <v>50</v>
      </c>
      <c r="G68" s="6" t="b">
        <v>0</v>
      </c>
      <c r="H68" s="6" t="b">
        <v>0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0</v>
      </c>
      <c r="R68" s="6" t="b">
        <v>0</v>
      </c>
      <c r="S68" s="6" t="b">
        <v>0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0 dari 31 (0%)</v>
      </c>
    </row>
    <row r="69" ht="22.5" customHeight="1">
      <c r="A69" s="61">
        <v>68.0</v>
      </c>
      <c r="B69" s="62"/>
      <c r="C69" s="32">
        <v>18348.0</v>
      </c>
      <c r="D69" s="51" t="s">
        <v>98</v>
      </c>
      <c r="E69" s="51" t="s">
        <v>142</v>
      </c>
      <c r="F69" s="53"/>
      <c r="G69" s="35" t="b">
        <v>0</v>
      </c>
      <c r="H69" s="35" t="b">
        <v>0</v>
      </c>
      <c r="I69" s="35" t="b">
        <v>0</v>
      </c>
      <c r="J69" s="35" t="b">
        <v>0</v>
      </c>
      <c r="K69" s="35" t="b">
        <v>0</v>
      </c>
      <c r="L69" s="35" t="b">
        <v>0</v>
      </c>
      <c r="M69" s="35" t="b">
        <v>0</v>
      </c>
      <c r="N69" s="35" t="b">
        <v>0</v>
      </c>
      <c r="O69" s="35" t="b">
        <v>0</v>
      </c>
      <c r="P69" s="35" t="b">
        <v>0</v>
      </c>
      <c r="Q69" s="35" t="b">
        <v>0</v>
      </c>
      <c r="R69" s="35" t="b">
        <v>0</v>
      </c>
      <c r="S69" s="35" t="b">
        <v>0</v>
      </c>
      <c r="T69" s="35" t="b">
        <v>0</v>
      </c>
      <c r="U69" s="35" t="b">
        <v>0</v>
      </c>
      <c r="V69" s="35" t="b">
        <v>0</v>
      </c>
      <c r="W69" s="35" t="b">
        <v>0</v>
      </c>
      <c r="X69" s="35" t="b">
        <v>0</v>
      </c>
      <c r="Y69" s="35" t="b">
        <v>0</v>
      </c>
      <c r="Z69" s="35" t="b">
        <v>0</v>
      </c>
      <c r="AA69" s="35" t="b">
        <v>0</v>
      </c>
      <c r="AB69" s="35" t="b">
        <v>0</v>
      </c>
      <c r="AC69" s="35" t="b">
        <v>0</v>
      </c>
      <c r="AD69" s="35" t="b">
        <v>0</v>
      </c>
      <c r="AE69" s="35" t="b">
        <v>0</v>
      </c>
      <c r="AF69" s="35" t="b">
        <v>0</v>
      </c>
      <c r="AG69" s="35" t="b">
        <v>0</v>
      </c>
      <c r="AH69" s="35" t="b">
        <v>0</v>
      </c>
      <c r="AI69" s="35" t="b">
        <v>0</v>
      </c>
      <c r="AJ69" s="35" t="b">
        <v>0</v>
      </c>
      <c r="AK69" s="35" t="b">
        <v>0</v>
      </c>
      <c r="AL69" s="64" t="str">
        <f t="shared" si="1"/>
        <v>0 dari 31 (0%)</v>
      </c>
    </row>
    <row r="70" ht="22.5" customHeight="1">
      <c r="A70" s="30">
        <v>69.0</v>
      </c>
      <c r="B70" s="62"/>
      <c r="C70" s="32">
        <v>59397.0</v>
      </c>
      <c r="D70" s="51" t="s">
        <v>68</v>
      </c>
      <c r="E70" s="51" t="s">
        <v>69</v>
      </c>
      <c r="F70" s="53"/>
      <c r="G70" s="35" t="b">
        <v>0</v>
      </c>
      <c r="H70" s="35" t="b">
        <v>0</v>
      </c>
      <c r="I70" s="35" t="b">
        <v>0</v>
      </c>
      <c r="J70" s="35" t="b">
        <v>0</v>
      </c>
      <c r="K70" s="35" t="b">
        <v>0</v>
      </c>
      <c r="L70" s="35" t="b">
        <v>0</v>
      </c>
      <c r="M70" s="35" t="b">
        <v>0</v>
      </c>
      <c r="N70" s="35" t="b">
        <v>0</v>
      </c>
      <c r="O70" s="35" t="b">
        <v>0</v>
      </c>
      <c r="P70" s="35" t="b">
        <v>0</v>
      </c>
      <c r="Q70" s="35" t="b">
        <v>0</v>
      </c>
      <c r="R70" s="35" t="b">
        <v>0</v>
      </c>
      <c r="S70" s="35" t="b">
        <v>0</v>
      </c>
      <c r="T70" s="35" t="b">
        <v>0</v>
      </c>
      <c r="U70" s="35" t="b">
        <v>0</v>
      </c>
      <c r="V70" s="35" t="b">
        <v>0</v>
      </c>
      <c r="W70" s="35" t="b">
        <v>0</v>
      </c>
      <c r="X70" s="35" t="b">
        <v>0</v>
      </c>
      <c r="Y70" s="35" t="b">
        <v>0</v>
      </c>
      <c r="Z70" s="35" t="b">
        <v>0</v>
      </c>
      <c r="AA70" s="35" t="b">
        <v>0</v>
      </c>
      <c r="AB70" s="35" t="b">
        <v>0</v>
      </c>
      <c r="AC70" s="35" t="b">
        <v>0</v>
      </c>
      <c r="AD70" s="35" t="b">
        <v>0</v>
      </c>
      <c r="AE70" s="35" t="b">
        <v>0</v>
      </c>
      <c r="AF70" s="35" t="b">
        <v>0</v>
      </c>
      <c r="AG70" s="35" t="b">
        <v>0</v>
      </c>
      <c r="AH70" s="35" t="b">
        <v>0</v>
      </c>
      <c r="AI70" s="35" t="b">
        <v>0</v>
      </c>
      <c r="AJ70" s="35" t="b">
        <v>0</v>
      </c>
      <c r="AK70" s="35" t="b">
        <v>0</v>
      </c>
      <c r="AL70" s="38" t="str">
        <f t="shared" si="1"/>
        <v>0 dari 31 (0%)</v>
      </c>
    </row>
    <row r="71" ht="22.5" customHeight="1">
      <c r="A71" s="10">
        <v>70.0</v>
      </c>
      <c r="B71" s="11"/>
      <c r="C71" s="22">
        <v>57968.0</v>
      </c>
      <c r="D71" s="12" t="s">
        <v>68</v>
      </c>
      <c r="E71" s="12" t="s">
        <v>69</v>
      </c>
      <c r="F71" s="13"/>
      <c r="G71" s="6" t="b">
        <v>0</v>
      </c>
      <c r="H71" s="6" t="b">
        <v>0</v>
      </c>
      <c r="I71" s="6" t="b">
        <v>0</v>
      </c>
      <c r="J71" s="6" t="b">
        <v>0</v>
      </c>
      <c r="K71" s="6" t="b">
        <v>0</v>
      </c>
      <c r="L71" s="6" t="b">
        <v>0</v>
      </c>
      <c r="M71" s="6" t="b">
        <v>0</v>
      </c>
      <c r="N71" s="6" t="b">
        <v>0</v>
      </c>
      <c r="O71" s="6" t="b">
        <v>0</v>
      </c>
      <c r="P71" s="6" t="b">
        <v>0</v>
      </c>
      <c r="Q71" s="6" t="b">
        <v>0</v>
      </c>
      <c r="R71" s="6" t="b">
        <v>0</v>
      </c>
      <c r="S71" s="6" t="b">
        <v>0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0 dari 31 (0%)</v>
      </c>
    </row>
    <row r="72" ht="22.5" customHeight="1">
      <c r="A72" s="10">
        <v>71.0</v>
      </c>
      <c r="B72" s="11"/>
      <c r="C72" s="20">
        <v>61133.0</v>
      </c>
      <c r="D72" s="12" t="s">
        <v>63</v>
      </c>
      <c r="E72" s="12" t="s">
        <v>72</v>
      </c>
      <c r="F72" s="13"/>
      <c r="G72" s="6" t="b">
        <v>0</v>
      </c>
      <c r="H72" s="6" t="b">
        <v>0</v>
      </c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6" t="b">
        <v>0</v>
      </c>
      <c r="R72" s="6" t="b">
        <v>0</v>
      </c>
      <c r="S72" s="6" t="b">
        <v>0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0</v>
      </c>
      <c r="AJ72" s="6" t="b">
        <v>0</v>
      </c>
      <c r="AK72" s="6" t="b">
        <v>0</v>
      </c>
      <c r="AL72" s="17" t="str">
        <f t="shared" si="1"/>
        <v>0 dari 31 (0%)</v>
      </c>
    </row>
    <row r="73" ht="22.5" customHeight="1">
      <c r="A73" s="2">
        <v>72.0</v>
      </c>
      <c r="B73" s="11"/>
      <c r="C73" s="20">
        <v>61424.0</v>
      </c>
      <c r="D73" s="12" t="s">
        <v>54</v>
      </c>
      <c r="E73" s="12" t="s">
        <v>76</v>
      </c>
      <c r="F73" s="13"/>
      <c r="G73" s="6" t="b">
        <v>0</v>
      </c>
      <c r="H73" s="6" t="b">
        <v>0</v>
      </c>
      <c r="I73" s="6" t="b">
        <v>0</v>
      </c>
      <c r="J73" s="6" t="b">
        <v>0</v>
      </c>
      <c r="K73" s="6" t="b">
        <v>0</v>
      </c>
      <c r="L73" s="6" t="b">
        <v>0</v>
      </c>
      <c r="M73" s="6" t="b">
        <v>0</v>
      </c>
      <c r="N73" s="6" t="b">
        <v>0</v>
      </c>
      <c r="O73" s="6" t="b">
        <v>0</v>
      </c>
      <c r="P73" s="6" t="b">
        <v>0</v>
      </c>
      <c r="Q73" s="6" t="b">
        <v>0</v>
      </c>
      <c r="R73" s="6" t="b">
        <v>0</v>
      </c>
      <c r="S73" s="6" t="b">
        <v>0</v>
      </c>
      <c r="T73" s="6" t="b">
        <v>0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0 dari 31 (0%)</v>
      </c>
    </row>
    <row r="74" ht="22.5" customHeight="1">
      <c r="A74" s="10">
        <v>73.0</v>
      </c>
      <c r="B74" s="11"/>
      <c r="C74" s="20">
        <v>61426.0</v>
      </c>
      <c r="D74" s="12" t="s">
        <v>63</v>
      </c>
      <c r="E74" s="12" t="s">
        <v>72</v>
      </c>
      <c r="F74" s="13"/>
      <c r="G74" s="6" t="b">
        <v>0</v>
      </c>
      <c r="H74" s="6" t="b">
        <v>0</v>
      </c>
      <c r="I74" s="6" t="b">
        <v>0</v>
      </c>
      <c r="J74" s="6" t="b">
        <v>0</v>
      </c>
      <c r="K74" s="6" t="b">
        <v>0</v>
      </c>
      <c r="L74" s="6" t="b">
        <v>0</v>
      </c>
      <c r="M74" s="6" t="b">
        <v>0</v>
      </c>
      <c r="N74" s="6" t="b">
        <v>0</v>
      </c>
      <c r="O74" s="6" t="b">
        <v>0</v>
      </c>
      <c r="P74" s="6" t="b">
        <v>0</v>
      </c>
      <c r="Q74" s="6" t="b">
        <v>0</v>
      </c>
      <c r="R74" s="6" t="b">
        <v>0</v>
      </c>
      <c r="S74" s="6" t="b">
        <v>0</v>
      </c>
      <c r="T74" s="6" t="b">
        <v>0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0</v>
      </c>
      <c r="AJ74" s="6" t="b">
        <v>0</v>
      </c>
      <c r="AK74" s="6" t="b">
        <v>0</v>
      </c>
      <c r="AL74" s="9" t="str">
        <f t="shared" si="1"/>
        <v>0 dari 31 (0%)</v>
      </c>
    </row>
    <row r="75" ht="22.5" customHeight="1">
      <c r="A75" s="10">
        <v>74.0</v>
      </c>
      <c r="B75" s="11"/>
      <c r="C75" s="20">
        <v>61425.0</v>
      </c>
      <c r="D75" s="12" t="s">
        <v>63</v>
      </c>
      <c r="E75" s="12" t="s">
        <v>72</v>
      </c>
      <c r="F75" s="13"/>
      <c r="G75" s="6" t="b">
        <v>0</v>
      </c>
      <c r="H75" s="6" t="b">
        <v>0</v>
      </c>
      <c r="I75" s="6" t="b">
        <v>0</v>
      </c>
      <c r="J75" s="6" t="b">
        <v>0</v>
      </c>
      <c r="K75" s="6" t="b">
        <v>0</v>
      </c>
      <c r="L75" s="6" t="b">
        <v>0</v>
      </c>
      <c r="M75" s="6" t="b">
        <v>0</v>
      </c>
      <c r="N75" s="6" t="b">
        <v>0</v>
      </c>
      <c r="O75" s="6" t="b">
        <v>0</v>
      </c>
      <c r="P75" s="6" t="b">
        <v>0</v>
      </c>
      <c r="Q75" s="6" t="b">
        <v>0</v>
      </c>
      <c r="R75" s="6" t="b">
        <v>0</v>
      </c>
      <c r="S75" s="6" t="b">
        <v>0</v>
      </c>
      <c r="T75" s="6" t="b">
        <v>0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0 dari 31 (0%)</v>
      </c>
    </row>
    <row r="76" ht="22.5" customHeight="1">
      <c r="A76" s="2">
        <v>75.0</v>
      </c>
      <c r="B76" s="11"/>
      <c r="C76" s="22">
        <v>61427.0</v>
      </c>
      <c r="D76" s="12" t="s">
        <v>51</v>
      </c>
      <c r="E76" s="12" t="s">
        <v>65</v>
      </c>
      <c r="F76" s="13"/>
      <c r="G76" s="6" t="b">
        <v>0</v>
      </c>
      <c r="H76" s="6" t="b">
        <v>0</v>
      </c>
      <c r="I76" s="6" t="b">
        <v>0</v>
      </c>
      <c r="J76" s="6" t="b">
        <v>0</v>
      </c>
      <c r="K76" s="6" t="b">
        <v>0</v>
      </c>
      <c r="L76" s="6" t="b">
        <v>0</v>
      </c>
      <c r="M76" s="6" t="b">
        <v>0</v>
      </c>
      <c r="N76" s="6" t="b">
        <v>0</v>
      </c>
      <c r="O76" s="6" t="b">
        <v>0</v>
      </c>
      <c r="P76" s="6" t="b">
        <v>0</v>
      </c>
      <c r="Q76" s="6" t="b">
        <v>0</v>
      </c>
      <c r="R76" s="6" t="b">
        <v>0</v>
      </c>
      <c r="S76" s="6" t="b">
        <v>0</v>
      </c>
      <c r="T76" s="6" t="b">
        <v>0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0</v>
      </c>
      <c r="AJ76" s="6" t="b">
        <v>0</v>
      </c>
      <c r="AK76" s="6" t="b">
        <v>0</v>
      </c>
      <c r="AL76" s="9" t="str">
        <f t="shared" si="1"/>
        <v>0 dari 31 (0%)</v>
      </c>
    </row>
    <row r="77" ht="22.5" customHeight="1">
      <c r="A77" s="10">
        <v>76.0</v>
      </c>
      <c r="B77" s="11"/>
      <c r="C77" s="22">
        <v>60759.0</v>
      </c>
      <c r="D77" s="12" t="s">
        <v>68</v>
      </c>
      <c r="E77" s="12" t="s">
        <v>69</v>
      </c>
      <c r="F77" s="13"/>
      <c r="G77" s="6" t="b">
        <v>0</v>
      </c>
      <c r="H77" s="6" t="b">
        <v>0</v>
      </c>
      <c r="I77" s="6" t="b">
        <v>0</v>
      </c>
      <c r="J77" s="6" t="b">
        <v>0</v>
      </c>
      <c r="K77" s="6" t="b">
        <v>0</v>
      </c>
      <c r="L77" s="6" t="b">
        <v>0</v>
      </c>
      <c r="M77" s="6" t="b">
        <v>0</v>
      </c>
      <c r="N77" s="6" t="b">
        <v>0</v>
      </c>
      <c r="O77" s="6" t="b">
        <v>0</v>
      </c>
      <c r="P77" s="6" t="b">
        <v>0</v>
      </c>
      <c r="Q77" s="6" t="b">
        <v>0</v>
      </c>
      <c r="R77" s="6" t="b">
        <v>0</v>
      </c>
      <c r="S77" s="6" t="b">
        <v>0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0 dari 31 (0%)</v>
      </c>
    </row>
    <row r="78" ht="22.5" customHeight="1">
      <c r="A78" s="10">
        <v>77.0</v>
      </c>
      <c r="B78" s="11"/>
      <c r="C78" s="22">
        <v>61430.0</v>
      </c>
      <c r="D78" s="12" t="s">
        <v>63</v>
      </c>
      <c r="E78" s="12" t="s">
        <v>72</v>
      </c>
      <c r="F78" s="13"/>
      <c r="G78" s="6" t="b">
        <v>0</v>
      </c>
      <c r="H78" s="6" t="b">
        <v>0</v>
      </c>
      <c r="I78" s="6" t="b">
        <v>0</v>
      </c>
      <c r="J78" s="6" t="b">
        <v>0</v>
      </c>
      <c r="K78" s="6" t="b">
        <v>0</v>
      </c>
      <c r="L78" s="6" t="b">
        <v>0</v>
      </c>
      <c r="M78" s="6" t="b">
        <v>0</v>
      </c>
      <c r="N78" s="6" t="b">
        <v>0</v>
      </c>
      <c r="O78" s="6" t="b">
        <v>0</v>
      </c>
      <c r="P78" s="6" t="b">
        <v>0</v>
      </c>
      <c r="Q78" s="6" t="b">
        <v>0</v>
      </c>
      <c r="R78" s="6" t="b">
        <v>0</v>
      </c>
      <c r="S78" s="6" t="b">
        <v>0</v>
      </c>
      <c r="T78" s="6" t="b">
        <v>0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0</v>
      </c>
      <c r="AJ78" s="6" t="b">
        <v>0</v>
      </c>
      <c r="AK78" s="6" t="b">
        <v>0</v>
      </c>
      <c r="AL78" s="17" t="str">
        <f t="shared" si="1"/>
        <v>0 dari 31 (0%)</v>
      </c>
    </row>
    <row r="79" ht="22.5" customHeight="1">
      <c r="A79" s="2">
        <v>78.0</v>
      </c>
      <c r="B79" s="11"/>
      <c r="C79" s="22">
        <v>61429.0</v>
      </c>
      <c r="D79" s="12" t="s">
        <v>63</v>
      </c>
      <c r="E79" s="12" t="s">
        <v>73</v>
      </c>
      <c r="F79" s="13"/>
      <c r="G79" s="6" t="b">
        <v>0</v>
      </c>
      <c r="H79" s="6" t="b">
        <v>0</v>
      </c>
      <c r="I79" s="6" t="b">
        <v>0</v>
      </c>
      <c r="J79" s="6" t="b">
        <v>0</v>
      </c>
      <c r="K79" s="6" t="b">
        <v>0</v>
      </c>
      <c r="L79" s="6" t="b">
        <v>0</v>
      </c>
      <c r="M79" s="6" t="b">
        <v>0</v>
      </c>
      <c r="N79" s="6" t="b">
        <v>0</v>
      </c>
      <c r="O79" s="6" t="b">
        <v>0</v>
      </c>
      <c r="P79" s="6" t="b">
        <v>0</v>
      </c>
      <c r="Q79" s="6" t="b">
        <v>0</v>
      </c>
      <c r="R79" s="6" t="b">
        <v>0</v>
      </c>
      <c r="S79" s="6" t="b">
        <v>0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0 dari 31 (0%)</v>
      </c>
    </row>
    <row r="80" ht="22.5" customHeight="1">
      <c r="A80" s="10">
        <v>79.0</v>
      </c>
      <c r="B80" s="11"/>
      <c r="C80" s="22">
        <v>60375.0</v>
      </c>
      <c r="D80" s="12" t="s">
        <v>51</v>
      </c>
      <c r="E80" s="12" t="s">
        <v>65</v>
      </c>
      <c r="F80" s="13"/>
      <c r="G80" s="6" t="b">
        <v>0</v>
      </c>
      <c r="H80" s="6" t="b">
        <v>0</v>
      </c>
      <c r="I80" s="6" t="b">
        <v>0</v>
      </c>
      <c r="J80" s="6" t="b">
        <v>0</v>
      </c>
      <c r="K80" s="6" t="b">
        <v>0</v>
      </c>
      <c r="L80" s="6" t="b">
        <v>0</v>
      </c>
      <c r="M80" s="6" t="b">
        <v>0</v>
      </c>
      <c r="N80" s="6" t="b">
        <v>0</v>
      </c>
      <c r="O80" s="6" t="b">
        <v>0</v>
      </c>
      <c r="P80" s="6" t="b">
        <v>0</v>
      </c>
      <c r="Q80" s="6" t="b">
        <v>0</v>
      </c>
      <c r="R80" s="6" t="b">
        <v>0</v>
      </c>
      <c r="S80" s="6" t="b">
        <v>0</v>
      </c>
      <c r="T80" s="6" t="b">
        <v>0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0</v>
      </c>
      <c r="AJ80" s="6" t="b">
        <v>0</v>
      </c>
      <c r="AK80" s="6" t="b">
        <v>0</v>
      </c>
      <c r="AL80" s="9" t="str">
        <f t="shared" si="1"/>
        <v>0 dari 31 (0%)</v>
      </c>
    </row>
    <row r="81" ht="22.5" customHeight="1">
      <c r="A81" s="10">
        <v>80.0</v>
      </c>
      <c r="B81" s="11"/>
      <c r="C81" s="22">
        <v>61428.0</v>
      </c>
      <c r="D81" s="12" t="s">
        <v>141</v>
      </c>
      <c r="E81" s="12" t="s">
        <v>100</v>
      </c>
      <c r="F81" s="14" t="s">
        <v>50</v>
      </c>
      <c r="G81" s="6" t="b">
        <v>0</v>
      </c>
      <c r="H81" s="6" t="b">
        <v>0</v>
      </c>
      <c r="I81" s="6" t="b">
        <v>0</v>
      </c>
      <c r="J81" s="6" t="b">
        <v>0</v>
      </c>
      <c r="K81" s="6" t="b">
        <v>0</v>
      </c>
      <c r="L81" s="6" t="b">
        <v>0</v>
      </c>
      <c r="M81" s="6" t="b">
        <v>0</v>
      </c>
      <c r="N81" s="6" t="b">
        <v>0</v>
      </c>
      <c r="O81" s="6" t="b">
        <v>0</v>
      </c>
      <c r="P81" s="6" t="b">
        <v>0</v>
      </c>
      <c r="Q81" s="6" t="b">
        <v>0</v>
      </c>
      <c r="R81" s="6" t="b">
        <v>0</v>
      </c>
      <c r="S81" s="6" t="b">
        <v>0</v>
      </c>
      <c r="T81" s="6" t="b">
        <v>0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0 dari 31 (0%)</v>
      </c>
    </row>
    <row r="82" ht="22.5" customHeight="1">
      <c r="A82" s="2">
        <v>81.0</v>
      </c>
      <c r="B82" s="11"/>
      <c r="C82" s="20">
        <v>61431.0</v>
      </c>
      <c r="D82" s="12" t="s">
        <v>63</v>
      </c>
      <c r="E82" s="12" t="s">
        <v>72</v>
      </c>
      <c r="F82" s="13"/>
      <c r="G82" s="6" t="b">
        <v>0</v>
      </c>
      <c r="H82" s="6" t="b">
        <v>0</v>
      </c>
      <c r="I82" s="6" t="b">
        <v>0</v>
      </c>
      <c r="J82" s="6" t="b">
        <v>0</v>
      </c>
      <c r="K82" s="6" t="b">
        <v>0</v>
      </c>
      <c r="L82" s="6" t="b">
        <v>0</v>
      </c>
      <c r="M82" s="6" t="b">
        <v>0</v>
      </c>
      <c r="N82" s="6" t="b">
        <v>0</v>
      </c>
      <c r="O82" s="6" t="b">
        <v>0</v>
      </c>
      <c r="P82" s="6" t="b">
        <v>0</v>
      </c>
      <c r="Q82" s="6" t="b">
        <v>0</v>
      </c>
      <c r="R82" s="6" t="b">
        <v>0</v>
      </c>
      <c r="S82" s="6" t="b">
        <v>0</v>
      </c>
      <c r="T82" s="6" t="b">
        <v>0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0</v>
      </c>
      <c r="AJ82" s="6" t="b">
        <v>0</v>
      </c>
      <c r="AK82" s="6" t="b">
        <v>0</v>
      </c>
      <c r="AL82" s="9" t="str">
        <f t="shared" si="1"/>
        <v>0 dari 31 (0%)</v>
      </c>
    </row>
    <row r="83" ht="22.5" customHeight="1">
      <c r="A83" s="10">
        <v>82.0</v>
      </c>
      <c r="B83" s="11"/>
      <c r="C83" s="20">
        <v>61433.0</v>
      </c>
      <c r="D83" s="12" t="s">
        <v>63</v>
      </c>
      <c r="E83" s="12" t="s">
        <v>72</v>
      </c>
      <c r="F83" s="15" t="s">
        <v>50</v>
      </c>
      <c r="G83" s="6" t="b">
        <v>0</v>
      </c>
      <c r="H83" s="6" t="b">
        <v>0</v>
      </c>
      <c r="I83" s="6" t="b">
        <v>0</v>
      </c>
      <c r="J83" s="6" t="b">
        <v>0</v>
      </c>
      <c r="K83" s="6" t="b">
        <v>0</v>
      </c>
      <c r="L83" s="6" t="b">
        <v>0</v>
      </c>
      <c r="M83" s="6" t="b">
        <v>0</v>
      </c>
      <c r="N83" s="6" t="b">
        <v>0</v>
      </c>
      <c r="O83" s="6" t="b">
        <v>0</v>
      </c>
      <c r="P83" s="6" t="b">
        <v>0</v>
      </c>
      <c r="Q83" s="6" t="b">
        <v>0</v>
      </c>
      <c r="R83" s="6" t="b">
        <v>0</v>
      </c>
      <c r="S83" s="6" t="b">
        <v>0</v>
      </c>
      <c r="T83" s="6" t="b">
        <v>0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0</v>
      </c>
      <c r="AJ83" s="6" t="b">
        <v>0</v>
      </c>
      <c r="AK83" s="6" t="b">
        <v>0</v>
      </c>
      <c r="AL83" s="9" t="str">
        <f t="shared" si="1"/>
        <v>0 dari 31 (0%)</v>
      </c>
    </row>
    <row r="84" ht="22.5" customHeight="1">
      <c r="A84" s="10">
        <v>83.0</v>
      </c>
      <c r="B84" s="11"/>
      <c r="C84" s="20">
        <v>61432.0</v>
      </c>
      <c r="D84" s="12" t="s">
        <v>141</v>
      </c>
      <c r="E84" s="12" t="s">
        <v>138</v>
      </c>
      <c r="F84" s="15" t="s">
        <v>50</v>
      </c>
      <c r="G84" s="6" t="b">
        <v>0</v>
      </c>
      <c r="H84" s="6" t="b">
        <v>0</v>
      </c>
      <c r="I84" s="6" t="b">
        <v>0</v>
      </c>
      <c r="J84" s="6" t="b">
        <v>0</v>
      </c>
      <c r="K84" s="6" t="b">
        <v>0</v>
      </c>
      <c r="L84" s="6" t="b">
        <v>0</v>
      </c>
      <c r="M84" s="6" t="b">
        <v>0</v>
      </c>
      <c r="N84" s="6" t="b">
        <v>0</v>
      </c>
      <c r="O84" s="6" t="b">
        <v>0</v>
      </c>
      <c r="P84" s="6" t="b">
        <v>0</v>
      </c>
      <c r="Q84" s="6" t="b">
        <v>0</v>
      </c>
      <c r="R84" s="6" t="b">
        <v>0</v>
      </c>
      <c r="S84" s="6" t="b">
        <v>0</v>
      </c>
      <c r="T84" s="6" t="b">
        <v>0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0 dari 31 (0%)</v>
      </c>
    </row>
    <row r="85" ht="22.5" customHeight="1">
      <c r="A85" s="2">
        <v>84.0</v>
      </c>
      <c r="B85" s="11"/>
      <c r="C85" s="20">
        <v>61434.0</v>
      </c>
      <c r="D85" s="12" t="s">
        <v>63</v>
      </c>
      <c r="E85" s="12" t="s">
        <v>72</v>
      </c>
      <c r="F85" s="13"/>
      <c r="G85" s="6" t="b">
        <v>0</v>
      </c>
      <c r="H85" s="6" t="b">
        <v>0</v>
      </c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  <c r="P85" s="6" t="b">
        <v>0</v>
      </c>
      <c r="Q85" s="6" t="b">
        <v>0</v>
      </c>
      <c r="R85" s="6" t="b">
        <v>0</v>
      </c>
      <c r="S85" s="6" t="b">
        <v>0</v>
      </c>
      <c r="T85" s="6" t="b">
        <v>0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0</v>
      </c>
      <c r="AJ85" s="6" t="b">
        <v>0</v>
      </c>
      <c r="AK85" s="6" t="b">
        <v>0</v>
      </c>
      <c r="AL85" s="9" t="str">
        <f t="shared" si="1"/>
        <v>0 dari 31 (0%)</v>
      </c>
    </row>
    <row r="86" ht="22.5" customHeight="1">
      <c r="A86" s="10">
        <v>85.0</v>
      </c>
      <c r="B86" s="11"/>
      <c r="C86" s="20">
        <v>59626.0</v>
      </c>
      <c r="D86" s="12" t="s">
        <v>68</v>
      </c>
      <c r="E86" s="12" t="s">
        <v>76</v>
      </c>
      <c r="F86" s="13"/>
      <c r="G86" s="6" t="b">
        <v>0</v>
      </c>
      <c r="H86" s="6" t="b">
        <v>0</v>
      </c>
      <c r="I86" s="6" t="b">
        <v>0</v>
      </c>
      <c r="J86" s="6" t="b">
        <v>0</v>
      </c>
      <c r="K86" s="6" t="b">
        <v>0</v>
      </c>
      <c r="L86" s="6" t="b">
        <v>0</v>
      </c>
      <c r="M86" s="6" t="b">
        <v>0</v>
      </c>
      <c r="N86" s="6" t="b">
        <v>0</v>
      </c>
      <c r="O86" s="6" t="b">
        <v>0</v>
      </c>
      <c r="P86" s="6" t="b">
        <v>0</v>
      </c>
      <c r="Q86" s="6" t="b">
        <v>0</v>
      </c>
      <c r="R86" s="6" t="b">
        <v>0</v>
      </c>
      <c r="S86" s="6" t="b">
        <v>0</v>
      </c>
      <c r="T86" s="6" t="b">
        <v>0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0 dari 31 (0%)</v>
      </c>
    </row>
    <row r="87" ht="22.5" customHeight="1">
      <c r="A87" s="10">
        <v>86.0</v>
      </c>
      <c r="B87" s="11"/>
      <c r="C87" s="22">
        <v>54710.0</v>
      </c>
      <c r="D87" s="12" t="s">
        <v>40</v>
      </c>
      <c r="E87" s="12" t="s">
        <v>180</v>
      </c>
      <c r="F87" s="13"/>
      <c r="G87" s="6" t="b">
        <v>0</v>
      </c>
      <c r="H87" s="6" t="b">
        <v>0</v>
      </c>
      <c r="I87" s="6" t="b">
        <v>0</v>
      </c>
      <c r="J87" s="6" t="b">
        <v>0</v>
      </c>
      <c r="K87" s="6" t="b">
        <v>0</v>
      </c>
      <c r="L87" s="6" t="b">
        <v>0</v>
      </c>
      <c r="M87" s="6" t="b">
        <v>0</v>
      </c>
      <c r="N87" s="6" t="b">
        <v>0</v>
      </c>
      <c r="O87" s="6" t="b">
        <v>0</v>
      </c>
      <c r="P87" s="6" t="b">
        <v>0</v>
      </c>
      <c r="Q87" s="6" t="b">
        <v>0</v>
      </c>
      <c r="R87" s="6" t="b">
        <v>0</v>
      </c>
      <c r="S87" s="6" t="b">
        <v>0</v>
      </c>
      <c r="T87" s="6" t="b">
        <v>0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0 dari 31 (0%)</v>
      </c>
    </row>
    <row r="88" ht="22.5" customHeight="1">
      <c r="A88" s="2">
        <v>87.0</v>
      </c>
      <c r="B88" s="11"/>
      <c r="C88" s="22">
        <v>56463.0</v>
      </c>
      <c r="D88" s="12" t="s">
        <v>63</v>
      </c>
      <c r="E88" s="12" t="s">
        <v>72</v>
      </c>
      <c r="F88" s="15" t="s">
        <v>50</v>
      </c>
      <c r="G88" s="6" t="b">
        <v>0</v>
      </c>
      <c r="H88" s="6" t="b">
        <v>0</v>
      </c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  <c r="P88" s="6" t="b">
        <v>0</v>
      </c>
      <c r="Q88" s="6" t="b">
        <v>0</v>
      </c>
      <c r="R88" s="6" t="b">
        <v>0</v>
      </c>
      <c r="S88" s="6" t="b">
        <v>0</v>
      </c>
      <c r="T88" s="6" t="b">
        <v>0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0 dari 31 (0%)</v>
      </c>
    </row>
    <row r="89" ht="22.5" customHeight="1">
      <c r="A89" s="10">
        <v>88.0</v>
      </c>
      <c r="B89" s="11"/>
      <c r="C89" s="22">
        <v>61202.0</v>
      </c>
      <c r="D89" s="12" t="s">
        <v>54</v>
      </c>
      <c r="E89" s="12" t="s">
        <v>155</v>
      </c>
      <c r="F89" s="13"/>
      <c r="G89" s="6" t="b">
        <v>0</v>
      </c>
      <c r="H89" s="6" t="b">
        <v>0</v>
      </c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6" t="b">
        <v>0</v>
      </c>
      <c r="R89" s="6" t="b">
        <v>0</v>
      </c>
      <c r="S89" s="6" t="b">
        <v>0</v>
      </c>
      <c r="T89" s="6" t="b">
        <v>0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0 dari 31 (0%)</v>
      </c>
    </row>
    <row r="90" ht="22.5" customHeight="1">
      <c r="A90" s="10">
        <v>89.0</v>
      </c>
      <c r="B90" s="11"/>
      <c r="C90" s="22">
        <v>61210.0</v>
      </c>
      <c r="D90" s="12" t="s">
        <v>54</v>
      </c>
      <c r="E90" s="12" t="s">
        <v>155</v>
      </c>
      <c r="F90" s="13"/>
      <c r="G90" s="6" t="b">
        <v>0</v>
      </c>
      <c r="H90" s="6" t="b">
        <v>0</v>
      </c>
      <c r="I90" s="6" t="b">
        <v>0</v>
      </c>
      <c r="J90" s="6" t="b">
        <v>0</v>
      </c>
      <c r="K90" s="6" t="b">
        <v>0</v>
      </c>
      <c r="L90" s="6" t="b">
        <v>0</v>
      </c>
      <c r="M90" s="6" t="b">
        <v>0</v>
      </c>
      <c r="N90" s="6" t="b">
        <v>0</v>
      </c>
      <c r="O90" s="6" t="b">
        <v>0</v>
      </c>
      <c r="P90" s="6" t="b">
        <v>0</v>
      </c>
      <c r="Q90" s="6" t="b">
        <v>0</v>
      </c>
      <c r="R90" s="6" t="b">
        <v>0</v>
      </c>
      <c r="S90" s="6" t="b">
        <v>0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0 dari 31 (0%)</v>
      </c>
    </row>
    <row r="91" ht="22.5" customHeight="1">
      <c r="A91" s="2">
        <v>90.0</v>
      </c>
      <c r="B91" s="11"/>
      <c r="C91" s="22">
        <v>58738.0</v>
      </c>
      <c r="D91" s="12" t="s">
        <v>54</v>
      </c>
      <c r="E91" s="12" t="s">
        <v>155</v>
      </c>
      <c r="F91" s="13"/>
      <c r="G91" s="6" t="b">
        <v>0</v>
      </c>
      <c r="H91" s="6" t="b">
        <v>0</v>
      </c>
      <c r="I91" s="6" t="b">
        <v>0</v>
      </c>
      <c r="J91" s="6" t="b">
        <v>0</v>
      </c>
      <c r="K91" s="6" t="b">
        <v>0</v>
      </c>
      <c r="L91" s="6" t="b">
        <v>0</v>
      </c>
      <c r="M91" s="6" t="b">
        <v>0</v>
      </c>
      <c r="N91" s="6" t="b">
        <v>0</v>
      </c>
      <c r="O91" s="6" t="b">
        <v>0</v>
      </c>
      <c r="P91" s="6" t="b">
        <v>0</v>
      </c>
      <c r="Q91" s="6" t="b">
        <v>0</v>
      </c>
      <c r="R91" s="6" t="b">
        <v>0</v>
      </c>
      <c r="S91" s="6" t="b">
        <v>0</v>
      </c>
      <c r="T91" s="6" t="b">
        <v>0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0</v>
      </c>
      <c r="AJ91" s="6" t="b">
        <v>0</v>
      </c>
      <c r="AK91" s="6" t="b">
        <v>0</v>
      </c>
      <c r="AL91" s="9" t="str">
        <f t="shared" si="1"/>
        <v>0 dari 31 (0%)</v>
      </c>
    </row>
    <row r="92" ht="22.5" customHeight="1">
      <c r="A92" s="10">
        <v>91.0</v>
      </c>
      <c r="B92" s="11"/>
      <c r="C92" s="20">
        <v>58734.0</v>
      </c>
      <c r="D92" s="12" t="s">
        <v>54</v>
      </c>
      <c r="E92" s="12" t="s">
        <v>155</v>
      </c>
      <c r="F92" s="13"/>
      <c r="G92" s="6" t="b">
        <v>0</v>
      </c>
      <c r="H92" s="6" t="b">
        <v>0</v>
      </c>
      <c r="I92" s="6" t="b">
        <v>0</v>
      </c>
      <c r="J92" s="6" t="b">
        <v>0</v>
      </c>
      <c r="K92" s="6" t="b">
        <v>0</v>
      </c>
      <c r="L92" s="6" t="b">
        <v>0</v>
      </c>
      <c r="M92" s="6" t="b">
        <v>0</v>
      </c>
      <c r="N92" s="6" t="b">
        <v>0</v>
      </c>
      <c r="O92" s="6" t="b">
        <v>0</v>
      </c>
      <c r="P92" s="6" t="b">
        <v>0</v>
      </c>
      <c r="Q92" s="6" t="b">
        <v>0</v>
      </c>
      <c r="R92" s="6" t="b">
        <v>0</v>
      </c>
      <c r="S92" s="6" t="b">
        <v>0</v>
      </c>
      <c r="T92" s="6" t="b">
        <v>0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0</v>
      </c>
      <c r="AJ92" s="6" t="b">
        <v>0</v>
      </c>
      <c r="AK92" s="6" t="b">
        <v>0</v>
      </c>
      <c r="AL92" s="9" t="str">
        <f t="shared" si="1"/>
        <v>0 dari 31 (0%)</v>
      </c>
    </row>
    <row r="93" ht="22.5" customHeight="1">
      <c r="A93" s="10">
        <v>92.0</v>
      </c>
      <c r="B93" s="11"/>
      <c r="C93" s="20">
        <v>60222.0</v>
      </c>
      <c r="D93" s="12" t="s">
        <v>54</v>
      </c>
      <c r="E93" s="12" t="s">
        <v>155</v>
      </c>
      <c r="F93" s="13"/>
      <c r="G93" s="6" t="b">
        <v>0</v>
      </c>
      <c r="H93" s="6" t="b">
        <v>0</v>
      </c>
      <c r="I93" s="6" t="b">
        <v>0</v>
      </c>
      <c r="J93" s="6" t="b">
        <v>0</v>
      </c>
      <c r="K93" s="6" t="b">
        <v>0</v>
      </c>
      <c r="L93" s="6" t="b">
        <v>0</v>
      </c>
      <c r="M93" s="6" t="b">
        <v>0</v>
      </c>
      <c r="N93" s="6" t="b">
        <v>0</v>
      </c>
      <c r="O93" s="6" t="b">
        <v>0</v>
      </c>
      <c r="P93" s="6" t="b">
        <v>0</v>
      </c>
      <c r="Q93" s="6" t="b">
        <v>0</v>
      </c>
      <c r="R93" s="6" t="b">
        <v>0</v>
      </c>
      <c r="S93" s="6" t="b">
        <v>0</v>
      </c>
      <c r="T93" s="6" t="b">
        <v>0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0</v>
      </c>
      <c r="AJ93" s="6" t="b">
        <v>0</v>
      </c>
      <c r="AK93" s="6" t="b">
        <v>0</v>
      </c>
      <c r="AL93" s="17" t="str">
        <f t="shared" si="1"/>
        <v>0 dari 31 (0%)</v>
      </c>
    </row>
    <row r="94" ht="22.5" customHeight="1">
      <c r="A94" s="2">
        <v>93.0</v>
      </c>
      <c r="B94" s="11"/>
      <c r="C94" s="20">
        <v>36928.0</v>
      </c>
      <c r="D94" s="12" t="s">
        <v>54</v>
      </c>
      <c r="E94" s="12" t="s">
        <v>155</v>
      </c>
      <c r="F94" s="13"/>
      <c r="G94" s="6" t="b">
        <v>0</v>
      </c>
      <c r="H94" s="6" t="b">
        <v>0</v>
      </c>
      <c r="I94" s="6" t="b">
        <v>0</v>
      </c>
      <c r="J94" s="6" t="b">
        <v>0</v>
      </c>
      <c r="K94" s="6" t="b">
        <v>0</v>
      </c>
      <c r="L94" s="6" t="b">
        <v>0</v>
      </c>
      <c r="M94" s="6" t="b">
        <v>0</v>
      </c>
      <c r="N94" s="6" t="b">
        <v>0</v>
      </c>
      <c r="O94" s="6" t="b">
        <v>0</v>
      </c>
      <c r="P94" s="6" t="b">
        <v>0</v>
      </c>
      <c r="Q94" s="6" t="b">
        <v>0</v>
      </c>
      <c r="R94" s="6" t="b">
        <v>0</v>
      </c>
      <c r="S94" s="6" t="b">
        <v>0</v>
      </c>
      <c r="T94" s="6" t="b">
        <v>0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0</v>
      </c>
      <c r="AJ94" s="6" t="b">
        <v>0</v>
      </c>
      <c r="AK94" s="6" t="b">
        <v>0</v>
      </c>
      <c r="AL94" s="9" t="str">
        <f t="shared" si="1"/>
        <v>0 dari 31 (0%)</v>
      </c>
    </row>
    <row r="95" ht="22.5" customHeight="1">
      <c r="A95" s="10">
        <v>94.0</v>
      </c>
      <c r="B95" s="11"/>
      <c r="C95" s="20">
        <v>61441.0</v>
      </c>
      <c r="D95" s="12" t="s">
        <v>54</v>
      </c>
      <c r="E95" s="12" t="s">
        <v>155</v>
      </c>
      <c r="F95" s="13"/>
      <c r="G95" s="6" t="b">
        <v>0</v>
      </c>
      <c r="H95" s="6" t="b">
        <v>0</v>
      </c>
      <c r="I95" s="6" t="b">
        <v>0</v>
      </c>
      <c r="J95" s="6" t="b">
        <v>0</v>
      </c>
      <c r="K95" s="6" t="b">
        <v>0</v>
      </c>
      <c r="L95" s="6" t="b">
        <v>0</v>
      </c>
      <c r="M95" s="6" t="b">
        <v>0</v>
      </c>
      <c r="N95" s="6" t="b">
        <v>0</v>
      </c>
      <c r="O95" s="6" t="b">
        <v>0</v>
      </c>
      <c r="P95" s="6" t="b">
        <v>0</v>
      </c>
      <c r="Q95" s="6" t="b">
        <v>0</v>
      </c>
      <c r="R95" s="6" t="b">
        <v>0</v>
      </c>
      <c r="S95" s="6" t="b">
        <v>0</v>
      </c>
      <c r="T95" s="6" t="b">
        <v>0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0</v>
      </c>
      <c r="AJ95" s="6" t="b">
        <v>0</v>
      </c>
      <c r="AK95" s="6" t="b">
        <v>0</v>
      </c>
      <c r="AL95" s="9" t="str">
        <f t="shared" si="1"/>
        <v>0 dari 31 (0%)</v>
      </c>
    </row>
    <row r="96" ht="22.5" customHeight="1">
      <c r="A96" s="10">
        <v>95.0</v>
      </c>
      <c r="B96" s="11"/>
      <c r="C96" s="20">
        <v>61435.0</v>
      </c>
      <c r="D96" s="12" t="s">
        <v>89</v>
      </c>
      <c r="E96" s="12" t="s">
        <v>156</v>
      </c>
      <c r="F96" s="15" t="s">
        <v>50</v>
      </c>
      <c r="G96" s="6" t="b">
        <v>0</v>
      </c>
      <c r="H96" s="6" t="b">
        <v>0</v>
      </c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  <c r="P96" s="6" t="b">
        <v>0</v>
      </c>
      <c r="Q96" s="6" t="b">
        <v>0</v>
      </c>
      <c r="R96" s="6" t="b">
        <v>0</v>
      </c>
      <c r="S96" s="6" t="b">
        <v>0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0 dari 31 (0%)</v>
      </c>
    </row>
    <row r="97" ht="22.5" customHeight="1">
      <c r="A97" s="2">
        <v>96.0</v>
      </c>
      <c r="B97" s="11"/>
      <c r="C97" s="22">
        <v>61436.0</v>
      </c>
      <c r="D97" s="12" t="s">
        <v>89</v>
      </c>
      <c r="E97" s="12" t="s">
        <v>95</v>
      </c>
      <c r="F97" s="15" t="s">
        <v>50</v>
      </c>
      <c r="G97" s="6" t="b">
        <v>0</v>
      </c>
      <c r="H97" s="6" t="b">
        <v>0</v>
      </c>
      <c r="I97" s="6" t="b">
        <v>0</v>
      </c>
      <c r="J97" s="6" t="b">
        <v>0</v>
      </c>
      <c r="K97" s="6" t="b">
        <v>0</v>
      </c>
      <c r="L97" s="6" t="b">
        <v>0</v>
      </c>
      <c r="M97" s="6" t="b">
        <v>0</v>
      </c>
      <c r="N97" s="6" t="b">
        <v>0</v>
      </c>
      <c r="O97" s="6" t="b">
        <v>0</v>
      </c>
      <c r="P97" s="6" t="b">
        <v>0</v>
      </c>
      <c r="Q97" s="6" t="b">
        <v>0</v>
      </c>
      <c r="R97" s="6" t="b">
        <v>0</v>
      </c>
      <c r="S97" s="6" t="b">
        <v>0</v>
      </c>
      <c r="T97" s="6" t="b">
        <v>0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0</v>
      </c>
      <c r="AJ97" s="6" t="b">
        <v>0</v>
      </c>
      <c r="AK97" s="6" t="b">
        <v>0</v>
      </c>
      <c r="AL97" s="9" t="str">
        <f t="shared" si="1"/>
        <v>0 dari 31 (0%)</v>
      </c>
    </row>
    <row r="98" ht="22.5" customHeight="1">
      <c r="A98" s="10">
        <v>97.0</v>
      </c>
      <c r="B98" s="11"/>
      <c r="C98" s="22">
        <v>61437.0</v>
      </c>
      <c r="D98" s="12" t="s">
        <v>89</v>
      </c>
      <c r="E98" s="12" t="s">
        <v>95</v>
      </c>
      <c r="F98" s="15" t="s">
        <v>50</v>
      </c>
      <c r="G98" s="6" t="b">
        <v>0</v>
      </c>
      <c r="H98" s="6" t="b">
        <v>0</v>
      </c>
      <c r="I98" s="6" t="b">
        <v>0</v>
      </c>
      <c r="J98" s="6" t="b">
        <v>0</v>
      </c>
      <c r="K98" s="6" t="b">
        <v>0</v>
      </c>
      <c r="L98" s="6" t="b">
        <v>0</v>
      </c>
      <c r="M98" s="6" t="b">
        <v>0</v>
      </c>
      <c r="N98" s="6" t="b">
        <v>0</v>
      </c>
      <c r="O98" s="6" t="b">
        <v>0</v>
      </c>
      <c r="P98" s="6" t="b">
        <v>0</v>
      </c>
      <c r="Q98" s="6" t="b">
        <v>0</v>
      </c>
      <c r="R98" s="6" t="b">
        <v>0</v>
      </c>
      <c r="S98" s="6" t="b">
        <v>0</v>
      </c>
      <c r="T98" s="6" t="b">
        <v>0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0 dari 31 (0%)</v>
      </c>
    </row>
    <row r="99" ht="22.5" customHeight="1">
      <c r="A99" s="10">
        <v>98.0</v>
      </c>
      <c r="B99" s="11"/>
      <c r="C99" s="22">
        <v>61438.0</v>
      </c>
      <c r="D99" s="12" t="s">
        <v>89</v>
      </c>
      <c r="E99" s="12" t="s">
        <v>95</v>
      </c>
      <c r="F99" s="15" t="s">
        <v>50</v>
      </c>
      <c r="G99" s="6" t="b">
        <v>0</v>
      </c>
      <c r="H99" s="6" t="b">
        <v>0</v>
      </c>
      <c r="I99" s="6" t="b">
        <v>0</v>
      </c>
      <c r="J99" s="6" t="b">
        <v>0</v>
      </c>
      <c r="K99" s="6" t="b">
        <v>0</v>
      </c>
      <c r="L99" s="6" t="b">
        <v>0</v>
      </c>
      <c r="M99" s="6" t="b">
        <v>0</v>
      </c>
      <c r="N99" s="6" t="b">
        <v>0</v>
      </c>
      <c r="O99" s="6" t="b">
        <v>0</v>
      </c>
      <c r="P99" s="6" t="b">
        <v>0</v>
      </c>
      <c r="Q99" s="6" t="b">
        <v>0</v>
      </c>
      <c r="R99" s="6" t="b">
        <v>0</v>
      </c>
      <c r="S99" s="6" t="b">
        <v>0</v>
      </c>
      <c r="T99" s="6" t="b">
        <v>0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0 dari 31 (0%)</v>
      </c>
    </row>
    <row r="100" ht="22.5" customHeight="1">
      <c r="A100" s="2">
        <v>99.0</v>
      </c>
      <c r="B100" s="11"/>
      <c r="C100" s="22">
        <v>61439.0</v>
      </c>
      <c r="D100" s="12" t="s">
        <v>89</v>
      </c>
      <c r="E100" s="12" t="s">
        <v>95</v>
      </c>
      <c r="F100" s="15" t="s">
        <v>50</v>
      </c>
      <c r="G100" s="6" t="b">
        <v>0</v>
      </c>
      <c r="H100" s="6" t="b">
        <v>0</v>
      </c>
      <c r="I100" s="6" t="b">
        <v>0</v>
      </c>
      <c r="J100" s="6" t="b">
        <v>0</v>
      </c>
      <c r="K100" s="6" t="b">
        <v>0</v>
      </c>
      <c r="L100" s="6" t="b">
        <v>0</v>
      </c>
      <c r="M100" s="6" t="b">
        <v>0</v>
      </c>
      <c r="N100" s="6" t="b">
        <v>0</v>
      </c>
      <c r="O100" s="6" t="b">
        <v>0</v>
      </c>
      <c r="P100" s="6" t="b">
        <v>0</v>
      </c>
      <c r="Q100" s="6" t="b">
        <v>0</v>
      </c>
      <c r="R100" s="6" t="b">
        <v>0</v>
      </c>
      <c r="S100" s="6" t="b">
        <v>0</v>
      </c>
      <c r="T100" s="6" t="b">
        <v>0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0</v>
      </c>
      <c r="AJ100" s="6" t="b">
        <v>0</v>
      </c>
      <c r="AK100" s="6" t="b">
        <v>0</v>
      </c>
      <c r="AL100" s="9" t="str">
        <f t="shared" si="1"/>
        <v>0 dari 31 (0%)</v>
      </c>
    </row>
    <row r="101" ht="22.5" customHeight="1">
      <c r="A101" s="10">
        <v>100.0</v>
      </c>
      <c r="B101" s="11"/>
      <c r="C101" s="22">
        <v>61440.0</v>
      </c>
      <c r="D101" s="12" t="s">
        <v>89</v>
      </c>
      <c r="E101" s="12" t="s">
        <v>95</v>
      </c>
      <c r="F101" s="15" t="s">
        <v>50</v>
      </c>
      <c r="G101" s="6" t="b">
        <v>0</v>
      </c>
      <c r="H101" s="6" t="b">
        <v>0</v>
      </c>
      <c r="I101" s="6" t="b">
        <v>0</v>
      </c>
      <c r="J101" s="6" t="b">
        <v>0</v>
      </c>
      <c r="K101" s="6" t="b">
        <v>0</v>
      </c>
      <c r="L101" s="6" t="b">
        <v>0</v>
      </c>
      <c r="M101" s="6" t="b">
        <v>0</v>
      </c>
      <c r="N101" s="6" t="b">
        <v>0</v>
      </c>
      <c r="O101" s="6" t="b">
        <v>0</v>
      </c>
      <c r="P101" s="6" t="b">
        <v>0</v>
      </c>
      <c r="Q101" s="6" t="b">
        <v>0</v>
      </c>
      <c r="R101" s="6" t="b">
        <v>0</v>
      </c>
      <c r="S101" s="6" t="b">
        <v>0</v>
      </c>
      <c r="T101" s="6" t="b">
        <v>0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0</v>
      </c>
      <c r="AJ101" s="6" t="b">
        <v>0</v>
      </c>
      <c r="AK101" s="6" t="b">
        <v>0</v>
      </c>
      <c r="AL101" s="9" t="str">
        <f t="shared" si="1"/>
        <v>0 dari 31 (0%)</v>
      </c>
    </row>
    <row r="102" ht="22.5" customHeight="1">
      <c r="A102" s="10">
        <v>101.0</v>
      </c>
      <c r="B102" s="11"/>
      <c r="C102" s="20">
        <v>61442.0</v>
      </c>
      <c r="D102" s="12" t="s">
        <v>89</v>
      </c>
      <c r="E102" s="12" t="s">
        <v>95</v>
      </c>
      <c r="F102" s="15" t="s">
        <v>50</v>
      </c>
      <c r="G102" s="6" t="b">
        <v>0</v>
      </c>
      <c r="H102" s="6" t="b">
        <v>0</v>
      </c>
      <c r="I102" s="6" t="b">
        <v>0</v>
      </c>
      <c r="J102" s="6" t="b">
        <v>0</v>
      </c>
      <c r="K102" s="6" t="b">
        <v>0</v>
      </c>
      <c r="L102" s="6" t="b">
        <v>0</v>
      </c>
      <c r="M102" s="6" t="b">
        <v>0</v>
      </c>
      <c r="N102" s="6" t="b">
        <v>0</v>
      </c>
      <c r="O102" s="6" t="b">
        <v>0</v>
      </c>
      <c r="P102" s="6" t="b">
        <v>0</v>
      </c>
      <c r="Q102" s="6" t="b">
        <v>0</v>
      </c>
      <c r="R102" s="6" t="b">
        <v>0</v>
      </c>
      <c r="S102" s="6" t="b">
        <v>0</v>
      </c>
      <c r="T102" s="6" t="b">
        <v>0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0</v>
      </c>
      <c r="AJ102" s="6" t="b">
        <v>0</v>
      </c>
      <c r="AK102" s="6" t="b">
        <v>0</v>
      </c>
      <c r="AL102" s="17" t="str">
        <f t="shared" si="1"/>
        <v>0 dari 31 (0%)</v>
      </c>
    </row>
    <row r="103" ht="22.5" customHeight="1">
      <c r="A103" s="2">
        <v>102.0</v>
      </c>
      <c r="B103" s="11"/>
      <c r="C103" s="20">
        <v>61443.0</v>
      </c>
      <c r="D103" s="12" t="s">
        <v>89</v>
      </c>
      <c r="E103" s="12" t="s">
        <v>95</v>
      </c>
      <c r="F103" s="15" t="s">
        <v>50</v>
      </c>
      <c r="G103" s="6" t="b">
        <v>0</v>
      </c>
      <c r="H103" s="6" t="b">
        <v>0</v>
      </c>
      <c r="I103" s="6" t="b">
        <v>0</v>
      </c>
      <c r="J103" s="6" t="b">
        <v>0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  <c r="P103" s="6" t="b">
        <v>0</v>
      </c>
      <c r="Q103" s="6" t="b">
        <v>0</v>
      </c>
      <c r="R103" s="6" t="b">
        <v>0</v>
      </c>
      <c r="S103" s="6" t="b">
        <v>0</v>
      </c>
      <c r="T103" s="6" t="b">
        <v>0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0 dari 31 (0%)</v>
      </c>
    </row>
    <row r="104" ht="22.5" customHeight="1">
      <c r="A104" s="10">
        <v>103.0</v>
      </c>
      <c r="B104" s="11"/>
      <c r="C104" s="20">
        <v>61421.0</v>
      </c>
      <c r="D104" s="12" t="s">
        <v>89</v>
      </c>
      <c r="E104" s="12" t="s">
        <v>95</v>
      </c>
      <c r="F104" s="15" t="s">
        <v>50</v>
      </c>
      <c r="G104" s="6" t="b">
        <v>0</v>
      </c>
      <c r="H104" s="6" t="b">
        <v>0</v>
      </c>
      <c r="I104" s="6" t="b">
        <v>0</v>
      </c>
      <c r="J104" s="6" t="b">
        <v>0</v>
      </c>
      <c r="K104" s="6" t="b">
        <v>0</v>
      </c>
      <c r="L104" s="6" t="b">
        <v>0</v>
      </c>
      <c r="M104" s="6" t="b">
        <v>0</v>
      </c>
      <c r="N104" s="6" t="b">
        <v>0</v>
      </c>
      <c r="O104" s="6" t="b">
        <v>0</v>
      </c>
      <c r="P104" s="6" t="b">
        <v>0</v>
      </c>
      <c r="Q104" s="6" t="b">
        <v>0</v>
      </c>
      <c r="R104" s="6" t="b">
        <v>0</v>
      </c>
      <c r="S104" s="6" t="b">
        <v>0</v>
      </c>
      <c r="T104" s="6" t="b">
        <v>0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0</v>
      </c>
      <c r="AJ104" s="6" t="b">
        <v>0</v>
      </c>
      <c r="AK104" s="6" t="b">
        <v>0</v>
      </c>
      <c r="AL104" s="9" t="str">
        <f t="shared" si="1"/>
        <v>0 dari 31 (0%)</v>
      </c>
    </row>
    <row r="106">
      <c r="B106" s="71" t="s">
        <v>38</v>
      </c>
      <c r="C106" s="72"/>
      <c r="D106" s="72"/>
      <c r="E106" s="72"/>
      <c r="F106" s="73"/>
      <c r="G106" s="74">
        <f>COUNTIF(JULI_21[ID Encounter], TRUE)</f>
        <v>0</v>
      </c>
      <c r="H106" s="74">
        <f>COUNTIF(JULI_21[ID Condition], TRUE)</f>
        <v>0</v>
      </c>
      <c r="I106" s="74">
        <f>COUNTIF(JULI_21[ID Clinical Impression], TRUE)</f>
        <v>0</v>
      </c>
      <c r="J106" s="74">
        <f>COUNTIF(JULI_21[ID Observation Tensi], TRUE)</f>
        <v>0</v>
      </c>
      <c r="K106" s="74">
        <f>COUNTIF(JULI_21[ID Observation Nadi], TRUE)</f>
        <v>0</v>
      </c>
      <c r="L106" s="74">
        <f>COUNTIF(JULI_21[ID Observation RR], TRUE)</f>
        <v>0</v>
      </c>
      <c r="M106" s="74">
        <f>COUNTIF(JULI_21[ID Observation Suhu], TRUE)</f>
        <v>0</v>
      </c>
      <c r="N106" s="74">
        <f>COUNTIF(JULI_21[ID Observation SPO2], TRUE)</f>
        <v>0</v>
      </c>
      <c r="O106" s="74">
        <f>COUNTIF(JULI_21[ID Observation GCS], TRUE)</f>
        <v>0</v>
      </c>
      <c r="P106" s="74">
        <f>COUNTIF(JULI_21[ID Observation Tinggi], TRUE)</f>
        <v>0</v>
      </c>
      <c r="Q106" s="74">
        <f>COUNTIF(JULI_21[ID Observation Berat], TRUE)</f>
        <v>0</v>
      </c>
      <c r="R106" s="74">
        <f>COUNTIF(JULI_21[ID Observation Perut], TRUE)</f>
        <v>0</v>
      </c>
      <c r="S106" s="74">
        <f>COUNTIF(JULI_21[ID Observation Kesadaran], TRUE)</f>
        <v>0</v>
      </c>
      <c r="T106" s="74">
        <f>COUNTIF(JULI_21[ID Procedure], TRUE)</f>
        <v>0</v>
      </c>
      <c r="U106" s="74">
        <f>COUNTIF(JULI_21[ID Composition], TRUE)</f>
        <v>0</v>
      </c>
      <c r="V106" s="74">
        <f>COUNTIF(JULI_21[ID Vaksin/Imunisasi], TRUE)</f>
        <v>0</v>
      </c>
      <c r="W106" s="74">
        <f>COUNTIF(JULI_21[ID Medication Request], TRUE)</f>
        <v>0</v>
      </c>
      <c r="X106" s="74">
        <f>COUNTIF(JULI_21[ID Medication Dispense], TRUE)</f>
        <v>0</v>
      </c>
      <c r="Y106" s="74">
        <f>COUNTIF(JULI_21[ID Medication Statement], TRUE)</f>
        <v>0</v>
      </c>
      <c r="Z106" s="74">
        <f>COUNTIF(JULI_21[ID Service Request Radiologi], TRUE)</f>
        <v>0</v>
      </c>
      <c r="AA106" s="74">
        <f>COUNTIF(JULI_21[ID Specimen Radiologi], TRUE)</f>
        <v>0</v>
      </c>
      <c r="AB106" s="74">
        <f>COUNTIF(JULI_21[ID Observation Radiologi], TRUE)</f>
        <v>0</v>
      </c>
      <c r="AC106" s="74">
        <f>COUNTIF(JULI_21[ID Diagnostic Report Radiologi], TRUE)</f>
        <v>0</v>
      </c>
      <c r="AD106" s="74">
        <f>COUNTIF(JULI_21[Image Study], TRUE)</f>
        <v>0</v>
      </c>
      <c r="AE106" s="74">
        <f>COUNTIF(JULI_21[ID Service Request Lab PK], TRUE)</f>
        <v>0</v>
      </c>
      <c r="AF106" s="74">
        <f>COUNTIF(JULI_21[ID Specimen Lab PK], TRUE)</f>
        <v>0</v>
      </c>
      <c r="AG106" s="74">
        <f>COUNTIF(JULI_21[ID Observation Lab PK], TRUE)</f>
        <v>0</v>
      </c>
      <c r="AH106" s="74">
        <f>COUNTIF(JULI_21[ID Diagnostic Report Lab PK], TRUE)</f>
        <v>0</v>
      </c>
      <c r="AI106" s="74">
        <f>COUNTIF(JULI_21[ID Care Plan], TRUE)</f>
        <v>0</v>
      </c>
      <c r="AJ106" s="74">
        <f>COUNTIF(JULI_21[ID Allergy], TRUE)</f>
        <v>0</v>
      </c>
      <c r="AK106" s="74">
        <f>COUNTIF(JULI_21[ID Questionnaire], TRUE)</f>
        <v>0</v>
      </c>
      <c r="AL106" s="75" t="str">
        <f>COUNTIF(JULI_21[[ID Encounter]:[ID Questionnaire]], TRUE()) &amp; " dari " &amp; (ROWS(JULI_21[[ID Encounter]:[ID Questionnaire]])*COLUMNS(JULI_21[[ID Encounter]:[ID Questionnaire]])) &amp; " (" &amp; TEXT(COUNTIF(JULI_21[[ID Encounter]:[ID Questionnaire]], TRUE())/(ROWS(JULI_21[[ID Encounter]:[ID Questionnaire]])*COLUMNS(JULI_21[[ID Encounter]:[ID Questionnaire]])),"0%") &amp; ")"</f>
        <v>0 dari 3193 (0%)</v>
      </c>
    </row>
    <row r="107">
      <c r="B107" s="76"/>
      <c r="C107" s="77"/>
      <c r="D107" s="77"/>
      <c r="E107" s="77"/>
      <c r="F107" s="78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</row>
  </sheetData>
  <mergeCells count="33">
    <mergeCell ref="B106:F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H106:AH107"/>
    <mergeCell ref="AI106:AI107"/>
    <mergeCell ref="AJ106:AJ107"/>
    <mergeCell ref="AK106:AK107"/>
    <mergeCell ref="AL106:AL107"/>
    <mergeCell ref="AA106:AA107"/>
    <mergeCell ref="AB106:AB107"/>
    <mergeCell ref="AC106:AC107"/>
    <mergeCell ref="AD106:AD107"/>
    <mergeCell ref="AE106:AE107"/>
    <mergeCell ref="AF106:AF107"/>
    <mergeCell ref="AG106:AG107"/>
  </mergeCell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54">
        <v>1.0</v>
      </c>
      <c r="B2" s="144">
        <v>46225.0</v>
      </c>
      <c r="C2" s="20">
        <v>20218.0</v>
      </c>
      <c r="D2" s="20" t="s">
        <v>39</v>
      </c>
      <c r="E2" s="20" t="s">
        <v>42</v>
      </c>
      <c r="G2" s="58" t="b">
        <v>0</v>
      </c>
      <c r="H2" s="58" t="b">
        <v>0</v>
      </c>
      <c r="I2" s="58" t="b">
        <v>0</v>
      </c>
      <c r="J2" s="58" t="b">
        <v>0</v>
      </c>
      <c r="K2" s="58" t="b">
        <v>0</v>
      </c>
      <c r="L2" s="58" t="b">
        <v>0</v>
      </c>
      <c r="M2" s="58" t="b">
        <v>0</v>
      </c>
      <c r="N2" s="58" t="b">
        <v>0</v>
      </c>
      <c r="O2" s="58" t="b">
        <v>0</v>
      </c>
      <c r="P2" s="58" t="b">
        <v>0</v>
      </c>
      <c r="Q2" s="58" t="b">
        <v>0</v>
      </c>
      <c r="R2" s="58" t="b">
        <v>0</v>
      </c>
      <c r="S2" s="58" t="b">
        <v>0</v>
      </c>
      <c r="T2" s="58" t="b">
        <v>0</v>
      </c>
      <c r="U2" s="58" t="b">
        <v>0</v>
      </c>
      <c r="V2" s="58" t="b">
        <v>0</v>
      </c>
      <c r="W2" s="58" t="b">
        <v>0</v>
      </c>
      <c r="X2" s="58" t="b">
        <v>0</v>
      </c>
      <c r="Y2" s="58" t="b">
        <v>0</v>
      </c>
      <c r="Z2" s="58" t="b">
        <v>0</v>
      </c>
      <c r="AA2" s="58" t="b">
        <v>0</v>
      </c>
      <c r="AB2" s="58" t="b">
        <v>0</v>
      </c>
      <c r="AC2" s="58" t="b">
        <v>0</v>
      </c>
      <c r="AD2" s="58" t="b">
        <v>0</v>
      </c>
      <c r="AE2" s="58" t="b">
        <v>0</v>
      </c>
      <c r="AF2" s="58" t="b">
        <v>0</v>
      </c>
      <c r="AG2" s="58" t="b">
        <v>0</v>
      </c>
      <c r="AH2" s="58" t="b">
        <v>0</v>
      </c>
      <c r="AI2" s="58" t="b">
        <v>0</v>
      </c>
      <c r="AJ2" s="58" t="b">
        <v>0</v>
      </c>
      <c r="AK2" s="58" t="b">
        <v>0</v>
      </c>
      <c r="AL2" s="59" t="str">
        <f t="shared" ref="AL2:AL271" si="1">COUNTIF(G2:AK2, TRUE()) &amp; " dari " &amp; COLUMNS(G2:AK2) &amp; " (" &amp; TEXT(COUNTIF(G2:AK2, TRUE())/COLUMNS(G2:AK2),"0%") &amp; ")"</f>
        <v>0 dari 31 (0%)</v>
      </c>
    </row>
    <row r="3" ht="22.5" customHeight="1">
      <c r="A3" s="10">
        <v>2.0</v>
      </c>
      <c r="B3" s="11"/>
      <c r="C3" s="20">
        <v>59054.0</v>
      </c>
      <c r="D3" s="20" t="s">
        <v>39</v>
      </c>
      <c r="E3" s="20" t="s">
        <v>42</v>
      </c>
      <c r="G3" s="16" t="b">
        <v>0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6" t="b">
        <v>0</v>
      </c>
      <c r="O3" s="16" t="b">
        <v>0</v>
      </c>
      <c r="P3" s="16" t="b">
        <v>0</v>
      </c>
      <c r="Q3" s="16" t="b">
        <v>0</v>
      </c>
      <c r="R3" s="16" t="b">
        <v>0</v>
      </c>
      <c r="S3" s="16" t="b">
        <v>0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0 dari 31 (0%)</v>
      </c>
    </row>
    <row r="4" ht="22.5" customHeight="1">
      <c r="A4" s="2">
        <v>3.0</v>
      </c>
      <c r="B4" s="18"/>
      <c r="C4" s="20">
        <v>59607.0</v>
      </c>
      <c r="D4" s="20" t="s">
        <v>39</v>
      </c>
      <c r="E4" s="20" t="s">
        <v>42</v>
      </c>
      <c r="G4" s="6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0 dari 31 (0%)</v>
      </c>
    </row>
    <row r="5" ht="22.5" customHeight="1">
      <c r="A5" s="68">
        <v>4.0</v>
      </c>
      <c r="B5" s="69"/>
      <c r="C5" s="20">
        <v>61159.0</v>
      </c>
      <c r="D5" s="20" t="s">
        <v>39</v>
      </c>
      <c r="E5" s="20" t="s">
        <v>42</v>
      </c>
      <c r="G5" s="145" t="b">
        <v>0</v>
      </c>
      <c r="H5" s="145" t="b">
        <v>0</v>
      </c>
      <c r="I5" s="145" t="b">
        <v>0</v>
      </c>
      <c r="J5" s="145" t="b">
        <v>0</v>
      </c>
      <c r="K5" s="145" t="b">
        <v>0</v>
      </c>
      <c r="L5" s="145" t="b">
        <v>0</v>
      </c>
      <c r="M5" s="145" t="b">
        <v>0</v>
      </c>
      <c r="N5" s="145" t="b">
        <v>0</v>
      </c>
      <c r="O5" s="145" t="b">
        <v>0</v>
      </c>
      <c r="P5" s="145" t="b">
        <v>0</v>
      </c>
      <c r="Q5" s="145" t="b">
        <v>0</v>
      </c>
      <c r="R5" s="145" t="b">
        <v>0</v>
      </c>
      <c r="S5" s="145" t="b">
        <v>0</v>
      </c>
      <c r="T5" s="145" t="b">
        <v>0</v>
      </c>
      <c r="U5" s="145" t="b">
        <v>0</v>
      </c>
      <c r="V5" s="145" t="b">
        <v>0</v>
      </c>
      <c r="W5" s="145" t="b">
        <v>0</v>
      </c>
      <c r="X5" s="145" t="b">
        <v>0</v>
      </c>
      <c r="Y5" s="145" t="b">
        <v>0</v>
      </c>
      <c r="Z5" s="145" t="b">
        <v>0</v>
      </c>
      <c r="AA5" s="145" t="b">
        <v>0</v>
      </c>
      <c r="AB5" s="145" t="b">
        <v>0</v>
      </c>
      <c r="AC5" s="145" t="b">
        <v>0</v>
      </c>
      <c r="AD5" s="145" t="b">
        <v>0</v>
      </c>
      <c r="AE5" s="145" t="b">
        <v>0</v>
      </c>
      <c r="AF5" s="145" t="b">
        <v>0</v>
      </c>
      <c r="AG5" s="145" t="b">
        <v>0</v>
      </c>
      <c r="AH5" s="145" t="b">
        <v>0</v>
      </c>
      <c r="AI5" s="145" t="b">
        <v>0</v>
      </c>
      <c r="AJ5" s="145" t="b">
        <v>0</v>
      </c>
      <c r="AK5" s="145" t="b">
        <v>0</v>
      </c>
      <c r="AL5" s="70" t="str">
        <f t="shared" si="1"/>
        <v>0 dari 31 (0%)</v>
      </c>
    </row>
    <row r="6" ht="22.5" customHeight="1">
      <c r="A6" s="2">
        <v>5.0</v>
      </c>
      <c r="B6" s="18"/>
      <c r="C6" s="20">
        <v>60671.0</v>
      </c>
      <c r="D6" s="20" t="s">
        <v>39</v>
      </c>
      <c r="E6" s="20" t="s">
        <v>42</v>
      </c>
      <c r="G6" s="6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9" t="str">
        <f t="shared" si="1"/>
        <v>0 dari 31 (0%)</v>
      </c>
    </row>
    <row r="7" ht="22.5" customHeight="1">
      <c r="A7" s="10">
        <v>6.0</v>
      </c>
      <c r="B7" s="11"/>
      <c r="C7" s="20">
        <v>38890.0</v>
      </c>
      <c r="D7" s="20" t="s">
        <v>39</v>
      </c>
      <c r="E7" s="20" t="s">
        <v>42</v>
      </c>
      <c r="G7" s="16" t="b">
        <v>0</v>
      </c>
      <c r="H7" s="16" t="b">
        <v>0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  <c r="N7" s="16" t="b">
        <v>0</v>
      </c>
      <c r="O7" s="16" t="b">
        <v>0</v>
      </c>
      <c r="P7" s="16" t="b">
        <v>0</v>
      </c>
      <c r="Q7" s="16" t="b">
        <v>0</v>
      </c>
      <c r="R7" s="16" t="b">
        <v>0</v>
      </c>
      <c r="S7" s="16" t="b">
        <v>0</v>
      </c>
      <c r="T7" s="16" t="b">
        <v>0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7" t="str">
        <f t="shared" si="1"/>
        <v>0 dari 31 (0%)</v>
      </c>
    </row>
    <row r="8" ht="22.5" customHeight="1">
      <c r="A8" s="2">
        <v>7.0</v>
      </c>
      <c r="B8" s="18"/>
      <c r="C8" s="20">
        <v>61198.0</v>
      </c>
      <c r="D8" s="20" t="s">
        <v>39</v>
      </c>
      <c r="E8" s="20" t="s">
        <v>42</v>
      </c>
      <c r="G8" s="6" t="b">
        <v>0</v>
      </c>
      <c r="H8" s="6" t="b">
        <v>0</v>
      </c>
      <c r="I8" s="6" t="b">
        <v>0</v>
      </c>
      <c r="J8" s="6" t="b">
        <v>0</v>
      </c>
      <c r="K8" s="6" t="b">
        <v>0</v>
      </c>
      <c r="L8" s="6" t="b">
        <v>0</v>
      </c>
      <c r="M8" s="6" t="b">
        <v>0</v>
      </c>
      <c r="N8" s="6" t="b">
        <v>0</v>
      </c>
      <c r="O8" s="6" t="b">
        <v>0</v>
      </c>
      <c r="P8" s="6" t="b">
        <v>0</v>
      </c>
      <c r="Q8" s="6" t="b">
        <v>0</v>
      </c>
      <c r="R8" s="6" t="b">
        <v>0</v>
      </c>
      <c r="S8" s="6" t="b">
        <v>0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9" t="str">
        <f t="shared" si="1"/>
        <v>0 dari 31 (0%)</v>
      </c>
    </row>
    <row r="9" ht="22.5" customHeight="1">
      <c r="A9" s="10">
        <v>8.0</v>
      </c>
      <c r="B9" s="11"/>
      <c r="C9" s="22">
        <v>60280.0</v>
      </c>
      <c r="D9" s="20" t="s">
        <v>39</v>
      </c>
      <c r="E9" s="20" t="s">
        <v>42</v>
      </c>
      <c r="G9" s="16" t="b">
        <v>0</v>
      </c>
      <c r="H9" s="16" t="b">
        <v>0</v>
      </c>
      <c r="I9" s="16" t="b">
        <v>0</v>
      </c>
      <c r="J9" s="16" t="b">
        <v>0</v>
      </c>
      <c r="K9" s="16" t="b">
        <v>0</v>
      </c>
      <c r="L9" s="16" t="b">
        <v>0</v>
      </c>
      <c r="M9" s="16" t="b">
        <v>0</v>
      </c>
      <c r="N9" s="16" t="b">
        <v>0</v>
      </c>
      <c r="O9" s="16" t="b">
        <v>0</v>
      </c>
      <c r="P9" s="16" t="b">
        <v>0</v>
      </c>
      <c r="Q9" s="16" t="b">
        <v>0</v>
      </c>
      <c r="R9" s="16" t="b">
        <v>0</v>
      </c>
      <c r="S9" s="16" t="b">
        <v>0</v>
      </c>
      <c r="T9" s="16" t="b">
        <v>0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0 dari 31 (0%)</v>
      </c>
    </row>
    <row r="10" ht="22.5" customHeight="1">
      <c r="A10" s="2">
        <v>9.0</v>
      </c>
      <c r="B10" s="18"/>
      <c r="C10" s="22">
        <v>58181.0</v>
      </c>
      <c r="D10" s="20" t="s">
        <v>41</v>
      </c>
      <c r="E10" s="20" t="s">
        <v>48</v>
      </c>
      <c r="G10" s="6" t="b">
        <v>0</v>
      </c>
      <c r="H10" s="6" t="b">
        <v>0</v>
      </c>
      <c r="I10" s="6" t="b">
        <v>0</v>
      </c>
      <c r="J10" s="6" t="b">
        <v>0</v>
      </c>
      <c r="K10" s="6" t="b">
        <v>0</v>
      </c>
      <c r="L10" s="6" t="b">
        <v>0</v>
      </c>
      <c r="M10" s="6" t="b">
        <v>0</v>
      </c>
      <c r="N10" s="6" t="b">
        <v>0</v>
      </c>
      <c r="O10" s="6" t="b">
        <v>0</v>
      </c>
      <c r="P10" s="6" t="b">
        <v>0</v>
      </c>
      <c r="Q10" s="6" t="b">
        <v>0</v>
      </c>
      <c r="R10" s="6" t="b">
        <v>0</v>
      </c>
      <c r="S10" s="6" t="b">
        <v>0</v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0 dari 31 (0%)</v>
      </c>
    </row>
    <row r="11" ht="22.5" customHeight="1">
      <c r="A11" s="10">
        <v>10.0</v>
      </c>
      <c r="B11" s="11"/>
      <c r="C11" s="22">
        <v>60569.0</v>
      </c>
      <c r="D11" s="20" t="s">
        <v>51</v>
      </c>
      <c r="E11" s="20" t="s">
        <v>109</v>
      </c>
      <c r="G11" s="16" t="b">
        <v>0</v>
      </c>
      <c r="H11" s="16" t="b">
        <v>0</v>
      </c>
      <c r="I11" s="16" t="b">
        <v>0</v>
      </c>
      <c r="J11" s="16" t="b">
        <v>0</v>
      </c>
      <c r="K11" s="16" t="b">
        <v>0</v>
      </c>
      <c r="L11" s="16" t="b">
        <v>0</v>
      </c>
      <c r="M11" s="16" t="b">
        <v>0</v>
      </c>
      <c r="N11" s="16" t="b">
        <v>0</v>
      </c>
      <c r="O11" s="16" t="b">
        <v>0</v>
      </c>
      <c r="P11" s="16" t="b">
        <v>0</v>
      </c>
      <c r="Q11" s="16" t="b">
        <v>0</v>
      </c>
      <c r="R11" s="16" t="b">
        <v>0</v>
      </c>
      <c r="S11" s="16" t="b">
        <v>0</v>
      </c>
      <c r="T11" s="16" t="b">
        <v>0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7" t="str">
        <f t="shared" si="1"/>
        <v>0 dari 31 (0%)</v>
      </c>
    </row>
    <row r="12" ht="22.5" customHeight="1">
      <c r="A12" s="2">
        <v>11.0</v>
      </c>
      <c r="B12" s="18"/>
      <c r="C12" s="20">
        <v>61001.0</v>
      </c>
      <c r="D12" s="7" t="s">
        <v>54</v>
      </c>
      <c r="E12" s="7" t="s">
        <v>55</v>
      </c>
      <c r="F12" s="13"/>
      <c r="G12" s="6" t="b">
        <v>0</v>
      </c>
      <c r="H12" s="6" t="b">
        <v>0</v>
      </c>
      <c r="I12" s="6" t="b">
        <v>0</v>
      </c>
      <c r="J12" s="6" t="b">
        <v>0</v>
      </c>
      <c r="K12" s="6" t="b">
        <v>0</v>
      </c>
      <c r="L12" s="6" t="b">
        <v>0</v>
      </c>
      <c r="M12" s="6" t="b">
        <v>0</v>
      </c>
      <c r="N12" s="6" t="b">
        <v>0</v>
      </c>
      <c r="O12" s="6" t="b">
        <v>0</v>
      </c>
      <c r="P12" s="6" t="b">
        <v>0</v>
      </c>
      <c r="Q12" s="6" t="b">
        <v>0</v>
      </c>
      <c r="R12" s="6" t="b">
        <v>0</v>
      </c>
      <c r="S12" s="6" t="b">
        <v>0</v>
      </c>
      <c r="T12" s="6" t="b">
        <v>0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0 dari 31 (0%)</v>
      </c>
    </row>
    <row r="13" ht="22.5" customHeight="1">
      <c r="A13" s="10">
        <v>12.0</v>
      </c>
      <c r="B13" s="11"/>
      <c r="C13" s="20">
        <v>60728.0</v>
      </c>
      <c r="D13" s="7" t="s">
        <v>54</v>
      </c>
      <c r="E13" s="7" t="s">
        <v>55</v>
      </c>
      <c r="F13" s="13"/>
      <c r="G13" s="16" t="b">
        <v>0</v>
      </c>
      <c r="H13" s="16" t="b">
        <v>0</v>
      </c>
      <c r="I13" s="16" t="b">
        <v>0</v>
      </c>
      <c r="J13" s="16" t="b">
        <v>0</v>
      </c>
      <c r="K13" s="16" t="b">
        <v>0</v>
      </c>
      <c r="L13" s="16" t="b">
        <v>0</v>
      </c>
      <c r="M13" s="16" t="b">
        <v>0</v>
      </c>
      <c r="N13" s="16" t="b">
        <v>0</v>
      </c>
      <c r="O13" s="16" t="b">
        <v>0</v>
      </c>
      <c r="P13" s="16" t="b">
        <v>0</v>
      </c>
      <c r="Q13" s="16" t="b">
        <v>0</v>
      </c>
      <c r="R13" s="16" t="b">
        <v>0</v>
      </c>
      <c r="S13" s="16" t="b">
        <v>0</v>
      </c>
      <c r="T13" s="16" t="b">
        <v>0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7" t="str">
        <f t="shared" si="1"/>
        <v>0 dari 31 (0%)</v>
      </c>
    </row>
    <row r="14" ht="22.5" customHeight="1">
      <c r="A14" s="2">
        <v>13.0</v>
      </c>
      <c r="B14" s="18"/>
      <c r="C14" s="20">
        <v>60992.0</v>
      </c>
      <c r="D14" s="7" t="s">
        <v>54</v>
      </c>
      <c r="E14" s="7" t="s">
        <v>55</v>
      </c>
      <c r="F14" s="13"/>
      <c r="G14" s="6" t="b">
        <v>0</v>
      </c>
      <c r="H14" s="6" t="b">
        <v>0</v>
      </c>
      <c r="I14" s="6" t="b">
        <v>0</v>
      </c>
      <c r="J14" s="6" t="b">
        <v>0</v>
      </c>
      <c r="K14" s="6" t="b">
        <v>0</v>
      </c>
      <c r="L14" s="6" t="b">
        <v>0</v>
      </c>
      <c r="M14" s="6" t="b">
        <v>0</v>
      </c>
      <c r="N14" s="6" t="b">
        <v>0</v>
      </c>
      <c r="O14" s="6" t="b">
        <v>0</v>
      </c>
      <c r="P14" s="6" t="b">
        <v>0</v>
      </c>
      <c r="Q14" s="6" t="b">
        <v>0</v>
      </c>
      <c r="R14" s="6" t="b">
        <v>0</v>
      </c>
      <c r="S14" s="6" t="b">
        <v>0</v>
      </c>
      <c r="T14" s="6" t="b">
        <v>0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0 dari 31 (0%)</v>
      </c>
    </row>
    <row r="15" ht="22.5" customHeight="1">
      <c r="A15" s="10">
        <v>14.0</v>
      </c>
      <c r="B15" s="11"/>
      <c r="C15" s="20">
        <v>61153.0</v>
      </c>
      <c r="D15" s="7" t="s">
        <v>54</v>
      </c>
      <c r="E15" s="7" t="s">
        <v>55</v>
      </c>
      <c r="F15" s="13"/>
      <c r="G15" s="16" t="b">
        <v>0</v>
      </c>
      <c r="H15" s="16" t="b">
        <v>0</v>
      </c>
      <c r="I15" s="16" t="b">
        <v>0</v>
      </c>
      <c r="J15" s="16" t="b">
        <v>0</v>
      </c>
      <c r="K15" s="16" t="b">
        <v>0</v>
      </c>
      <c r="L15" s="16" t="b">
        <v>0</v>
      </c>
      <c r="M15" s="16" t="b">
        <v>0</v>
      </c>
      <c r="N15" s="16" t="b">
        <v>0</v>
      </c>
      <c r="O15" s="16" t="b">
        <v>0</v>
      </c>
      <c r="P15" s="16" t="b">
        <v>0</v>
      </c>
      <c r="Q15" s="16" t="b">
        <v>0</v>
      </c>
      <c r="R15" s="16" t="b">
        <v>0</v>
      </c>
      <c r="S15" s="16" t="b">
        <v>0</v>
      </c>
      <c r="T15" s="16" t="b">
        <v>0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0 dari 31 (0%)</v>
      </c>
    </row>
    <row r="16" ht="22.5" customHeight="1">
      <c r="A16" s="2">
        <v>15.0</v>
      </c>
      <c r="B16" s="18"/>
      <c r="C16" s="20">
        <v>52820.0</v>
      </c>
      <c r="D16" s="7" t="s">
        <v>54</v>
      </c>
      <c r="E16" s="7" t="s">
        <v>55</v>
      </c>
      <c r="F16" s="13"/>
      <c r="G16" s="6" t="b">
        <v>0</v>
      </c>
      <c r="H16" s="6" t="b">
        <v>0</v>
      </c>
      <c r="I16" s="6" t="b">
        <v>0</v>
      </c>
      <c r="J16" s="6" t="b">
        <v>0</v>
      </c>
      <c r="K16" s="6" t="b">
        <v>0</v>
      </c>
      <c r="L16" s="6" t="b">
        <v>0</v>
      </c>
      <c r="M16" s="6" t="b">
        <v>0</v>
      </c>
      <c r="N16" s="6" t="b">
        <v>0</v>
      </c>
      <c r="O16" s="6" t="b">
        <v>0</v>
      </c>
      <c r="P16" s="6" t="b">
        <v>0</v>
      </c>
      <c r="Q16" s="6" t="b">
        <v>0</v>
      </c>
      <c r="R16" s="6" t="b">
        <v>0</v>
      </c>
      <c r="S16" s="6" t="b">
        <v>0</v>
      </c>
      <c r="T16" s="6" t="b">
        <v>0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0 dari 31 (0%)</v>
      </c>
    </row>
    <row r="17" ht="22.5" customHeight="1">
      <c r="A17" s="10">
        <v>16.0</v>
      </c>
      <c r="B17" s="11"/>
      <c r="C17" s="22">
        <v>60297.0</v>
      </c>
      <c r="D17" s="7" t="s">
        <v>54</v>
      </c>
      <c r="E17" s="7" t="s">
        <v>55</v>
      </c>
      <c r="F17" s="13"/>
      <c r="G17" s="16" t="b">
        <v>0</v>
      </c>
      <c r="H17" s="16" t="b">
        <v>0</v>
      </c>
      <c r="I17" s="16" t="b">
        <v>0</v>
      </c>
      <c r="J17" s="16" t="b">
        <v>0</v>
      </c>
      <c r="K17" s="16" t="b">
        <v>0</v>
      </c>
      <c r="L17" s="16" t="b">
        <v>0</v>
      </c>
      <c r="M17" s="16" t="b">
        <v>0</v>
      </c>
      <c r="N17" s="16" t="b">
        <v>0</v>
      </c>
      <c r="O17" s="16" t="b">
        <v>0</v>
      </c>
      <c r="P17" s="16" t="b">
        <v>0</v>
      </c>
      <c r="Q17" s="16" t="b">
        <v>0</v>
      </c>
      <c r="R17" s="16" t="b">
        <v>0</v>
      </c>
      <c r="S17" s="16" t="b">
        <v>0</v>
      </c>
      <c r="T17" s="16" t="b">
        <v>0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0 dari 31 (0%)</v>
      </c>
    </row>
    <row r="18" ht="22.5" customHeight="1">
      <c r="A18" s="2">
        <v>17.0</v>
      </c>
      <c r="B18" s="18"/>
      <c r="C18" s="20">
        <v>61050.0</v>
      </c>
      <c r="D18" s="7" t="s">
        <v>54</v>
      </c>
      <c r="E18" s="7" t="s">
        <v>55</v>
      </c>
      <c r="F18" s="13"/>
      <c r="G18" s="6" t="b">
        <v>0</v>
      </c>
      <c r="H18" s="6" t="b">
        <v>0</v>
      </c>
      <c r="I18" s="6" t="b">
        <v>0</v>
      </c>
      <c r="J18" s="6" t="b">
        <v>0</v>
      </c>
      <c r="K18" s="6" t="b">
        <v>0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0</v>
      </c>
      <c r="Q18" s="6" t="b">
        <v>0</v>
      </c>
      <c r="R18" s="6" t="b">
        <v>0</v>
      </c>
      <c r="S18" s="6" t="b">
        <v>0</v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0 dari 31 (0%)</v>
      </c>
    </row>
    <row r="19" ht="22.5" customHeight="1">
      <c r="A19" s="10">
        <v>18.0</v>
      </c>
      <c r="B19" s="11"/>
      <c r="C19" s="20">
        <v>56483.0</v>
      </c>
      <c r="D19" s="7" t="s">
        <v>54</v>
      </c>
      <c r="E19" s="7" t="s">
        <v>55</v>
      </c>
      <c r="F19" s="13"/>
      <c r="G19" s="16" t="b">
        <v>0</v>
      </c>
      <c r="H19" s="16" t="b">
        <v>0</v>
      </c>
      <c r="I19" s="16" t="b">
        <v>0</v>
      </c>
      <c r="J19" s="16" t="b">
        <v>0</v>
      </c>
      <c r="K19" s="16" t="b">
        <v>0</v>
      </c>
      <c r="L19" s="16" t="b">
        <v>0</v>
      </c>
      <c r="M19" s="16" t="b">
        <v>0</v>
      </c>
      <c r="N19" s="16" t="b">
        <v>0</v>
      </c>
      <c r="O19" s="16" t="b">
        <v>0</v>
      </c>
      <c r="P19" s="16" t="b">
        <v>0</v>
      </c>
      <c r="Q19" s="16" t="b">
        <v>0</v>
      </c>
      <c r="R19" s="16" t="b">
        <v>0</v>
      </c>
      <c r="S19" s="16" t="b">
        <v>0</v>
      </c>
      <c r="T19" s="16" t="b">
        <v>0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0 dari 31 (0%)</v>
      </c>
    </row>
    <row r="20" ht="22.5" customHeight="1">
      <c r="A20" s="30">
        <v>19.0</v>
      </c>
      <c r="B20" s="31"/>
      <c r="C20" s="60">
        <v>52738.0</v>
      </c>
      <c r="D20" s="52" t="s">
        <v>54</v>
      </c>
      <c r="E20" s="52" t="s">
        <v>55</v>
      </c>
      <c r="F20" s="53"/>
      <c r="G20" s="35" t="b">
        <v>0</v>
      </c>
      <c r="H20" s="35" t="b">
        <v>0</v>
      </c>
      <c r="I20" s="35" t="b">
        <v>0</v>
      </c>
      <c r="J20" s="35" t="b">
        <v>0</v>
      </c>
      <c r="K20" s="35" t="b">
        <v>0</v>
      </c>
      <c r="L20" s="35" t="b">
        <v>0</v>
      </c>
      <c r="M20" s="35" t="b">
        <v>0</v>
      </c>
      <c r="N20" s="35" t="b">
        <v>0</v>
      </c>
      <c r="O20" s="35" t="b">
        <v>0</v>
      </c>
      <c r="P20" s="35" t="b">
        <v>0</v>
      </c>
      <c r="Q20" s="35" t="b">
        <v>0</v>
      </c>
      <c r="R20" s="35" t="b">
        <v>0</v>
      </c>
      <c r="S20" s="35" t="b">
        <v>0</v>
      </c>
      <c r="T20" s="35" t="b">
        <v>0</v>
      </c>
      <c r="U20" s="35" t="b">
        <v>0</v>
      </c>
      <c r="V20" s="35" t="b">
        <v>0</v>
      </c>
      <c r="W20" s="35" t="b">
        <v>0</v>
      </c>
      <c r="X20" s="35" t="b">
        <v>0</v>
      </c>
      <c r="Y20" s="35" t="b">
        <v>0</v>
      </c>
      <c r="Z20" s="35" t="b">
        <v>0</v>
      </c>
      <c r="AA20" s="35" t="b">
        <v>0</v>
      </c>
      <c r="AB20" s="35" t="b">
        <v>0</v>
      </c>
      <c r="AC20" s="35" t="b">
        <v>0</v>
      </c>
      <c r="AD20" s="35" t="b">
        <v>0</v>
      </c>
      <c r="AE20" s="35" t="b">
        <v>0</v>
      </c>
      <c r="AF20" s="35" t="b">
        <v>0</v>
      </c>
      <c r="AG20" s="35" t="b">
        <v>0</v>
      </c>
      <c r="AH20" s="35" t="b">
        <v>0</v>
      </c>
      <c r="AI20" s="35" t="b">
        <v>0</v>
      </c>
      <c r="AJ20" s="35" t="b">
        <v>0</v>
      </c>
      <c r="AK20" s="35" t="b">
        <v>0</v>
      </c>
      <c r="AL20" s="38" t="str">
        <f t="shared" si="1"/>
        <v>0 dari 31 (0%)</v>
      </c>
    </row>
    <row r="21" ht="22.5" customHeight="1">
      <c r="A21" s="10">
        <v>20.0</v>
      </c>
      <c r="B21" s="11"/>
      <c r="C21" s="22">
        <v>60997.0</v>
      </c>
      <c r="D21" s="7" t="s">
        <v>54</v>
      </c>
      <c r="E21" s="7" t="s">
        <v>55</v>
      </c>
      <c r="F21" s="13"/>
      <c r="G21" s="16" t="b">
        <v>0</v>
      </c>
      <c r="H21" s="16" t="b">
        <v>0</v>
      </c>
      <c r="I21" s="16" t="b">
        <v>0</v>
      </c>
      <c r="J21" s="16" t="b">
        <v>0</v>
      </c>
      <c r="K21" s="16" t="b">
        <v>0</v>
      </c>
      <c r="L21" s="16" t="b">
        <v>0</v>
      </c>
      <c r="M21" s="16" t="b">
        <v>0</v>
      </c>
      <c r="N21" s="16" t="b">
        <v>0</v>
      </c>
      <c r="O21" s="16" t="b">
        <v>0</v>
      </c>
      <c r="P21" s="16" t="b">
        <v>0</v>
      </c>
      <c r="Q21" s="16" t="b">
        <v>0</v>
      </c>
      <c r="R21" s="16" t="b">
        <v>0</v>
      </c>
      <c r="S21" s="16" t="b">
        <v>0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0 dari 31 (0%)</v>
      </c>
    </row>
    <row r="22" ht="22.5" customHeight="1">
      <c r="A22" s="2">
        <v>21.0</v>
      </c>
      <c r="B22" s="18"/>
      <c r="C22" s="20">
        <v>60126.0</v>
      </c>
      <c r="D22" s="12" t="s">
        <v>54</v>
      </c>
      <c r="E22" s="12" t="s">
        <v>76</v>
      </c>
      <c r="F22" s="13"/>
      <c r="G22" s="6" t="b">
        <v>0</v>
      </c>
      <c r="H22" s="6" t="b">
        <v>0</v>
      </c>
      <c r="I22" s="6" t="b">
        <v>0</v>
      </c>
      <c r="J22" s="6" t="b">
        <v>0</v>
      </c>
      <c r="K22" s="6" t="b">
        <v>0</v>
      </c>
      <c r="L22" s="6" t="b">
        <v>0</v>
      </c>
      <c r="M22" s="6" t="b">
        <v>0</v>
      </c>
      <c r="N22" s="6" t="b">
        <v>0</v>
      </c>
      <c r="O22" s="6" t="b">
        <v>0</v>
      </c>
      <c r="P22" s="6" t="b">
        <v>0</v>
      </c>
      <c r="Q22" s="6" t="b">
        <v>0</v>
      </c>
      <c r="R22" s="6" t="b">
        <v>0</v>
      </c>
      <c r="S22" s="6" t="b">
        <v>0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0 dari 31 (0%)</v>
      </c>
    </row>
    <row r="23" ht="22.5" customHeight="1">
      <c r="A23" s="10">
        <v>22.0</v>
      </c>
      <c r="B23" s="11"/>
      <c r="C23" s="20">
        <v>60188.0</v>
      </c>
      <c r="D23" s="12" t="s">
        <v>54</v>
      </c>
      <c r="E23" s="12" t="s">
        <v>76</v>
      </c>
      <c r="F23" s="13"/>
      <c r="G23" s="16" t="b">
        <v>0</v>
      </c>
      <c r="H23" s="16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6" t="b">
        <v>0</v>
      </c>
      <c r="Q23" s="16" t="b">
        <v>0</v>
      </c>
      <c r="R23" s="16" t="b">
        <v>0</v>
      </c>
      <c r="S23" s="16" t="b">
        <v>0</v>
      </c>
      <c r="T23" s="16" t="b">
        <v>0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0 dari 31 (0%)</v>
      </c>
    </row>
    <row r="24" ht="22.5" customHeight="1">
      <c r="A24" s="2">
        <v>23.0</v>
      </c>
      <c r="B24" s="18"/>
      <c r="C24" s="20">
        <v>59545.0</v>
      </c>
      <c r="D24" s="12" t="s">
        <v>54</v>
      </c>
      <c r="E24" s="12" t="s">
        <v>82</v>
      </c>
      <c r="F24" s="13"/>
      <c r="G24" s="6" t="b">
        <v>0</v>
      </c>
      <c r="H24" s="6" t="b">
        <v>0</v>
      </c>
      <c r="I24" s="6" t="b">
        <v>0</v>
      </c>
      <c r="J24" s="6" t="b">
        <v>0</v>
      </c>
      <c r="K24" s="6" t="b">
        <v>0</v>
      </c>
      <c r="L24" s="6" t="b">
        <v>0</v>
      </c>
      <c r="M24" s="6" t="b">
        <v>0</v>
      </c>
      <c r="N24" s="6" t="b">
        <v>0</v>
      </c>
      <c r="O24" s="6" t="b">
        <v>0</v>
      </c>
      <c r="P24" s="6" t="b">
        <v>0</v>
      </c>
      <c r="Q24" s="6" t="b">
        <v>0</v>
      </c>
      <c r="R24" s="6" t="b">
        <v>0</v>
      </c>
      <c r="S24" s="6" t="b">
        <v>0</v>
      </c>
      <c r="T24" s="6" t="b">
        <v>0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0 dari 31 (0%)</v>
      </c>
    </row>
    <row r="25" ht="22.5" customHeight="1">
      <c r="A25" s="10">
        <v>24.0</v>
      </c>
      <c r="B25" s="11"/>
      <c r="C25" s="20">
        <v>52148.0</v>
      </c>
      <c r="D25" s="12" t="s">
        <v>54</v>
      </c>
      <c r="E25" s="12" t="s">
        <v>76</v>
      </c>
      <c r="F25" s="13"/>
      <c r="G25" s="16" t="b">
        <v>0</v>
      </c>
      <c r="H25" s="16" t="b">
        <v>0</v>
      </c>
      <c r="I25" s="16" t="b">
        <v>0</v>
      </c>
      <c r="J25" s="16" t="b">
        <v>0</v>
      </c>
      <c r="K25" s="16" t="b">
        <v>0</v>
      </c>
      <c r="L25" s="16" t="b">
        <v>0</v>
      </c>
      <c r="M25" s="16" t="b">
        <v>0</v>
      </c>
      <c r="N25" s="16" t="b">
        <v>0</v>
      </c>
      <c r="O25" s="16" t="b">
        <v>0</v>
      </c>
      <c r="P25" s="16" t="b">
        <v>0</v>
      </c>
      <c r="Q25" s="16" t="b">
        <v>0</v>
      </c>
      <c r="R25" s="16" t="b">
        <v>0</v>
      </c>
      <c r="S25" s="16" t="b">
        <v>0</v>
      </c>
      <c r="T25" s="16" t="b">
        <v>0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0 dari 31 (0%)</v>
      </c>
    </row>
    <row r="26" ht="22.5" customHeight="1">
      <c r="A26" s="2">
        <v>25.0</v>
      </c>
      <c r="B26" s="18"/>
      <c r="C26" s="20">
        <v>60295.0</v>
      </c>
      <c r="D26" s="12" t="s">
        <v>54</v>
      </c>
      <c r="E26" s="12" t="s">
        <v>82</v>
      </c>
      <c r="F26" s="13"/>
      <c r="G26" s="6" t="b">
        <v>0</v>
      </c>
      <c r="H26" s="6" t="b">
        <v>0</v>
      </c>
      <c r="I26" s="6" t="b">
        <v>0</v>
      </c>
      <c r="J26" s="6" t="b">
        <v>0</v>
      </c>
      <c r="K26" s="6" t="b">
        <v>0</v>
      </c>
      <c r="L26" s="6" t="b">
        <v>0</v>
      </c>
      <c r="M26" s="6" t="b">
        <v>0</v>
      </c>
      <c r="N26" s="6" t="b">
        <v>0</v>
      </c>
      <c r="O26" s="6" t="b">
        <v>0</v>
      </c>
      <c r="P26" s="6" t="b">
        <v>0</v>
      </c>
      <c r="Q26" s="6" t="b">
        <v>0</v>
      </c>
      <c r="R26" s="6" t="b">
        <v>0</v>
      </c>
      <c r="S26" s="6" t="b">
        <v>0</v>
      </c>
      <c r="T26" s="6" t="b">
        <v>0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0 dari 31 (0%)</v>
      </c>
    </row>
    <row r="27" ht="22.5" customHeight="1">
      <c r="A27" s="10">
        <v>26.0</v>
      </c>
      <c r="B27" s="11"/>
      <c r="C27" s="22">
        <v>61019.0</v>
      </c>
      <c r="D27" s="12" t="s">
        <v>54</v>
      </c>
      <c r="E27" s="12" t="s">
        <v>76</v>
      </c>
      <c r="F27" s="13"/>
      <c r="G27" s="16" t="b">
        <v>0</v>
      </c>
      <c r="H27" s="16" t="b">
        <v>0</v>
      </c>
      <c r="I27" s="16" t="b">
        <v>0</v>
      </c>
      <c r="J27" s="16" t="b">
        <v>0</v>
      </c>
      <c r="K27" s="16" t="b">
        <v>0</v>
      </c>
      <c r="L27" s="16" t="b">
        <v>0</v>
      </c>
      <c r="M27" s="16" t="b">
        <v>0</v>
      </c>
      <c r="N27" s="16" t="b">
        <v>0</v>
      </c>
      <c r="O27" s="16" t="b">
        <v>0</v>
      </c>
      <c r="P27" s="16" t="b">
        <v>0</v>
      </c>
      <c r="Q27" s="16" t="b">
        <v>0</v>
      </c>
      <c r="R27" s="16" t="b">
        <v>0</v>
      </c>
      <c r="S27" s="16" t="b">
        <v>0</v>
      </c>
      <c r="T27" s="16" t="b">
        <v>0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0 dari 31 (0%)</v>
      </c>
    </row>
    <row r="28" ht="22.5" customHeight="1">
      <c r="A28" s="2">
        <v>27.0</v>
      </c>
      <c r="B28" s="18"/>
      <c r="C28" s="22">
        <v>56256.0</v>
      </c>
      <c r="D28" s="12" t="s">
        <v>54</v>
      </c>
      <c r="E28" s="12" t="s">
        <v>76</v>
      </c>
      <c r="F28" s="13"/>
      <c r="G28" s="6" t="b">
        <v>0</v>
      </c>
      <c r="H28" s="6" t="b">
        <v>0</v>
      </c>
      <c r="I28" s="6" t="b">
        <v>0</v>
      </c>
      <c r="J28" s="6" t="b">
        <v>0</v>
      </c>
      <c r="K28" s="6" t="b">
        <v>0</v>
      </c>
      <c r="L28" s="6" t="b">
        <v>0</v>
      </c>
      <c r="M28" s="6" t="b">
        <v>0</v>
      </c>
      <c r="N28" s="6" t="b">
        <v>0</v>
      </c>
      <c r="O28" s="6" t="b">
        <v>0</v>
      </c>
      <c r="P28" s="6" t="b">
        <v>0</v>
      </c>
      <c r="Q28" s="6" t="b">
        <v>0</v>
      </c>
      <c r="R28" s="6" t="b">
        <v>0</v>
      </c>
      <c r="S28" s="6" t="b">
        <v>0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9" t="str">
        <f t="shared" si="1"/>
        <v>0 dari 31 (0%)</v>
      </c>
    </row>
    <row r="29" ht="22.5" customHeight="1">
      <c r="A29" s="10">
        <v>28.0</v>
      </c>
      <c r="B29" s="11"/>
      <c r="C29" s="22">
        <v>61011.0</v>
      </c>
      <c r="D29" s="12" t="s">
        <v>54</v>
      </c>
      <c r="E29" s="12" t="s">
        <v>76</v>
      </c>
      <c r="F29" s="13"/>
      <c r="G29" s="16" t="b">
        <v>0</v>
      </c>
      <c r="H29" s="16" t="b">
        <v>0</v>
      </c>
      <c r="I29" s="16" t="b">
        <v>0</v>
      </c>
      <c r="J29" s="16" t="b">
        <v>0</v>
      </c>
      <c r="K29" s="16" t="b">
        <v>0</v>
      </c>
      <c r="L29" s="16" t="b">
        <v>0</v>
      </c>
      <c r="M29" s="16" t="b">
        <v>0</v>
      </c>
      <c r="N29" s="16" t="b">
        <v>0</v>
      </c>
      <c r="O29" s="16" t="b">
        <v>0</v>
      </c>
      <c r="P29" s="16" t="b">
        <v>0</v>
      </c>
      <c r="Q29" s="16" t="b">
        <v>0</v>
      </c>
      <c r="R29" s="16" t="b">
        <v>0</v>
      </c>
      <c r="S29" s="16" t="b">
        <v>0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0 dari 31 (0%)</v>
      </c>
    </row>
    <row r="30" ht="22.5" customHeight="1">
      <c r="A30" s="2">
        <v>29.0</v>
      </c>
      <c r="B30" s="18"/>
      <c r="C30" s="22">
        <v>59701.0</v>
      </c>
      <c r="D30" s="12" t="s">
        <v>63</v>
      </c>
      <c r="E30" s="12" t="s">
        <v>64</v>
      </c>
      <c r="F30" s="13"/>
      <c r="G30" s="6" t="b">
        <v>0</v>
      </c>
      <c r="H30" s="6" t="b">
        <v>0</v>
      </c>
      <c r="I30" s="6" t="b">
        <v>0</v>
      </c>
      <c r="J30" s="6" t="b">
        <v>0</v>
      </c>
      <c r="K30" s="6" t="b">
        <v>0</v>
      </c>
      <c r="L30" s="6" t="b">
        <v>0</v>
      </c>
      <c r="M30" s="6" t="b">
        <v>0</v>
      </c>
      <c r="N30" s="6" t="b">
        <v>0</v>
      </c>
      <c r="O30" s="6" t="b">
        <v>0</v>
      </c>
      <c r="P30" s="6" t="b">
        <v>0</v>
      </c>
      <c r="Q30" s="6" t="b">
        <v>0</v>
      </c>
      <c r="R30" s="6" t="b">
        <v>0</v>
      </c>
      <c r="S30" s="6" t="b">
        <v>0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1"/>
        <v>0 dari 31 (0%)</v>
      </c>
    </row>
    <row r="31" ht="22.5" customHeight="1">
      <c r="A31" s="61">
        <v>30.0</v>
      </c>
      <c r="B31" s="62"/>
      <c r="C31" s="32">
        <v>20870.0</v>
      </c>
      <c r="D31" s="51" t="s">
        <v>63</v>
      </c>
      <c r="E31" s="51" t="s">
        <v>64</v>
      </c>
      <c r="F31" s="53"/>
      <c r="G31" s="63" t="b">
        <v>0</v>
      </c>
      <c r="H31" s="63" t="b">
        <v>0</v>
      </c>
      <c r="I31" s="63" t="b">
        <v>0</v>
      </c>
      <c r="J31" s="63" t="b">
        <v>0</v>
      </c>
      <c r="K31" s="63" t="b">
        <v>0</v>
      </c>
      <c r="L31" s="63" t="b">
        <v>0</v>
      </c>
      <c r="M31" s="63" t="b">
        <v>0</v>
      </c>
      <c r="N31" s="63" t="b">
        <v>0</v>
      </c>
      <c r="O31" s="63" t="b">
        <v>0</v>
      </c>
      <c r="P31" s="63" t="b">
        <v>0</v>
      </c>
      <c r="Q31" s="63" t="b">
        <v>0</v>
      </c>
      <c r="R31" s="63" t="b">
        <v>0</v>
      </c>
      <c r="S31" s="63" t="b">
        <v>0</v>
      </c>
      <c r="T31" s="63" t="b">
        <v>0</v>
      </c>
      <c r="U31" s="63" t="b">
        <v>0</v>
      </c>
      <c r="V31" s="63" t="b">
        <v>0</v>
      </c>
      <c r="W31" s="63" t="b">
        <v>0</v>
      </c>
      <c r="X31" s="63" t="b">
        <v>0</v>
      </c>
      <c r="Y31" s="63" t="b">
        <v>0</v>
      </c>
      <c r="Z31" s="63" t="b">
        <v>0</v>
      </c>
      <c r="AA31" s="63" t="b">
        <v>0</v>
      </c>
      <c r="AB31" s="63" t="b">
        <v>0</v>
      </c>
      <c r="AC31" s="63" t="b">
        <v>0</v>
      </c>
      <c r="AD31" s="63" t="b">
        <v>0</v>
      </c>
      <c r="AE31" s="63" t="b">
        <v>0</v>
      </c>
      <c r="AF31" s="63" t="b">
        <v>0</v>
      </c>
      <c r="AG31" s="63" t="b">
        <v>0</v>
      </c>
      <c r="AH31" s="63" t="b">
        <v>0</v>
      </c>
      <c r="AI31" s="63" t="b">
        <v>0</v>
      </c>
      <c r="AJ31" s="63" t="b">
        <v>0</v>
      </c>
      <c r="AK31" s="63" t="b">
        <v>0</v>
      </c>
      <c r="AL31" s="64" t="str">
        <f t="shared" si="1"/>
        <v>0 dari 31 (0%)</v>
      </c>
    </row>
    <row r="32" ht="22.5" customHeight="1">
      <c r="A32" s="2">
        <v>31.0</v>
      </c>
      <c r="B32" s="18"/>
      <c r="C32" s="20">
        <v>61104.0</v>
      </c>
      <c r="D32" s="12" t="s">
        <v>63</v>
      </c>
      <c r="E32" s="12" t="s">
        <v>64</v>
      </c>
      <c r="F32" s="13"/>
      <c r="G32" s="6" t="b">
        <v>0</v>
      </c>
      <c r="H32" s="6" t="b">
        <v>0</v>
      </c>
      <c r="I32" s="6" t="b">
        <v>0</v>
      </c>
      <c r="J32" s="6" t="b">
        <v>0</v>
      </c>
      <c r="K32" s="6" t="b">
        <v>0</v>
      </c>
      <c r="L32" s="6" t="b">
        <v>0</v>
      </c>
      <c r="M32" s="6" t="b">
        <v>0</v>
      </c>
      <c r="N32" s="6" t="b">
        <v>0</v>
      </c>
      <c r="O32" s="6" t="b">
        <v>0</v>
      </c>
      <c r="P32" s="6" t="b">
        <v>0</v>
      </c>
      <c r="Q32" s="6" t="b">
        <v>0</v>
      </c>
      <c r="R32" s="6" t="b">
        <v>0</v>
      </c>
      <c r="S32" s="6" t="b">
        <v>0</v>
      </c>
      <c r="T32" s="6" t="b">
        <v>0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0 dari 31 (0%)</v>
      </c>
    </row>
    <row r="33" ht="22.5" customHeight="1">
      <c r="A33" s="10">
        <v>32.0</v>
      </c>
      <c r="B33" s="11"/>
      <c r="C33" s="20">
        <v>60951.0</v>
      </c>
      <c r="D33" s="12" t="s">
        <v>63</v>
      </c>
      <c r="E33" s="12" t="s">
        <v>64</v>
      </c>
      <c r="F33" s="13"/>
      <c r="G33" s="16" t="b">
        <v>0</v>
      </c>
      <c r="H33" s="16" t="b">
        <v>0</v>
      </c>
      <c r="I33" s="16" t="b">
        <v>0</v>
      </c>
      <c r="J33" s="16" t="b">
        <v>0</v>
      </c>
      <c r="K33" s="16" t="b">
        <v>0</v>
      </c>
      <c r="L33" s="16" t="b">
        <v>0</v>
      </c>
      <c r="M33" s="16" t="b">
        <v>0</v>
      </c>
      <c r="N33" s="16" t="b">
        <v>0</v>
      </c>
      <c r="O33" s="16" t="b">
        <v>0</v>
      </c>
      <c r="P33" s="16" t="b">
        <v>0</v>
      </c>
      <c r="Q33" s="16" t="b">
        <v>0</v>
      </c>
      <c r="R33" s="16" t="b">
        <v>0</v>
      </c>
      <c r="S33" s="16" t="b">
        <v>0</v>
      </c>
      <c r="T33" s="16" t="b">
        <v>0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0</v>
      </c>
      <c r="AJ33" s="16" t="b">
        <v>0</v>
      </c>
      <c r="AK33" s="16" t="b">
        <v>0</v>
      </c>
      <c r="AL33" s="17" t="str">
        <f t="shared" si="1"/>
        <v>0 dari 31 (0%)</v>
      </c>
    </row>
    <row r="34" ht="22.5" customHeight="1">
      <c r="A34" s="30">
        <v>33.0</v>
      </c>
      <c r="B34" s="31"/>
      <c r="C34" s="60">
        <v>58042.0</v>
      </c>
      <c r="D34" s="51" t="s">
        <v>63</v>
      </c>
      <c r="E34" s="51" t="s">
        <v>64</v>
      </c>
      <c r="F34" s="53"/>
      <c r="G34" s="35" t="b">
        <v>0</v>
      </c>
      <c r="H34" s="35" t="b">
        <v>0</v>
      </c>
      <c r="I34" s="35" t="b">
        <v>0</v>
      </c>
      <c r="J34" s="35" t="b">
        <v>0</v>
      </c>
      <c r="K34" s="35" t="b">
        <v>0</v>
      </c>
      <c r="L34" s="35" t="b">
        <v>0</v>
      </c>
      <c r="M34" s="35" t="b">
        <v>0</v>
      </c>
      <c r="N34" s="35" t="b">
        <v>0</v>
      </c>
      <c r="O34" s="35" t="b">
        <v>0</v>
      </c>
      <c r="P34" s="35" t="b">
        <v>0</v>
      </c>
      <c r="Q34" s="35" t="b">
        <v>0</v>
      </c>
      <c r="R34" s="35" t="b">
        <v>0</v>
      </c>
      <c r="S34" s="35" t="b">
        <v>0</v>
      </c>
      <c r="T34" s="35" t="b">
        <v>0</v>
      </c>
      <c r="U34" s="35" t="b">
        <v>0</v>
      </c>
      <c r="V34" s="35" t="b">
        <v>0</v>
      </c>
      <c r="W34" s="35" t="b">
        <v>0</v>
      </c>
      <c r="X34" s="35" t="b">
        <v>0</v>
      </c>
      <c r="Y34" s="35" t="b">
        <v>0</v>
      </c>
      <c r="Z34" s="35" t="b">
        <v>0</v>
      </c>
      <c r="AA34" s="35" t="b">
        <v>0</v>
      </c>
      <c r="AB34" s="35" t="b">
        <v>0</v>
      </c>
      <c r="AC34" s="35" t="b">
        <v>0</v>
      </c>
      <c r="AD34" s="35" t="b">
        <v>0</v>
      </c>
      <c r="AE34" s="35" t="b">
        <v>0</v>
      </c>
      <c r="AF34" s="35" t="b">
        <v>0</v>
      </c>
      <c r="AG34" s="35" t="b">
        <v>0</v>
      </c>
      <c r="AH34" s="35" t="b">
        <v>0</v>
      </c>
      <c r="AI34" s="35" t="b">
        <v>0</v>
      </c>
      <c r="AJ34" s="35" t="b">
        <v>0</v>
      </c>
      <c r="AK34" s="35" t="b">
        <v>0</v>
      </c>
      <c r="AL34" s="38" t="str">
        <f t="shared" si="1"/>
        <v>0 dari 31 (0%)</v>
      </c>
    </row>
    <row r="35" ht="22.5" customHeight="1">
      <c r="A35" s="10">
        <v>34.0</v>
      </c>
      <c r="B35" s="11"/>
      <c r="C35" s="20">
        <v>60852.0</v>
      </c>
      <c r="D35" s="12" t="s">
        <v>63</v>
      </c>
      <c r="E35" s="12" t="s">
        <v>64</v>
      </c>
      <c r="F35" s="13"/>
      <c r="G35" s="16" t="b">
        <v>0</v>
      </c>
      <c r="H35" s="16" t="b">
        <v>0</v>
      </c>
      <c r="I35" s="16" t="b">
        <v>0</v>
      </c>
      <c r="J35" s="16" t="b">
        <v>0</v>
      </c>
      <c r="K35" s="16" t="b">
        <v>0</v>
      </c>
      <c r="L35" s="16" t="b">
        <v>0</v>
      </c>
      <c r="M35" s="16" t="b">
        <v>0</v>
      </c>
      <c r="N35" s="16" t="b">
        <v>0</v>
      </c>
      <c r="O35" s="16" t="b">
        <v>0</v>
      </c>
      <c r="P35" s="16" t="b">
        <v>0</v>
      </c>
      <c r="Q35" s="16" t="b">
        <v>0</v>
      </c>
      <c r="R35" s="16" t="b">
        <v>0</v>
      </c>
      <c r="S35" s="16" t="b">
        <v>0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7" t="str">
        <f t="shared" si="1"/>
        <v>0 dari 31 (0%)</v>
      </c>
    </row>
    <row r="36" ht="22.5" customHeight="1">
      <c r="A36" s="2">
        <v>35.0</v>
      </c>
      <c r="B36" s="18"/>
      <c r="C36" s="20">
        <v>61157.0</v>
      </c>
      <c r="D36" s="12" t="s">
        <v>63</v>
      </c>
      <c r="E36" s="12" t="s">
        <v>64</v>
      </c>
      <c r="F36" s="13"/>
      <c r="G36" s="6" t="b">
        <v>0</v>
      </c>
      <c r="H36" s="6" t="b">
        <v>0</v>
      </c>
      <c r="I36" s="6" t="b">
        <v>0</v>
      </c>
      <c r="J36" s="6" t="b">
        <v>0</v>
      </c>
      <c r="K36" s="6" t="b">
        <v>0</v>
      </c>
      <c r="L36" s="6" t="b">
        <v>0</v>
      </c>
      <c r="M36" s="6" t="b">
        <v>0</v>
      </c>
      <c r="N36" s="6" t="b">
        <v>0</v>
      </c>
      <c r="O36" s="6" t="b">
        <v>0</v>
      </c>
      <c r="P36" s="6" t="b">
        <v>0</v>
      </c>
      <c r="Q36" s="6" t="b">
        <v>0</v>
      </c>
      <c r="R36" s="6" t="b">
        <v>0</v>
      </c>
      <c r="S36" s="6" t="b">
        <v>0</v>
      </c>
      <c r="T36" s="6" t="b">
        <v>0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0</v>
      </c>
      <c r="AJ36" s="6" t="b">
        <v>0</v>
      </c>
      <c r="AK36" s="6" t="b">
        <v>0</v>
      </c>
      <c r="AL36" s="9" t="str">
        <f t="shared" si="1"/>
        <v>0 dari 31 (0%)</v>
      </c>
    </row>
    <row r="37" ht="22.5" customHeight="1">
      <c r="A37" s="10">
        <v>36.0</v>
      </c>
      <c r="B37" s="11"/>
      <c r="C37" s="22">
        <v>33429.0</v>
      </c>
      <c r="D37" s="12" t="s">
        <v>63</v>
      </c>
      <c r="E37" s="12" t="s">
        <v>64</v>
      </c>
      <c r="F37" s="13"/>
      <c r="G37" s="16" t="b">
        <v>0</v>
      </c>
      <c r="H37" s="16" t="b">
        <v>0</v>
      </c>
      <c r="I37" s="16" t="b">
        <v>0</v>
      </c>
      <c r="J37" s="16" t="b">
        <v>0</v>
      </c>
      <c r="K37" s="16" t="b">
        <v>0</v>
      </c>
      <c r="L37" s="16" t="b">
        <v>0</v>
      </c>
      <c r="M37" s="16" t="b">
        <v>0</v>
      </c>
      <c r="N37" s="16" t="b">
        <v>0</v>
      </c>
      <c r="O37" s="16" t="b">
        <v>0</v>
      </c>
      <c r="P37" s="16" t="b">
        <v>0</v>
      </c>
      <c r="Q37" s="16" t="b">
        <v>0</v>
      </c>
      <c r="R37" s="16" t="b">
        <v>0</v>
      </c>
      <c r="S37" s="16" t="b">
        <v>0</v>
      </c>
      <c r="T37" s="16" t="b">
        <v>0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7" t="str">
        <f t="shared" si="1"/>
        <v>0 dari 31 (0%)</v>
      </c>
    </row>
    <row r="38" ht="22.5" customHeight="1">
      <c r="A38" s="2">
        <v>37.0</v>
      </c>
      <c r="B38" s="18"/>
      <c r="C38" s="22">
        <v>61009.0</v>
      </c>
      <c r="D38" s="12" t="s">
        <v>63</v>
      </c>
      <c r="E38" s="12" t="s">
        <v>64</v>
      </c>
      <c r="F38" s="13"/>
      <c r="G38" s="6" t="b">
        <v>0</v>
      </c>
      <c r="H38" s="6" t="b">
        <v>0</v>
      </c>
      <c r="I38" s="6" t="b">
        <v>0</v>
      </c>
      <c r="J38" s="6" t="b">
        <v>0</v>
      </c>
      <c r="K38" s="6" t="b">
        <v>0</v>
      </c>
      <c r="L38" s="6" t="b">
        <v>0</v>
      </c>
      <c r="M38" s="6" t="b">
        <v>0</v>
      </c>
      <c r="N38" s="6" t="b">
        <v>0</v>
      </c>
      <c r="O38" s="6" t="b">
        <v>0</v>
      </c>
      <c r="P38" s="6" t="b">
        <v>0</v>
      </c>
      <c r="Q38" s="6" t="b">
        <v>0</v>
      </c>
      <c r="R38" s="6" t="b">
        <v>0</v>
      </c>
      <c r="S38" s="6" t="b">
        <v>0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1"/>
        <v>0 dari 31 (0%)</v>
      </c>
    </row>
    <row r="39" ht="22.5" customHeight="1">
      <c r="A39" s="10">
        <v>38.0</v>
      </c>
      <c r="B39" s="11"/>
      <c r="C39" s="22">
        <v>54010.0</v>
      </c>
      <c r="D39" s="12" t="s">
        <v>63</v>
      </c>
      <c r="E39" s="12" t="s">
        <v>64</v>
      </c>
      <c r="F39" s="13"/>
      <c r="G39" s="16" t="b">
        <v>0</v>
      </c>
      <c r="H39" s="16" t="b">
        <v>0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0</v>
      </c>
      <c r="O39" s="16" t="b">
        <v>0</v>
      </c>
      <c r="P39" s="16" t="b">
        <v>0</v>
      </c>
      <c r="Q39" s="16" t="b">
        <v>0</v>
      </c>
      <c r="R39" s="16" t="b">
        <v>0</v>
      </c>
      <c r="S39" s="16" t="b">
        <v>0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0 dari 31 (0%)</v>
      </c>
    </row>
    <row r="40" ht="22.5" customHeight="1">
      <c r="A40" s="2">
        <v>39.0</v>
      </c>
      <c r="B40" s="18"/>
      <c r="C40" s="22">
        <v>60863.0</v>
      </c>
      <c r="D40" s="12" t="s">
        <v>63</v>
      </c>
      <c r="E40" s="12" t="s">
        <v>64</v>
      </c>
      <c r="F40" s="13"/>
      <c r="G40" s="6" t="b">
        <v>0</v>
      </c>
      <c r="H40" s="6" t="b">
        <v>0</v>
      </c>
      <c r="I40" s="6" t="b">
        <v>0</v>
      </c>
      <c r="J40" s="6" t="b">
        <v>0</v>
      </c>
      <c r="K40" s="6" t="b">
        <v>0</v>
      </c>
      <c r="L40" s="6" t="b">
        <v>0</v>
      </c>
      <c r="M40" s="6" t="b">
        <v>0</v>
      </c>
      <c r="N40" s="6" t="b">
        <v>0</v>
      </c>
      <c r="O40" s="6" t="b">
        <v>0</v>
      </c>
      <c r="P40" s="6" t="b">
        <v>0</v>
      </c>
      <c r="Q40" s="6" t="b">
        <v>0</v>
      </c>
      <c r="R40" s="6" t="b">
        <v>0</v>
      </c>
      <c r="S40" s="6" t="b">
        <v>0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0</v>
      </c>
      <c r="AJ40" s="6" t="b">
        <v>0</v>
      </c>
      <c r="AK40" s="6" t="b">
        <v>0</v>
      </c>
      <c r="AL40" s="9" t="str">
        <f t="shared" si="1"/>
        <v>0 dari 31 (0%)</v>
      </c>
    </row>
    <row r="41" ht="22.5" customHeight="1">
      <c r="A41" s="10">
        <v>40.0</v>
      </c>
      <c r="B41" s="11"/>
      <c r="C41" s="22">
        <v>60226.0</v>
      </c>
      <c r="D41" s="12" t="s">
        <v>63</v>
      </c>
      <c r="E41" s="12" t="s">
        <v>64</v>
      </c>
      <c r="F41" s="13"/>
      <c r="G41" s="16" t="b">
        <v>0</v>
      </c>
      <c r="H41" s="16" t="b">
        <v>0</v>
      </c>
      <c r="I41" s="16" t="b">
        <v>0</v>
      </c>
      <c r="J41" s="16" t="b">
        <v>0</v>
      </c>
      <c r="K41" s="16" t="b">
        <v>0</v>
      </c>
      <c r="L41" s="16" t="b">
        <v>0</v>
      </c>
      <c r="M41" s="16" t="b">
        <v>0</v>
      </c>
      <c r="N41" s="16" t="b">
        <v>0</v>
      </c>
      <c r="O41" s="16" t="b">
        <v>0</v>
      </c>
      <c r="P41" s="16" t="b">
        <v>0</v>
      </c>
      <c r="Q41" s="16" t="b">
        <v>0</v>
      </c>
      <c r="R41" s="16" t="b">
        <v>0</v>
      </c>
      <c r="S41" s="16" t="b">
        <v>0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7" t="str">
        <f t="shared" si="1"/>
        <v>0 dari 31 (0%)</v>
      </c>
    </row>
    <row r="42" ht="22.5" customHeight="1">
      <c r="A42" s="2">
        <v>41.0</v>
      </c>
      <c r="B42" s="18"/>
      <c r="C42" s="20">
        <v>60701.0</v>
      </c>
      <c r="D42" s="12" t="s">
        <v>63</v>
      </c>
      <c r="E42" s="12" t="s">
        <v>64</v>
      </c>
      <c r="F42" s="13"/>
      <c r="G42" s="6" t="b">
        <v>0</v>
      </c>
      <c r="H42" s="6" t="b">
        <v>0</v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6" t="b">
        <v>0</v>
      </c>
      <c r="R42" s="6" t="b">
        <v>0</v>
      </c>
      <c r="S42" s="6" t="b">
        <v>0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0 dari 31 (0%)</v>
      </c>
    </row>
    <row r="43" ht="22.5" customHeight="1">
      <c r="A43" s="61">
        <v>42.0</v>
      </c>
      <c r="B43" s="62"/>
      <c r="C43" s="60">
        <v>61255.0</v>
      </c>
      <c r="D43" s="51" t="s">
        <v>63</v>
      </c>
      <c r="E43" s="51" t="s">
        <v>64</v>
      </c>
      <c r="F43" s="53"/>
      <c r="G43" s="63" t="b">
        <v>0</v>
      </c>
      <c r="H43" s="63" t="b">
        <v>0</v>
      </c>
      <c r="I43" s="63" t="b">
        <v>0</v>
      </c>
      <c r="J43" s="63" t="b">
        <v>0</v>
      </c>
      <c r="K43" s="63" t="b">
        <v>0</v>
      </c>
      <c r="L43" s="63" t="b">
        <v>0</v>
      </c>
      <c r="M43" s="63" t="b">
        <v>0</v>
      </c>
      <c r="N43" s="63" t="b">
        <v>0</v>
      </c>
      <c r="O43" s="63" t="b">
        <v>0</v>
      </c>
      <c r="P43" s="63" t="b">
        <v>0</v>
      </c>
      <c r="Q43" s="63" t="b">
        <v>0</v>
      </c>
      <c r="R43" s="63" t="b">
        <v>0</v>
      </c>
      <c r="S43" s="63" t="b">
        <v>0</v>
      </c>
      <c r="T43" s="63" t="b">
        <v>0</v>
      </c>
      <c r="U43" s="63" t="b">
        <v>0</v>
      </c>
      <c r="V43" s="63" t="b">
        <v>0</v>
      </c>
      <c r="W43" s="63" t="b">
        <v>0</v>
      </c>
      <c r="X43" s="63" t="b">
        <v>0</v>
      </c>
      <c r="Y43" s="63" t="b">
        <v>0</v>
      </c>
      <c r="Z43" s="63" t="b">
        <v>0</v>
      </c>
      <c r="AA43" s="63" t="b">
        <v>0</v>
      </c>
      <c r="AB43" s="63" t="b">
        <v>0</v>
      </c>
      <c r="AC43" s="63" t="b">
        <v>0</v>
      </c>
      <c r="AD43" s="63" t="b">
        <v>0</v>
      </c>
      <c r="AE43" s="63" t="b">
        <v>0</v>
      </c>
      <c r="AF43" s="63" t="b">
        <v>0</v>
      </c>
      <c r="AG43" s="63" t="b">
        <v>0</v>
      </c>
      <c r="AH43" s="63" t="b">
        <v>0</v>
      </c>
      <c r="AI43" s="63" t="b">
        <v>0</v>
      </c>
      <c r="AJ43" s="63" t="b">
        <v>0</v>
      </c>
      <c r="AK43" s="63" t="b">
        <v>0</v>
      </c>
      <c r="AL43" s="64" t="str">
        <f t="shared" si="1"/>
        <v>0 dari 31 (0%)</v>
      </c>
    </row>
    <row r="44" ht="22.5" customHeight="1">
      <c r="A44" s="2">
        <v>43.0</v>
      </c>
      <c r="B44" s="18"/>
      <c r="C44" s="20">
        <v>61015.0</v>
      </c>
      <c r="D44" s="12" t="s">
        <v>63</v>
      </c>
      <c r="E44" s="12" t="s">
        <v>64</v>
      </c>
      <c r="F44" s="13"/>
      <c r="G44" s="6" t="b">
        <v>0</v>
      </c>
      <c r="H44" s="6" t="b">
        <v>0</v>
      </c>
      <c r="I44" s="6" t="b">
        <v>0</v>
      </c>
      <c r="J44" s="6" t="b">
        <v>0</v>
      </c>
      <c r="K44" s="6" t="b">
        <v>0</v>
      </c>
      <c r="L44" s="6" t="b">
        <v>0</v>
      </c>
      <c r="M44" s="6" t="b">
        <v>0</v>
      </c>
      <c r="N44" s="6" t="b">
        <v>0</v>
      </c>
      <c r="O44" s="6" t="b">
        <v>0</v>
      </c>
      <c r="P44" s="6" t="b">
        <v>0</v>
      </c>
      <c r="Q44" s="6" t="b">
        <v>0</v>
      </c>
      <c r="R44" s="6" t="b">
        <v>0</v>
      </c>
      <c r="S44" s="6" t="b">
        <v>0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0 dari 31 (0%)</v>
      </c>
    </row>
    <row r="45" ht="22.5" customHeight="1">
      <c r="A45" s="10">
        <v>44.0</v>
      </c>
      <c r="B45" s="11"/>
      <c r="C45" s="20">
        <v>47918.0</v>
      </c>
      <c r="D45" s="12" t="s">
        <v>41</v>
      </c>
      <c r="E45" s="12" t="s">
        <v>48</v>
      </c>
      <c r="F45" s="13"/>
      <c r="G45" s="16" t="b">
        <v>0</v>
      </c>
      <c r="H45" s="16" t="b">
        <v>0</v>
      </c>
      <c r="I45" s="16" t="b">
        <v>0</v>
      </c>
      <c r="J45" s="16" t="b">
        <v>0</v>
      </c>
      <c r="K45" s="16" t="b">
        <v>0</v>
      </c>
      <c r="L45" s="16" t="b">
        <v>0</v>
      </c>
      <c r="M45" s="16" t="b">
        <v>0</v>
      </c>
      <c r="N45" s="16" t="b">
        <v>0</v>
      </c>
      <c r="O45" s="16" t="b">
        <v>0</v>
      </c>
      <c r="P45" s="16" t="b">
        <v>0</v>
      </c>
      <c r="Q45" s="16" t="b">
        <v>0</v>
      </c>
      <c r="R45" s="16" t="b">
        <v>0</v>
      </c>
      <c r="S45" s="16" t="b">
        <v>0</v>
      </c>
      <c r="T45" s="16" t="b">
        <v>0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7" t="str">
        <f t="shared" si="1"/>
        <v>0 dari 31 (0%)</v>
      </c>
    </row>
    <row r="46" ht="22.5" customHeight="1">
      <c r="A46" s="2">
        <v>45.0</v>
      </c>
      <c r="B46" s="18"/>
      <c r="C46" s="20">
        <v>20512.0</v>
      </c>
      <c r="D46" s="12" t="s">
        <v>51</v>
      </c>
      <c r="E46" s="12" t="s">
        <v>61</v>
      </c>
      <c r="F46" s="13"/>
      <c r="G46" s="6" t="b">
        <v>0</v>
      </c>
      <c r="H46" s="6" t="b">
        <v>0</v>
      </c>
      <c r="I46" s="6" t="b">
        <v>0</v>
      </c>
      <c r="J46" s="6" t="b">
        <v>0</v>
      </c>
      <c r="K46" s="6" t="b">
        <v>0</v>
      </c>
      <c r="L46" s="6" t="b">
        <v>0</v>
      </c>
      <c r="M46" s="6" t="b">
        <v>0</v>
      </c>
      <c r="N46" s="6" t="b">
        <v>0</v>
      </c>
      <c r="O46" s="6" t="b">
        <v>0</v>
      </c>
      <c r="P46" s="6" t="b">
        <v>0</v>
      </c>
      <c r="Q46" s="6" t="b">
        <v>0</v>
      </c>
      <c r="R46" s="6" t="b">
        <v>0</v>
      </c>
      <c r="S46" s="6" t="b">
        <v>0</v>
      </c>
      <c r="T46" s="6" t="b">
        <v>0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1"/>
        <v>0 dari 31 (0%)</v>
      </c>
    </row>
    <row r="47" ht="22.5" customHeight="1">
      <c r="A47" s="10">
        <v>46.0</v>
      </c>
      <c r="B47" s="11"/>
      <c r="C47" s="22">
        <v>60435.0</v>
      </c>
      <c r="D47" s="12" t="s">
        <v>54</v>
      </c>
      <c r="E47" s="12" t="s">
        <v>55</v>
      </c>
      <c r="F47" s="13"/>
      <c r="G47" s="16" t="b">
        <v>0</v>
      </c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6" t="b">
        <v>0</v>
      </c>
      <c r="R47" s="16" t="b">
        <v>0</v>
      </c>
      <c r="S47" s="16" t="b">
        <v>0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7" t="str">
        <f t="shared" si="1"/>
        <v>0 dari 31 (0%)</v>
      </c>
    </row>
    <row r="48" ht="22.5" customHeight="1">
      <c r="A48" s="10">
        <v>47.0</v>
      </c>
      <c r="B48" s="18"/>
      <c r="C48" s="22">
        <v>60974.0</v>
      </c>
      <c r="D48" s="12" t="s">
        <v>51</v>
      </c>
      <c r="E48" s="12" t="s">
        <v>61</v>
      </c>
      <c r="F48" s="13"/>
      <c r="G48" s="6" t="b">
        <v>0</v>
      </c>
      <c r="H48" s="6" t="b">
        <v>0</v>
      </c>
      <c r="I48" s="6" t="b">
        <v>0</v>
      </c>
      <c r="J48" s="6" t="b">
        <v>0</v>
      </c>
      <c r="K48" s="6" t="b">
        <v>0</v>
      </c>
      <c r="L48" s="6" t="b">
        <v>0</v>
      </c>
      <c r="M48" s="6" t="b">
        <v>0</v>
      </c>
      <c r="N48" s="6" t="b">
        <v>0</v>
      </c>
      <c r="O48" s="6" t="b">
        <v>0</v>
      </c>
      <c r="P48" s="6" t="b">
        <v>0</v>
      </c>
      <c r="Q48" s="6" t="b">
        <v>0</v>
      </c>
      <c r="R48" s="6" t="b">
        <v>0</v>
      </c>
      <c r="S48" s="6" t="b">
        <v>0</v>
      </c>
      <c r="T48" s="6" t="b">
        <v>0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0 dari 31 (0%)</v>
      </c>
    </row>
    <row r="49" ht="22.5" customHeight="1">
      <c r="A49" s="2">
        <v>48.0</v>
      </c>
      <c r="B49" s="11"/>
      <c r="C49" s="22">
        <v>60846.0</v>
      </c>
      <c r="D49" s="12" t="s">
        <v>39</v>
      </c>
      <c r="E49" s="12" t="s">
        <v>57</v>
      </c>
      <c r="F49" s="13"/>
      <c r="G49" s="16" t="b">
        <v>0</v>
      </c>
      <c r="H49" s="16" t="b">
        <v>0</v>
      </c>
      <c r="I49" s="16" t="b">
        <v>0</v>
      </c>
      <c r="J49" s="16" t="b">
        <v>0</v>
      </c>
      <c r="K49" s="16" t="b">
        <v>0</v>
      </c>
      <c r="L49" s="16" t="b">
        <v>0</v>
      </c>
      <c r="M49" s="16" t="b">
        <v>0</v>
      </c>
      <c r="N49" s="16" t="b">
        <v>0</v>
      </c>
      <c r="O49" s="16" t="b">
        <v>0</v>
      </c>
      <c r="P49" s="16" t="b">
        <v>0</v>
      </c>
      <c r="Q49" s="16" t="b">
        <v>0</v>
      </c>
      <c r="R49" s="16" t="b">
        <v>0</v>
      </c>
      <c r="S49" s="16" t="b">
        <v>0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7" t="str">
        <f t="shared" si="1"/>
        <v>0 dari 31 (0%)</v>
      </c>
    </row>
    <row r="50" ht="22.5" customHeight="1">
      <c r="A50" s="10">
        <v>49.0</v>
      </c>
      <c r="B50" s="11"/>
      <c r="C50" s="22">
        <v>40522.0</v>
      </c>
      <c r="D50" s="12" t="s">
        <v>80</v>
      </c>
      <c r="E50" s="12" t="s">
        <v>91</v>
      </c>
      <c r="F50" s="13"/>
      <c r="G50" s="6" t="b">
        <v>0</v>
      </c>
      <c r="H50" s="6" t="b">
        <v>0</v>
      </c>
      <c r="I50" s="6" t="b">
        <v>0</v>
      </c>
      <c r="J50" s="6" t="b">
        <v>0</v>
      </c>
      <c r="K50" s="6" t="b">
        <v>0</v>
      </c>
      <c r="L50" s="6" t="b">
        <v>0</v>
      </c>
      <c r="M50" s="6" t="b">
        <v>0</v>
      </c>
      <c r="N50" s="6" t="b">
        <v>0</v>
      </c>
      <c r="O50" s="6" t="b">
        <v>0</v>
      </c>
      <c r="P50" s="6" t="b">
        <v>0</v>
      </c>
      <c r="Q50" s="6" t="b">
        <v>0</v>
      </c>
      <c r="R50" s="6" t="b">
        <v>0</v>
      </c>
      <c r="S50" s="6" t="b">
        <v>0</v>
      </c>
      <c r="T50" s="6" t="b">
        <v>0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0</v>
      </c>
      <c r="AJ50" s="6" t="b">
        <v>0</v>
      </c>
      <c r="AK50" s="6" t="b">
        <v>0</v>
      </c>
      <c r="AL50" s="9" t="str">
        <f t="shared" si="1"/>
        <v>0 dari 31 (0%)</v>
      </c>
    </row>
    <row r="51" ht="22.5" customHeight="1">
      <c r="A51" s="10">
        <v>50.0</v>
      </c>
      <c r="B51" s="11"/>
      <c r="C51" s="22">
        <v>57878.0</v>
      </c>
      <c r="D51" s="12" t="s">
        <v>80</v>
      </c>
      <c r="E51" s="12" t="s">
        <v>91</v>
      </c>
      <c r="F51" s="13"/>
      <c r="G51" s="6" t="b">
        <v>0</v>
      </c>
      <c r="H51" s="6" t="b">
        <v>0</v>
      </c>
      <c r="I51" s="6" t="b">
        <v>0</v>
      </c>
      <c r="J51" s="6" t="b">
        <v>0</v>
      </c>
      <c r="K51" s="6" t="b">
        <v>0</v>
      </c>
      <c r="L51" s="6" t="b">
        <v>0</v>
      </c>
      <c r="M51" s="6" t="b">
        <v>0</v>
      </c>
      <c r="N51" s="6" t="b">
        <v>0</v>
      </c>
      <c r="O51" s="6" t="b">
        <v>0</v>
      </c>
      <c r="P51" s="6" t="b">
        <v>0</v>
      </c>
      <c r="Q51" s="6" t="b">
        <v>0</v>
      </c>
      <c r="R51" s="6" t="b">
        <v>0</v>
      </c>
      <c r="S51" s="6" t="b">
        <v>0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0 dari 31 (0%)</v>
      </c>
    </row>
    <row r="52" ht="22.5" customHeight="1">
      <c r="A52" s="2">
        <v>51.0</v>
      </c>
      <c r="B52" s="11"/>
      <c r="D52" s="138"/>
      <c r="E52" s="138"/>
      <c r="F52" s="13"/>
      <c r="G52" s="6" t="b">
        <v>0</v>
      </c>
      <c r="H52" s="6" t="b">
        <v>0</v>
      </c>
      <c r="I52" s="6" t="b">
        <v>0</v>
      </c>
      <c r="J52" s="6" t="b">
        <v>0</v>
      </c>
      <c r="K52" s="6" t="b">
        <v>0</v>
      </c>
      <c r="L52" s="6" t="b">
        <v>0</v>
      </c>
      <c r="M52" s="6" t="b">
        <v>0</v>
      </c>
      <c r="N52" s="6" t="b">
        <v>0</v>
      </c>
      <c r="O52" s="6" t="b">
        <v>0</v>
      </c>
      <c r="P52" s="6" t="b">
        <v>0</v>
      </c>
      <c r="Q52" s="6" t="b">
        <v>0</v>
      </c>
      <c r="R52" s="6" t="b">
        <v>0</v>
      </c>
      <c r="S52" s="6" t="b">
        <v>0</v>
      </c>
      <c r="T52" s="6" t="b">
        <v>0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0</v>
      </c>
      <c r="AJ52" s="6" t="b">
        <v>0</v>
      </c>
      <c r="AK52" s="6" t="b">
        <v>0</v>
      </c>
      <c r="AL52" s="9" t="str">
        <f t="shared" si="1"/>
        <v>0 dari 31 (0%)</v>
      </c>
    </row>
    <row r="53" ht="22.5" customHeight="1">
      <c r="A53" s="10">
        <v>52.0</v>
      </c>
      <c r="B53" s="11"/>
      <c r="C53" s="22"/>
      <c r="D53" s="138"/>
      <c r="E53" s="138"/>
      <c r="F53" s="13"/>
      <c r="G53" s="6" t="b">
        <v>0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  <c r="P53" s="6" t="b">
        <v>0</v>
      </c>
      <c r="Q53" s="6" t="b">
        <v>0</v>
      </c>
      <c r="R53" s="6" t="b">
        <v>0</v>
      </c>
      <c r="S53" s="6" t="b">
        <v>0</v>
      </c>
      <c r="T53" s="6" t="b">
        <v>0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0 dari 31 (0%)</v>
      </c>
    </row>
    <row r="54" ht="22.5" customHeight="1">
      <c r="A54" s="10">
        <v>53.0</v>
      </c>
      <c r="B54" s="11"/>
      <c r="D54" s="138"/>
      <c r="E54" s="138"/>
      <c r="F54" s="13"/>
      <c r="G54" s="6" t="b">
        <v>0</v>
      </c>
      <c r="H54" s="6" t="b">
        <v>0</v>
      </c>
      <c r="I54" s="6" t="b">
        <v>0</v>
      </c>
      <c r="J54" s="6" t="b">
        <v>0</v>
      </c>
      <c r="K54" s="6" t="b">
        <v>0</v>
      </c>
      <c r="L54" s="6" t="b">
        <v>0</v>
      </c>
      <c r="M54" s="6" t="b">
        <v>0</v>
      </c>
      <c r="N54" s="6" t="b">
        <v>0</v>
      </c>
      <c r="O54" s="6" t="b">
        <v>0</v>
      </c>
      <c r="P54" s="6" t="b">
        <v>0</v>
      </c>
      <c r="Q54" s="6" t="b">
        <v>0</v>
      </c>
      <c r="R54" s="6" t="b">
        <v>0</v>
      </c>
      <c r="S54" s="6" t="b">
        <v>0</v>
      </c>
      <c r="T54" s="6" t="b">
        <v>0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0</v>
      </c>
      <c r="AJ54" s="6" t="b">
        <v>0</v>
      </c>
      <c r="AK54" s="6" t="b">
        <v>0</v>
      </c>
      <c r="AL54" s="17" t="str">
        <f t="shared" si="1"/>
        <v>0 dari 31 (0%)</v>
      </c>
    </row>
    <row r="55" ht="22.5" customHeight="1">
      <c r="A55" s="2">
        <v>54.0</v>
      </c>
      <c r="B55" s="11"/>
      <c r="C55" s="22"/>
      <c r="D55" s="138"/>
      <c r="E55" s="138"/>
      <c r="F55" s="13"/>
      <c r="G55" s="6" t="b">
        <v>0</v>
      </c>
      <c r="H55" s="6" t="b">
        <v>0</v>
      </c>
      <c r="I55" s="6" t="b">
        <v>0</v>
      </c>
      <c r="J55" s="6" t="b">
        <v>0</v>
      </c>
      <c r="K55" s="6" t="b">
        <v>0</v>
      </c>
      <c r="L55" s="6" t="b">
        <v>0</v>
      </c>
      <c r="M55" s="6" t="b">
        <v>0</v>
      </c>
      <c r="N55" s="6" t="b">
        <v>0</v>
      </c>
      <c r="O55" s="6" t="b">
        <v>0</v>
      </c>
      <c r="P55" s="6" t="b">
        <v>0</v>
      </c>
      <c r="Q55" s="6" t="b">
        <v>0</v>
      </c>
      <c r="R55" s="6" t="b">
        <v>0</v>
      </c>
      <c r="S55" s="6" t="b">
        <v>0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0</v>
      </c>
      <c r="AJ55" s="6" t="b">
        <v>0</v>
      </c>
      <c r="AK55" s="6" t="b">
        <v>0</v>
      </c>
      <c r="AL55" s="9" t="str">
        <f t="shared" si="1"/>
        <v>0 dari 31 (0%)</v>
      </c>
    </row>
    <row r="56" ht="22.5" customHeight="1">
      <c r="A56" s="10">
        <v>55.0</v>
      </c>
      <c r="B56" s="11"/>
      <c r="D56" s="138"/>
      <c r="E56" s="138"/>
      <c r="F56" s="13"/>
      <c r="G56" s="6" t="b">
        <v>0</v>
      </c>
      <c r="H56" s="6" t="b">
        <v>0</v>
      </c>
      <c r="I56" s="6" t="b">
        <v>0</v>
      </c>
      <c r="J56" s="6" t="b">
        <v>0</v>
      </c>
      <c r="K56" s="6" t="b">
        <v>0</v>
      </c>
      <c r="L56" s="6" t="b">
        <v>0</v>
      </c>
      <c r="M56" s="6" t="b">
        <v>0</v>
      </c>
      <c r="N56" s="6" t="b">
        <v>0</v>
      </c>
      <c r="O56" s="6" t="b">
        <v>0</v>
      </c>
      <c r="P56" s="6" t="b">
        <v>0</v>
      </c>
      <c r="Q56" s="6" t="b">
        <v>0</v>
      </c>
      <c r="R56" s="6" t="b">
        <v>0</v>
      </c>
      <c r="S56" s="6" t="b">
        <v>0</v>
      </c>
      <c r="T56" s="6" t="b">
        <v>0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0</v>
      </c>
      <c r="AJ56" s="6" t="b">
        <v>0</v>
      </c>
      <c r="AK56" s="6" t="b">
        <v>0</v>
      </c>
      <c r="AL56" s="9" t="str">
        <f t="shared" si="1"/>
        <v>0 dari 31 (0%)</v>
      </c>
    </row>
    <row r="57" ht="22.5" customHeight="1">
      <c r="A57" s="10">
        <v>56.0</v>
      </c>
      <c r="B57" s="11"/>
      <c r="C57" s="22"/>
      <c r="D57" s="138"/>
      <c r="E57" s="138"/>
      <c r="F57" s="13"/>
      <c r="G57" s="6" t="b">
        <v>0</v>
      </c>
      <c r="H57" s="6" t="b">
        <v>0</v>
      </c>
      <c r="I57" s="6" t="b">
        <v>0</v>
      </c>
      <c r="J57" s="6" t="b">
        <v>0</v>
      </c>
      <c r="K57" s="6" t="b">
        <v>0</v>
      </c>
      <c r="L57" s="6" t="b">
        <v>0</v>
      </c>
      <c r="M57" s="6" t="b">
        <v>0</v>
      </c>
      <c r="N57" s="6" t="b">
        <v>0</v>
      </c>
      <c r="O57" s="6" t="b">
        <v>0</v>
      </c>
      <c r="P57" s="6" t="b">
        <v>0</v>
      </c>
      <c r="Q57" s="6" t="b">
        <v>0</v>
      </c>
      <c r="R57" s="6" t="b">
        <v>0</v>
      </c>
      <c r="S57" s="6" t="b">
        <v>0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0 dari 31 (0%)</v>
      </c>
    </row>
    <row r="58" ht="22.5" customHeight="1">
      <c r="A58" s="2">
        <v>57.0</v>
      </c>
      <c r="B58" s="11"/>
      <c r="D58" s="138"/>
      <c r="E58" s="138"/>
      <c r="F58" s="13"/>
      <c r="G58" s="6" t="b">
        <v>0</v>
      </c>
      <c r="H58" s="6" t="b">
        <v>0</v>
      </c>
      <c r="I58" s="6" t="b">
        <v>0</v>
      </c>
      <c r="J58" s="6" t="b">
        <v>0</v>
      </c>
      <c r="K58" s="6" t="b">
        <v>0</v>
      </c>
      <c r="L58" s="6" t="b">
        <v>0</v>
      </c>
      <c r="M58" s="6" t="b">
        <v>0</v>
      </c>
      <c r="N58" s="6" t="b">
        <v>0</v>
      </c>
      <c r="O58" s="6" t="b">
        <v>0</v>
      </c>
      <c r="P58" s="6" t="b">
        <v>0</v>
      </c>
      <c r="Q58" s="6" t="b">
        <v>0</v>
      </c>
      <c r="R58" s="6" t="b">
        <v>0</v>
      </c>
      <c r="S58" s="6" t="b">
        <v>0</v>
      </c>
      <c r="T58" s="6" t="b">
        <v>0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0 dari 31 (0%)</v>
      </c>
    </row>
    <row r="59" ht="22.5" customHeight="1">
      <c r="A59" s="10">
        <v>58.0</v>
      </c>
      <c r="B59" s="11"/>
      <c r="C59" s="22"/>
      <c r="D59" s="138"/>
      <c r="E59" s="138"/>
      <c r="F59" s="13"/>
      <c r="G59" s="6" t="b">
        <v>0</v>
      </c>
      <c r="H59" s="6" t="b">
        <v>0</v>
      </c>
      <c r="I59" s="6" t="b">
        <v>0</v>
      </c>
      <c r="J59" s="6" t="b">
        <v>0</v>
      </c>
      <c r="K59" s="6" t="b">
        <v>0</v>
      </c>
      <c r="L59" s="6" t="b">
        <v>0</v>
      </c>
      <c r="M59" s="6" t="b">
        <v>0</v>
      </c>
      <c r="N59" s="6" t="b">
        <v>0</v>
      </c>
      <c r="O59" s="6" t="b">
        <v>0</v>
      </c>
      <c r="P59" s="6" t="b">
        <v>0</v>
      </c>
      <c r="Q59" s="6" t="b">
        <v>0</v>
      </c>
      <c r="R59" s="6" t="b">
        <v>0</v>
      </c>
      <c r="S59" s="6" t="b">
        <v>0</v>
      </c>
      <c r="T59" s="6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1"/>
        <v>0 dari 31 (0%)</v>
      </c>
    </row>
    <row r="60" ht="22.5" customHeight="1">
      <c r="A60" s="10">
        <v>59.0</v>
      </c>
      <c r="B60" s="11"/>
      <c r="D60" s="138"/>
      <c r="E60" s="138"/>
      <c r="F60" s="13"/>
      <c r="G60" s="6" t="b">
        <v>0</v>
      </c>
      <c r="H60" s="6" t="b">
        <v>0</v>
      </c>
      <c r="I60" s="6" t="b">
        <v>0</v>
      </c>
      <c r="J60" s="6" t="b">
        <v>0</v>
      </c>
      <c r="K60" s="6" t="b">
        <v>0</v>
      </c>
      <c r="L60" s="6" t="b">
        <v>0</v>
      </c>
      <c r="M60" s="6" t="b">
        <v>0</v>
      </c>
      <c r="N60" s="6" t="b">
        <v>0</v>
      </c>
      <c r="O60" s="6" t="b">
        <v>0</v>
      </c>
      <c r="P60" s="6" t="b">
        <v>0</v>
      </c>
      <c r="Q60" s="6" t="b">
        <v>0</v>
      </c>
      <c r="R60" s="6" t="b">
        <v>0</v>
      </c>
      <c r="S60" s="6" t="b">
        <v>0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0 dari 31 (0%)</v>
      </c>
    </row>
    <row r="61" ht="22.5" customHeight="1">
      <c r="A61" s="2">
        <v>60.0</v>
      </c>
      <c r="B61" s="11"/>
      <c r="C61" s="140"/>
      <c r="D61" s="138"/>
      <c r="E61" s="138"/>
      <c r="F61" s="13"/>
      <c r="G61" s="6" t="b">
        <v>0</v>
      </c>
      <c r="H61" s="6" t="b">
        <v>0</v>
      </c>
      <c r="I61" s="6" t="b">
        <v>0</v>
      </c>
      <c r="J61" s="6" t="b">
        <v>0</v>
      </c>
      <c r="K61" s="6" t="b">
        <v>0</v>
      </c>
      <c r="L61" s="6" t="b">
        <v>0</v>
      </c>
      <c r="M61" s="6" t="b">
        <v>0</v>
      </c>
      <c r="N61" s="6" t="b">
        <v>0</v>
      </c>
      <c r="O61" s="6" t="b">
        <v>0</v>
      </c>
      <c r="P61" s="6" t="b">
        <v>0</v>
      </c>
      <c r="Q61" s="6" t="b">
        <v>0</v>
      </c>
      <c r="R61" s="6" t="b">
        <v>0</v>
      </c>
      <c r="S61" s="6" t="b">
        <v>0</v>
      </c>
      <c r="T61" s="6" t="b">
        <v>0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1"/>
        <v>0 dari 31 (0%)</v>
      </c>
    </row>
    <row r="62" ht="22.5" customHeight="1">
      <c r="A62" s="10">
        <v>61.0</v>
      </c>
      <c r="B62" s="11"/>
      <c r="C62" s="140"/>
      <c r="D62" s="138"/>
      <c r="E62" s="138"/>
      <c r="F62" s="13"/>
      <c r="G62" s="6" t="b">
        <v>0</v>
      </c>
      <c r="H62" s="6" t="b">
        <v>0</v>
      </c>
      <c r="I62" s="6" t="b">
        <v>0</v>
      </c>
      <c r="J62" s="6" t="b">
        <v>0</v>
      </c>
      <c r="K62" s="6" t="b">
        <v>0</v>
      </c>
      <c r="L62" s="6" t="b">
        <v>0</v>
      </c>
      <c r="M62" s="6" t="b">
        <v>0</v>
      </c>
      <c r="N62" s="6" t="b">
        <v>0</v>
      </c>
      <c r="O62" s="6" t="b">
        <v>0</v>
      </c>
      <c r="P62" s="6" t="b">
        <v>0</v>
      </c>
      <c r="Q62" s="6" t="b">
        <v>0</v>
      </c>
      <c r="R62" s="6" t="b">
        <v>0</v>
      </c>
      <c r="S62" s="6" t="b">
        <v>0</v>
      </c>
      <c r="T62" s="6" t="b">
        <v>0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0 dari 31 (0%)</v>
      </c>
    </row>
    <row r="63" ht="22.5" customHeight="1">
      <c r="A63" s="10">
        <v>62.0</v>
      </c>
      <c r="B63" s="11"/>
      <c r="C63" s="140"/>
      <c r="D63" s="138"/>
      <c r="E63" s="138"/>
      <c r="F63" s="13"/>
      <c r="G63" s="6" t="b">
        <v>0</v>
      </c>
      <c r="H63" s="6" t="b">
        <v>0</v>
      </c>
      <c r="I63" s="6" t="b">
        <v>0</v>
      </c>
      <c r="J63" s="6" t="b">
        <v>0</v>
      </c>
      <c r="K63" s="6" t="b">
        <v>0</v>
      </c>
      <c r="L63" s="6" t="b">
        <v>0</v>
      </c>
      <c r="M63" s="6" t="b">
        <v>0</v>
      </c>
      <c r="N63" s="6" t="b">
        <v>0</v>
      </c>
      <c r="O63" s="6" t="b">
        <v>0</v>
      </c>
      <c r="P63" s="6" t="b">
        <v>0</v>
      </c>
      <c r="Q63" s="6" t="b">
        <v>0</v>
      </c>
      <c r="R63" s="6" t="b">
        <v>0</v>
      </c>
      <c r="S63" s="6" t="b">
        <v>0</v>
      </c>
      <c r="T63" s="6" t="b">
        <v>0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0 dari 31 (0%)</v>
      </c>
    </row>
    <row r="64" ht="22.5" customHeight="1">
      <c r="A64" s="2">
        <v>63.0</v>
      </c>
      <c r="B64" s="11"/>
      <c r="C64" s="140"/>
      <c r="D64" s="138"/>
      <c r="E64" s="138"/>
      <c r="F64" s="13"/>
      <c r="G64" s="6" t="b">
        <v>0</v>
      </c>
      <c r="H64" s="6" t="b">
        <v>0</v>
      </c>
      <c r="I64" s="6" t="b">
        <v>0</v>
      </c>
      <c r="J64" s="6" t="b">
        <v>0</v>
      </c>
      <c r="K64" s="6" t="b">
        <v>0</v>
      </c>
      <c r="L64" s="6" t="b">
        <v>0</v>
      </c>
      <c r="M64" s="6" t="b">
        <v>0</v>
      </c>
      <c r="N64" s="6" t="b">
        <v>0</v>
      </c>
      <c r="O64" s="6" t="b">
        <v>0</v>
      </c>
      <c r="P64" s="6" t="b">
        <v>0</v>
      </c>
      <c r="Q64" s="6" t="b">
        <v>0</v>
      </c>
      <c r="R64" s="6" t="b">
        <v>0</v>
      </c>
      <c r="S64" s="6" t="b">
        <v>0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1"/>
        <v>0 dari 31 (0%)</v>
      </c>
    </row>
    <row r="65" ht="22.5" customHeight="1">
      <c r="A65" s="10">
        <v>64.0</v>
      </c>
      <c r="B65" s="11"/>
      <c r="C65" s="140"/>
      <c r="D65" s="138"/>
      <c r="E65" s="138"/>
      <c r="F65" s="13"/>
      <c r="G65" s="6" t="b">
        <v>0</v>
      </c>
      <c r="H65" s="6" t="b">
        <v>0</v>
      </c>
      <c r="I65" s="6" t="b">
        <v>0</v>
      </c>
      <c r="J65" s="6" t="b">
        <v>0</v>
      </c>
      <c r="K65" s="6" t="b">
        <v>0</v>
      </c>
      <c r="L65" s="6" t="b">
        <v>0</v>
      </c>
      <c r="M65" s="6" t="b">
        <v>0</v>
      </c>
      <c r="N65" s="6" t="b">
        <v>0</v>
      </c>
      <c r="O65" s="6" t="b">
        <v>0</v>
      </c>
      <c r="P65" s="6" t="b">
        <v>0</v>
      </c>
      <c r="Q65" s="6" t="b">
        <v>0</v>
      </c>
      <c r="R65" s="6" t="b">
        <v>0</v>
      </c>
      <c r="S65" s="6" t="b">
        <v>0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0</v>
      </c>
      <c r="AJ65" s="6" t="b">
        <v>0</v>
      </c>
      <c r="AK65" s="6" t="b">
        <v>0</v>
      </c>
      <c r="AL65" s="9" t="str">
        <f t="shared" si="1"/>
        <v>0 dari 31 (0%)</v>
      </c>
    </row>
    <row r="66" ht="22.5" customHeight="1">
      <c r="A66" s="10">
        <v>65.0</v>
      </c>
      <c r="B66" s="11"/>
      <c r="C66" s="140"/>
      <c r="D66" s="138"/>
      <c r="E66" s="138"/>
      <c r="F66" s="13"/>
      <c r="G66" s="6" t="b">
        <v>0</v>
      </c>
      <c r="H66" s="6" t="b">
        <v>0</v>
      </c>
      <c r="I66" s="6" t="b">
        <v>0</v>
      </c>
      <c r="J66" s="6" t="b">
        <v>0</v>
      </c>
      <c r="K66" s="6" t="b">
        <v>0</v>
      </c>
      <c r="L66" s="6" t="b">
        <v>0</v>
      </c>
      <c r="M66" s="6" t="b">
        <v>0</v>
      </c>
      <c r="N66" s="6" t="b">
        <v>0</v>
      </c>
      <c r="O66" s="6" t="b">
        <v>0</v>
      </c>
      <c r="P66" s="6" t="b">
        <v>0</v>
      </c>
      <c r="Q66" s="6" t="b">
        <v>0</v>
      </c>
      <c r="R66" s="6" t="b">
        <v>0</v>
      </c>
      <c r="S66" s="6" t="b">
        <v>0</v>
      </c>
      <c r="T66" s="6" t="b">
        <v>0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0</v>
      </c>
      <c r="AJ66" s="6" t="b">
        <v>0</v>
      </c>
      <c r="AK66" s="6" t="b">
        <v>0</v>
      </c>
      <c r="AL66" s="17" t="str">
        <f t="shared" si="1"/>
        <v>0 dari 31 (0%)</v>
      </c>
    </row>
    <row r="67" ht="22.5" customHeight="1">
      <c r="A67" s="2">
        <v>66.0</v>
      </c>
      <c r="B67" s="11"/>
      <c r="C67" s="140"/>
      <c r="D67" s="138"/>
      <c r="E67" s="138"/>
      <c r="F67" s="13"/>
      <c r="G67" s="6" t="b">
        <v>0</v>
      </c>
      <c r="H67" s="6" t="b">
        <v>0</v>
      </c>
      <c r="I67" s="6" t="b">
        <v>0</v>
      </c>
      <c r="J67" s="6" t="b">
        <v>0</v>
      </c>
      <c r="K67" s="6" t="b">
        <v>0</v>
      </c>
      <c r="L67" s="6" t="b">
        <v>0</v>
      </c>
      <c r="M67" s="6" t="b">
        <v>0</v>
      </c>
      <c r="N67" s="6" t="b">
        <v>0</v>
      </c>
      <c r="O67" s="6" t="b">
        <v>0</v>
      </c>
      <c r="P67" s="6" t="b">
        <v>0</v>
      </c>
      <c r="Q67" s="6" t="b">
        <v>0</v>
      </c>
      <c r="R67" s="6" t="b">
        <v>0</v>
      </c>
      <c r="S67" s="6" t="b">
        <v>0</v>
      </c>
      <c r="T67" s="6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1"/>
        <v>0 dari 31 (0%)</v>
      </c>
    </row>
    <row r="68" ht="22.5" customHeight="1">
      <c r="A68" s="10">
        <v>67.0</v>
      </c>
      <c r="B68" s="11"/>
      <c r="C68" s="140"/>
      <c r="D68" s="138"/>
      <c r="E68" s="138"/>
      <c r="F68" s="13"/>
      <c r="G68" s="6" t="b">
        <v>0</v>
      </c>
      <c r="H68" s="6" t="b">
        <v>0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0</v>
      </c>
      <c r="R68" s="6" t="b">
        <v>0</v>
      </c>
      <c r="S68" s="6" t="b">
        <v>0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0 dari 31 (0%)</v>
      </c>
    </row>
    <row r="69" ht="22.5" customHeight="1">
      <c r="A69" s="10">
        <v>68.0</v>
      </c>
      <c r="B69" s="11"/>
      <c r="C69" s="140"/>
      <c r="D69" s="138"/>
      <c r="E69" s="138"/>
      <c r="F69" s="13"/>
      <c r="G69" s="6" t="b">
        <v>0</v>
      </c>
      <c r="H69" s="6" t="b">
        <v>0</v>
      </c>
      <c r="I69" s="6" t="b">
        <v>0</v>
      </c>
      <c r="J69" s="6" t="b">
        <v>0</v>
      </c>
      <c r="K69" s="6" t="b">
        <v>0</v>
      </c>
      <c r="L69" s="6" t="b">
        <v>0</v>
      </c>
      <c r="M69" s="6" t="b">
        <v>0</v>
      </c>
      <c r="N69" s="6" t="b">
        <v>0</v>
      </c>
      <c r="O69" s="6" t="b">
        <v>0</v>
      </c>
      <c r="P69" s="6" t="b">
        <v>0</v>
      </c>
      <c r="Q69" s="6" t="b">
        <v>0</v>
      </c>
      <c r="R69" s="6" t="b">
        <v>0</v>
      </c>
      <c r="S69" s="6" t="b">
        <v>0</v>
      </c>
      <c r="T69" s="6" t="b">
        <v>0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0</v>
      </c>
      <c r="AJ69" s="6" t="b">
        <v>0</v>
      </c>
      <c r="AK69" s="6" t="b">
        <v>0</v>
      </c>
      <c r="AL69" s="17" t="str">
        <f t="shared" si="1"/>
        <v>0 dari 31 (0%)</v>
      </c>
    </row>
    <row r="70" ht="22.5" customHeight="1">
      <c r="A70" s="2">
        <v>69.0</v>
      </c>
      <c r="B70" s="11"/>
      <c r="C70" s="140"/>
      <c r="D70" s="138"/>
      <c r="E70" s="138"/>
      <c r="F70" s="13"/>
      <c r="G70" s="6" t="b">
        <v>0</v>
      </c>
      <c r="H70" s="6" t="b">
        <v>0</v>
      </c>
      <c r="I70" s="6" t="b">
        <v>0</v>
      </c>
      <c r="J70" s="6" t="b">
        <v>0</v>
      </c>
      <c r="K70" s="6" t="b">
        <v>0</v>
      </c>
      <c r="L70" s="6" t="b">
        <v>0</v>
      </c>
      <c r="M70" s="6" t="b">
        <v>0</v>
      </c>
      <c r="N70" s="6" t="b">
        <v>0</v>
      </c>
      <c r="O70" s="6" t="b">
        <v>0</v>
      </c>
      <c r="P70" s="6" t="b">
        <v>0</v>
      </c>
      <c r="Q70" s="6" t="b">
        <v>0</v>
      </c>
      <c r="R70" s="6" t="b">
        <v>0</v>
      </c>
      <c r="S70" s="6" t="b">
        <v>0</v>
      </c>
      <c r="T70" s="6" t="b">
        <v>0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0 dari 31 (0%)</v>
      </c>
    </row>
    <row r="71" ht="22.5" customHeight="1">
      <c r="A71" s="10">
        <v>70.0</v>
      </c>
      <c r="B71" s="11"/>
      <c r="C71" s="140"/>
      <c r="D71" s="138"/>
      <c r="E71" s="138"/>
      <c r="F71" s="13"/>
      <c r="G71" s="6" t="b">
        <v>0</v>
      </c>
      <c r="H71" s="6" t="b">
        <v>0</v>
      </c>
      <c r="I71" s="6" t="b">
        <v>0</v>
      </c>
      <c r="J71" s="6" t="b">
        <v>0</v>
      </c>
      <c r="K71" s="6" t="b">
        <v>0</v>
      </c>
      <c r="L71" s="6" t="b">
        <v>0</v>
      </c>
      <c r="M71" s="6" t="b">
        <v>0</v>
      </c>
      <c r="N71" s="6" t="b">
        <v>0</v>
      </c>
      <c r="O71" s="6" t="b">
        <v>0</v>
      </c>
      <c r="P71" s="6" t="b">
        <v>0</v>
      </c>
      <c r="Q71" s="6" t="b">
        <v>0</v>
      </c>
      <c r="R71" s="6" t="b">
        <v>0</v>
      </c>
      <c r="S71" s="6" t="b">
        <v>0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0 dari 31 (0%)</v>
      </c>
    </row>
    <row r="72" ht="22.5" customHeight="1">
      <c r="A72" s="10">
        <v>71.0</v>
      </c>
      <c r="B72" s="11"/>
      <c r="C72" s="140"/>
      <c r="D72" s="138"/>
      <c r="E72" s="138"/>
      <c r="F72" s="13"/>
      <c r="G72" s="6" t="b">
        <v>0</v>
      </c>
      <c r="H72" s="6" t="b">
        <v>0</v>
      </c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6" t="b">
        <v>0</v>
      </c>
      <c r="R72" s="6" t="b">
        <v>0</v>
      </c>
      <c r="S72" s="6" t="b">
        <v>0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0</v>
      </c>
      <c r="AJ72" s="6" t="b">
        <v>0</v>
      </c>
      <c r="AK72" s="6" t="b">
        <v>0</v>
      </c>
      <c r="AL72" s="17" t="str">
        <f t="shared" si="1"/>
        <v>0 dari 31 (0%)</v>
      </c>
    </row>
    <row r="73" ht="22.5" customHeight="1">
      <c r="A73" s="2">
        <v>72.0</v>
      </c>
      <c r="B73" s="11"/>
      <c r="C73" s="140"/>
      <c r="D73" s="138"/>
      <c r="E73" s="138"/>
      <c r="F73" s="13"/>
      <c r="G73" s="6" t="b">
        <v>0</v>
      </c>
      <c r="H73" s="6" t="b">
        <v>0</v>
      </c>
      <c r="I73" s="6" t="b">
        <v>0</v>
      </c>
      <c r="J73" s="6" t="b">
        <v>0</v>
      </c>
      <c r="K73" s="6" t="b">
        <v>0</v>
      </c>
      <c r="L73" s="6" t="b">
        <v>0</v>
      </c>
      <c r="M73" s="6" t="b">
        <v>0</v>
      </c>
      <c r="N73" s="6" t="b">
        <v>0</v>
      </c>
      <c r="O73" s="6" t="b">
        <v>0</v>
      </c>
      <c r="P73" s="6" t="b">
        <v>0</v>
      </c>
      <c r="Q73" s="6" t="b">
        <v>0</v>
      </c>
      <c r="R73" s="6" t="b">
        <v>0</v>
      </c>
      <c r="S73" s="6" t="b">
        <v>0</v>
      </c>
      <c r="T73" s="6" t="b">
        <v>0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0 dari 31 (0%)</v>
      </c>
    </row>
    <row r="74" ht="22.5" customHeight="1">
      <c r="A74" s="10">
        <v>73.0</v>
      </c>
      <c r="B74" s="11"/>
      <c r="C74" s="140"/>
      <c r="D74" s="138"/>
      <c r="E74" s="138"/>
      <c r="F74" s="13"/>
      <c r="G74" s="6" t="b">
        <v>0</v>
      </c>
      <c r="H74" s="6" t="b">
        <v>0</v>
      </c>
      <c r="I74" s="6" t="b">
        <v>0</v>
      </c>
      <c r="J74" s="6" t="b">
        <v>0</v>
      </c>
      <c r="K74" s="6" t="b">
        <v>0</v>
      </c>
      <c r="L74" s="6" t="b">
        <v>0</v>
      </c>
      <c r="M74" s="6" t="b">
        <v>0</v>
      </c>
      <c r="N74" s="6" t="b">
        <v>0</v>
      </c>
      <c r="O74" s="6" t="b">
        <v>0</v>
      </c>
      <c r="P74" s="6" t="b">
        <v>0</v>
      </c>
      <c r="Q74" s="6" t="b">
        <v>0</v>
      </c>
      <c r="R74" s="6" t="b">
        <v>0</v>
      </c>
      <c r="S74" s="6" t="b">
        <v>0</v>
      </c>
      <c r="T74" s="6" t="b">
        <v>0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0</v>
      </c>
      <c r="AJ74" s="6" t="b">
        <v>0</v>
      </c>
      <c r="AK74" s="6" t="b">
        <v>0</v>
      </c>
      <c r="AL74" s="9" t="str">
        <f t="shared" si="1"/>
        <v>0 dari 31 (0%)</v>
      </c>
    </row>
    <row r="75" ht="22.5" customHeight="1">
      <c r="A75" s="10">
        <v>74.0</v>
      </c>
      <c r="B75" s="11"/>
      <c r="C75" s="140"/>
      <c r="D75" s="138"/>
      <c r="E75" s="138"/>
      <c r="F75" s="13"/>
      <c r="G75" s="6" t="b">
        <v>0</v>
      </c>
      <c r="H75" s="6" t="b">
        <v>0</v>
      </c>
      <c r="I75" s="6" t="b">
        <v>0</v>
      </c>
      <c r="J75" s="6" t="b">
        <v>0</v>
      </c>
      <c r="K75" s="6" t="b">
        <v>0</v>
      </c>
      <c r="L75" s="6" t="b">
        <v>0</v>
      </c>
      <c r="M75" s="6" t="b">
        <v>0</v>
      </c>
      <c r="N75" s="6" t="b">
        <v>0</v>
      </c>
      <c r="O75" s="6" t="b">
        <v>0</v>
      </c>
      <c r="P75" s="6" t="b">
        <v>0</v>
      </c>
      <c r="Q75" s="6" t="b">
        <v>0</v>
      </c>
      <c r="R75" s="6" t="b">
        <v>0</v>
      </c>
      <c r="S75" s="6" t="b">
        <v>0</v>
      </c>
      <c r="T75" s="6" t="b">
        <v>0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0 dari 31 (0%)</v>
      </c>
    </row>
    <row r="76" ht="22.5" customHeight="1">
      <c r="A76" s="2">
        <v>75.0</v>
      </c>
      <c r="B76" s="11"/>
      <c r="C76" s="140"/>
      <c r="D76" s="138"/>
      <c r="E76" s="138"/>
      <c r="F76" s="13"/>
      <c r="G76" s="6" t="b">
        <v>0</v>
      </c>
      <c r="H76" s="6" t="b">
        <v>0</v>
      </c>
      <c r="I76" s="6" t="b">
        <v>0</v>
      </c>
      <c r="J76" s="6" t="b">
        <v>0</v>
      </c>
      <c r="K76" s="6" t="b">
        <v>0</v>
      </c>
      <c r="L76" s="6" t="b">
        <v>0</v>
      </c>
      <c r="M76" s="6" t="b">
        <v>0</v>
      </c>
      <c r="N76" s="6" t="b">
        <v>0</v>
      </c>
      <c r="O76" s="6" t="b">
        <v>0</v>
      </c>
      <c r="P76" s="6" t="b">
        <v>0</v>
      </c>
      <c r="Q76" s="6" t="b">
        <v>0</v>
      </c>
      <c r="R76" s="6" t="b">
        <v>0</v>
      </c>
      <c r="S76" s="6" t="b">
        <v>0</v>
      </c>
      <c r="T76" s="6" t="b">
        <v>0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0</v>
      </c>
      <c r="AJ76" s="6" t="b">
        <v>0</v>
      </c>
      <c r="AK76" s="6" t="b">
        <v>0</v>
      </c>
      <c r="AL76" s="9" t="str">
        <f t="shared" si="1"/>
        <v>0 dari 31 (0%)</v>
      </c>
    </row>
    <row r="77" ht="22.5" customHeight="1">
      <c r="A77" s="10">
        <v>76.0</v>
      </c>
      <c r="B77" s="11"/>
      <c r="C77" s="140"/>
      <c r="D77" s="138"/>
      <c r="E77" s="138"/>
      <c r="F77" s="13"/>
      <c r="G77" s="6" t="b">
        <v>0</v>
      </c>
      <c r="H77" s="6" t="b">
        <v>0</v>
      </c>
      <c r="I77" s="6" t="b">
        <v>0</v>
      </c>
      <c r="J77" s="6" t="b">
        <v>0</v>
      </c>
      <c r="K77" s="6" t="b">
        <v>0</v>
      </c>
      <c r="L77" s="6" t="b">
        <v>0</v>
      </c>
      <c r="M77" s="6" t="b">
        <v>0</v>
      </c>
      <c r="N77" s="6" t="b">
        <v>0</v>
      </c>
      <c r="O77" s="6" t="b">
        <v>0</v>
      </c>
      <c r="P77" s="6" t="b">
        <v>0</v>
      </c>
      <c r="Q77" s="6" t="b">
        <v>0</v>
      </c>
      <c r="R77" s="6" t="b">
        <v>0</v>
      </c>
      <c r="S77" s="6" t="b">
        <v>0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0 dari 31 (0%)</v>
      </c>
    </row>
    <row r="78" ht="22.5" customHeight="1">
      <c r="A78" s="10">
        <v>77.0</v>
      </c>
      <c r="B78" s="11"/>
      <c r="C78" s="140"/>
      <c r="D78" s="138"/>
      <c r="E78" s="138"/>
      <c r="F78" s="13"/>
      <c r="G78" s="6" t="b">
        <v>0</v>
      </c>
      <c r="H78" s="6" t="b">
        <v>0</v>
      </c>
      <c r="I78" s="6" t="b">
        <v>0</v>
      </c>
      <c r="J78" s="6" t="b">
        <v>0</v>
      </c>
      <c r="K78" s="6" t="b">
        <v>0</v>
      </c>
      <c r="L78" s="6" t="b">
        <v>0</v>
      </c>
      <c r="M78" s="6" t="b">
        <v>0</v>
      </c>
      <c r="N78" s="6" t="b">
        <v>0</v>
      </c>
      <c r="O78" s="6" t="b">
        <v>0</v>
      </c>
      <c r="P78" s="6" t="b">
        <v>0</v>
      </c>
      <c r="Q78" s="6" t="b">
        <v>0</v>
      </c>
      <c r="R78" s="6" t="b">
        <v>0</v>
      </c>
      <c r="S78" s="6" t="b">
        <v>0</v>
      </c>
      <c r="T78" s="6" t="b">
        <v>0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0</v>
      </c>
      <c r="AJ78" s="6" t="b">
        <v>0</v>
      </c>
      <c r="AK78" s="6" t="b">
        <v>0</v>
      </c>
      <c r="AL78" s="17" t="str">
        <f t="shared" si="1"/>
        <v>0 dari 31 (0%)</v>
      </c>
    </row>
    <row r="79" ht="22.5" customHeight="1">
      <c r="A79" s="2">
        <v>78.0</v>
      </c>
      <c r="B79" s="11"/>
      <c r="C79" s="140"/>
      <c r="D79" s="138"/>
      <c r="E79" s="138"/>
      <c r="F79" s="13"/>
      <c r="G79" s="6" t="b">
        <v>0</v>
      </c>
      <c r="H79" s="6" t="b">
        <v>0</v>
      </c>
      <c r="I79" s="6" t="b">
        <v>0</v>
      </c>
      <c r="J79" s="6" t="b">
        <v>0</v>
      </c>
      <c r="K79" s="6" t="b">
        <v>0</v>
      </c>
      <c r="L79" s="6" t="b">
        <v>0</v>
      </c>
      <c r="M79" s="6" t="b">
        <v>0</v>
      </c>
      <c r="N79" s="6" t="b">
        <v>0</v>
      </c>
      <c r="O79" s="6" t="b">
        <v>0</v>
      </c>
      <c r="P79" s="6" t="b">
        <v>0</v>
      </c>
      <c r="Q79" s="6" t="b">
        <v>0</v>
      </c>
      <c r="R79" s="6" t="b">
        <v>0</v>
      </c>
      <c r="S79" s="6" t="b">
        <v>0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0 dari 31 (0%)</v>
      </c>
    </row>
    <row r="80" ht="22.5" customHeight="1">
      <c r="A80" s="10">
        <v>79.0</v>
      </c>
      <c r="B80" s="11"/>
      <c r="C80" s="140"/>
      <c r="D80" s="138"/>
      <c r="E80" s="138"/>
      <c r="F80" s="13"/>
      <c r="G80" s="6" t="b">
        <v>0</v>
      </c>
      <c r="H80" s="6" t="b">
        <v>0</v>
      </c>
      <c r="I80" s="6" t="b">
        <v>0</v>
      </c>
      <c r="J80" s="6" t="b">
        <v>0</v>
      </c>
      <c r="K80" s="6" t="b">
        <v>0</v>
      </c>
      <c r="L80" s="6" t="b">
        <v>0</v>
      </c>
      <c r="M80" s="6" t="b">
        <v>0</v>
      </c>
      <c r="N80" s="6" t="b">
        <v>0</v>
      </c>
      <c r="O80" s="6" t="b">
        <v>0</v>
      </c>
      <c r="P80" s="6" t="b">
        <v>0</v>
      </c>
      <c r="Q80" s="6" t="b">
        <v>0</v>
      </c>
      <c r="R80" s="6" t="b">
        <v>0</v>
      </c>
      <c r="S80" s="6" t="b">
        <v>0</v>
      </c>
      <c r="T80" s="6" t="b">
        <v>0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0</v>
      </c>
      <c r="AJ80" s="6" t="b">
        <v>0</v>
      </c>
      <c r="AK80" s="6" t="b">
        <v>0</v>
      </c>
      <c r="AL80" s="9" t="str">
        <f t="shared" si="1"/>
        <v>0 dari 31 (0%)</v>
      </c>
    </row>
    <row r="81" ht="22.5" customHeight="1">
      <c r="A81" s="10">
        <v>80.0</v>
      </c>
      <c r="B81" s="11"/>
      <c r="C81" s="140"/>
      <c r="D81" s="138"/>
      <c r="E81" s="138"/>
      <c r="F81" s="13"/>
      <c r="G81" s="6" t="b">
        <v>0</v>
      </c>
      <c r="H81" s="6" t="b">
        <v>0</v>
      </c>
      <c r="I81" s="6" t="b">
        <v>0</v>
      </c>
      <c r="J81" s="6" t="b">
        <v>0</v>
      </c>
      <c r="K81" s="6" t="b">
        <v>0</v>
      </c>
      <c r="L81" s="6" t="b">
        <v>0</v>
      </c>
      <c r="M81" s="6" t="b">
        <v>0</v>
      </c>
      <c r="N81" s="6" t="b">
        <v>0</v>
      </c>
      <c r="O81" s="6" t="b">
        <v>0</v>
      </c>
      <c r="P81" s="6" t="b">
        <v>0</v>
      </c>
      <c r="Q81" s="6" t="b">
        <v>0</v>
      </c>
      <c r="R81" s="6" t="b">
        <v>0</v>
      </c>
      <c r="S81" s="6" t="b">
        <v>0</v>
      </c>
      <c r="T81" s="6" t="b">
        <v>0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0 dari 31 (0%)</v>
      </c>
    </row>
    <row r="82" ht="22.5" customHeight="1">
      <c r="A82" s="2">
        <v>81.0</v>
      </c>
      <c r="B82" s="11"/>
      <c r="C82" s="140"/>
      <c r="D82" s="138"/>
      <c r="E82" s="138"/>
      <c r="F82" s="13"/>
      <c r="G82" s="6" t="b">
        <v>0</v>
      </c>
      <c r="H82" s="6" t="b">
        <v>0</v>
      </c>
      <c r="I82" s="6" t="b">
        <v>0</v>
      </c>
      <c r="J82" s="6" t="b">
        <v>0</v>
      </c>
      <c r="K82" s="6" t="b">
        <v>0</v>
      </c>
      <c r="L82" s="6" t="b">
        <v>0</v>
      </c>
      <c r="M82" s="6" t="b">
        <v>0</v>
      </c>
      <c r="N82" s="6" t="b">
        <v>0</v>
      </c>
      <c r="O82" s="6" t="b">
        <v>0</v>
      </c>
      <c r="P82" s="6" t="b">
        <v>0</v>
      </c>
      <c r="Q82" s="6" t="b">
        <v>0</v>
      </c>
      <c r="R82" s="6" t="b">
        <v>0</v>
      </c>
      <c r="S82" s="6" t="b">
        <v>0</v>
      </c>
      <c r="T82" s="6" t="b">
        <v>0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0</v>
      </c>
      <c r="AJ82" s="6" t="b">
        <v>0</v>
      </c>
      <c r="AK82" s="6" t="b">
        <v>0</v>
      </c>
      <c r="AL82" s="9" t="str">
        <f t="shared" si="1"/>
        <v>0 dari 31 (0%)</v>
      </c>
    </row>
    <row r="83" ht="22.5" customHeight="1">
      <c r="A83" s="10">
        <v>82.0</v>
      </c>
      <c r="B83" s="11"/>
      <c r="C83" s="140"/>
      <c r="D83" s="138"/>
      <c r="E83" s="138"/>
      <c r="F83" s="13"/>
      <c r="G83" s="6" t="b">
        <v>0</v>
      </c>
      <c r="H83" s="6" t="b">
        <v>0</v>
      </c>
      <c r="I83" s="6" t="b">
        <v>0</v>
      </c>
      <c r="J83" s="6" t="b">
        <v>0</v>
      </c>
      <c r="K83" s="6" t="b">
        <v>0</v>
      </c>
      <c r="L83" s="6" t="b">
        <v>0</v>
      </c>
      <c r="M83" s="6" t="b">
        <v>0</v>
      </c>
      <c r="N83" s="6" t="b">
        <v>0</v>
      </c>
      <c r="O83" s="6" t="b">
        <v>0</v>
      </c>
      <c r="P83" s="6" t="b">
        <v>0</v>
      </c>
      <c r="Q83" s="6" t="b">
        <v>0</v>
      </c>
      <c r="R83" s="6" t="b">
        <v>0</v>
      </c>
      <c r="S83" s="6" t="b">
        <v>0</v>
      </c>
      <c r="T83" s="6" t="b">
        <v>0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0</v>
      </c>
      <c r="AJ83" s="6" t="b">
        <v>0</v>
      </c>
      <c r="AK83" s="6" t="b">
        <v>0</v>
      </c>
      <c r="AL83" s="9" t="str">
        <f t="shared" si="1"/>
        <v>0 dari 31 (0%)</v>
      </c>
    </row>
    <row r="84" ht="22.5" customHeight="1">
      <c r="A84" s="10">
        <v>83.0</v>
      </c>
      <c r="B84" s="11"/>
      <c r="C84" s="140"/>
      <c r="D84" s="138"/>
      <c r="E84" s="138"/>
      <c r="F84" s="13"/>
      <c r="G84" s="6" t="b">
        <v>0</v>
      </c>
      <c r="H84" s="6" t="b">
        <v>0</v>
      </c>
      <c r="I84" s="6" t="b">
        <v>0</v>
      </c>
      <c r="J84" s="6" t="b">
        <v>0</v>
      </c>
      <c r="K84" s="6" t="b">
        <v>0</v>
      </c>
      <c r="L84" s="6" t="b">
        <v>0</v>
      </c>
      <c r="M84" s="6" t="b">
        <v>0</v>
      </c>
      <c r="N84" s="6" t="b">
        <v>0</v>
      </c>
      <c r="O84" s="6" t="b">
        <v>0</v>
      </c>
      <c r="P84" s="6" t="b">
        <v>0</v>
      </c>
      <c r="Q84" s="6" t="b">
        <v>0</v>
      </c>
      <c r="R84" s="6" t="b">
        <v>0</v>
      </c>
      <c r="S84" s="6" t="b">
        <v>0</v>
      </c>
      <c r="T84" s="6" t="b">
        <v>0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0 dari 31 (0%)</v>
      </c>
    </row>
    <row r="85" ht="22.5" customHeight="1">
      <c r="A85" s="2">
        <v>84.0</v>
      </c>
      <c r="B85" s="11"/>
      <c r="C85" s="140"/>
      <c r="D85" s="138"/>
      <c r="E85" s="138"/>
      <c r="F85" s="13"/>
      <c r="G85" s="6" t="b">
        <v>0</v>
      </c>
      <c r="H85" s="6" t="b">
        <v>0</v>
      </c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  <c r="P85" s="6" t="b">
        <v>0</v>
      </c>
      <c r="Q85" s="6" t="b">
        <v>0</v>
      </c>
      <c r="R85" s="6" t="b">
        <v>0</v>
      </c>
      <c r="S85" s="6" t="b">
        <v>0</v>
      </c>
      <c r="T85" s="6" t="b">
        <v>0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0</v>
      </c>
      <c r="AJ85" s="6" t="b">
        <v>0</v>
      </c>
      <c r="AK85" s="6" t="b">
        <v>0</v>
      </c>
      <c r="AL85" s="9" t="str">
        <f t="shared" si="1"/>
        <v>0 dari 31 (0%)</v>
      </c>
    </row>
    <row r="86" ht="22.5" customHeight="1">
      <c r="A86" s="10">
        <v>85.0</v>
      </c>
      <c r="B86" s="11"/>
      <c r="C86" s="140"/>
      <c r="D86" s="138"/>
      <c r="E86" s="138"/>
      <c r="F86" s="13"/>
      <c r="G86" s="6" t="b">
        <v>0</v>
      </c>
      <c r="H86" s="6" t="b">
        <v>0</v>
      </c>
      <c r="I86" s="6" t="b">
        <v>0</v>
      </c>
      <c r="J86" s="6" t="b">
        <v>0</v>
      </c>
      <c r="K86" s="6" t="b">
        <v>0</v>
      </c>
      <c r="L86" s="6" t="b">
        <v>0</v>
      </c>
      <c r="M86" s="6" t="b">
        <v>0</v>
      </c>
      <c r="N86" s="6" t="b">
        <v>0</v>
      </c>
      <c r="O86" s="6" t="b">
        <v>0</v>
      </c>
      <c r="P86" s="6" t="b">
        <v>0</v>
      </c>
      <c r="Q86" s="6" t="b">
        <v>0</v>
      </c>
      <c r="R86" s="6" t="b">
        <v>0</v>
      </c>
      <c r="S86" s="6" t="b">
        <v>0</v>
      </c>
      <c r="T86" s="6" t="b">
        <v>0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0 dari 31 (0%)</v>
      </c>
    </row>
    <row r="87" ht="22.5" customHeight="1">
      <c r="A87" s="10">
        <v>86.0</v>
      </c>
      <c r="B87" s="11"/>
      <c r="C87" s="140"/>
      <c r="D87" s="138"/>
      <c r="E87" s="138"/>
      <c r="F87" s="13"/>
      <c r="G87" s="6" t="b">
        <v>0</v>
      </c>
      <c r="H87" s="6" t="b">
        <v>0</v>
      </c>
      <c r="I87" s="6" t="b">
        <v>0</v>
      </c>
      <c r="J87" s="6" t="b">
        <v>0</v>
      </c>
      <c r="K87" s="6" t="b">
        <v>0</v>
      </c>
      <c r="L87" s="6" t="b">
        <v>0</v>
      </c>
      <c r="M87" s="6" t="b">
        <v>0</v>
      </c>
      <c r="N87" s="6" t="b">
        <v>0</v>
      </c>
      <c r="O87" s="6" t="b">
        <v>0</v>
      </c>
      <c r="P87" s="6" t="b">
        <v>0</v>
      </c>
      <c r="Q87" s="6" t="b">
        <v>0</v>
      </c>
      <c r="R87" s="6" t="b">
        <v>0</v>
      </c>
      <c r="S87" s="6" t="b">
        <v>0</v>
      </c>
      <c r="T87" s="6" t="b">
        <v>0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0 dari 31 (0%)</v>
      </c>
    </row>
    <row r="88" ht="22.5" customHeight="1">
      <c r="A88" s="2">
        <v>87.0</v>
      </c>
      <c r="B88" s="11"/>
      <c r="C88" s="140"/>
      <c r="D88" s="138"/>
      <c r="E88" s="138"/>
      <c r="F88" s="13"/>
      <c r="G88" s="6" t="b">
        <v>0</v>
      </c>
      <c r="H88" s="6" t="b">
        <v>0</v>
      </c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  <c r="P88" s="6" t="b">
        <v>0</v>
      </c>
      <c r="Q88" s="6" t="b">
        <v>0</v>
      </c>
      <c r="R88" s="6" t="b">
        <v>0</v>
      </c>
      <c r="S88" s="6" t="b">
        <v>0</v>
      </c>
      <c r="T88" s="6" t="b">
        <v>0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0 dari 31 (0%)</v>
      </c>
    </row>
    <row r="89" ht="22.5" customHeight="1">
      <c r="A89" s="10">
        <v>88.0</v>
      </c>
      <c r="B89" s="11"/>
      <c r="C89" s="140"/>
      <c r="D89" s="138"/>
      <c r="E89" s="138"/>
      <c r="F89" s="13"/>
      <c r="G89" s="6" t="b">
        <v>0</v>
      </c>
      <c r="H89" s="6" t="b">
        <v>0</v>
      </c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6" t="b">
        <v>0</v>
      </c>
      <c r="R89" s="6" t="b">
        <v>0</v>
      </c>
      <c r="S89" s="6" t="b">
        <v>0</v>
      </c>
      <c r="T89" s="6" t="b">
        <v>0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0 dari 31 (0%)</v>
      </c>
    </row>
    <row r="90" ht="22.5" customHeight="1">
      <c r="A90" s="10">
        <v>89.0</v>
      </c>
      <c r="B90" s="11"/>
      <c r="C90" s="140"/>
      <c r="D90" s="138"/>
      <c r="E90" s="138"/>
      <c r="F90" s="13"/>
      <c r="G90" s="6" t="b">
        <v>0</v>
      </c>
      <c r="H90" s="6" t="b">
        <v>0</v>
      </c>
      <c r="I90" s="6" t="b">
        <v>0</v>
      </c>
      <c r="J90" s="6" t="b">
        <v>0</v>
      </c>
      <c r="K90" s="6" t="b">
        <v>0</v>
      </c>
      <c r="L90" s="6" t="b">
        <v>0</v>
      </c>
      <c r="M90" s="6" t="b">
        <v>0</v>
      </c>
      <c r="N90" s="6" t="b">
        <v>0</v>
      </c>
      <c r="O90" s="6" t="b">
        <v>0</v>
      </c>
      <c r="P90" s="6" t="b">
        <v>0</v>
      </c>
      <c r="Q90" s="6" t="b">
        <v>0</v>
      </c>
      <c r="R90" s="6" t="b">
        <v>0</v>
      </c>
      <c r="S90" s="6" t="b">
        <v>0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0 dari 31 (0%)</v>
      </c>
    </row>
    <row r="91" ht="22.5" customHeight="1">
      <c r="A91" s="2">
        <v>90.0</v>
      </c>
      <c r="B91" s="11"/>
      <c r="C91" s="140"/>
      <c r="D91" s="138"/>
      <c r="E91" s="138"/>
      <c r="F91" s="13"/>
      <c r="G91" s="6" t="b">
        <v>0</v>
      </c>
      <c r="H91" s="6" t="b">
        <v>0</v>
      </c>
      <c r="I91" s="6" t="b">
        <v>0</v>
      </c>
      <c r="J91" s="6" t="b">
        <v>0</v>
      </c>
      <c r="K91" s="6" t="b">
        <v>0</v>
      </c>
      <c r="L91" s="6" t="b">
        <v>0</v>
      </c>
      <c r="M91" s="6" t="b">
        <v>0</v>
      </c>
      <c r="N91" s="6" t="b">
        <v>0</v>
      </c>
      <c r="O91" s="6" t="b">
        <v>0</v>
      </c>
      <c r="P91" s="6" t="b">
        <v>0</v>
      </c>
      <c r="Q91" s="6" t="b">
        <v>0</v>
      </c>
      <c r="R91" s="6" t="b">
        <v>0</v>
      </c>
      <c r="S91" s="6" t="b">
        <v>0</v>
      </c>
      <c r="T91" s="6" t="b">
        <v>0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0</v>
      </c>
      <c r="AJ91" s="6" t="b">
        <v>0</v>
      </c>
      <c r="AK91" s="6" t="b">
        <v>0</v>
      </c>
      <c r="AL91" s="9" t="str">
        <f t="shared" si="1"/>
        <v>0 dari 31 (0%)</v>
      </c>
    </row>
    <row r="92" ht="22.5" customHeight="1">
      <c r="A92" s="10">
        <v>91.0</v>
      </c>
      <c r="B92" s="11"/>
      <c r="C92" s="140"/>
      <c r="D92" s="138"/>
      <c r="E92" s="138"/>
      <c r="F92" s="13"/>
      <c r="G92" s="6" t="b">
        <v>0</v>
      </c>
      <c r="H92" s="6" t="b">
        <v>0</v>
      </c>
      <c r="I92" s="6" t="b">
        <v>0</v>
      </c>
      <c r="J92" s="6" t="b">
        <v>0</v>
      </c>
      <c r="K92" s="6" t="b">
        <v>0</v>
      </c>
      <c r="L92" s="6" t="b">
        <v>0</v>
      </c>
      <c r="M92" s="6" t="b">
        <v>0</v>
      </c>
      <c r="N92" s="6" t="b">
        <v>0</v>
      </c>
      <c r="O92" s="6" t="b">
        <v>0</v>
      </c>
      <c r="P92" s="6" t="b">
        <v>0</v>
      </c>
      <c r="Q92" s="6" t="b">
        <v>0</v>
      </c>
      <c r="R92" s="6" t="b">
        <v>0</v>
      </c>
      <c r="S92" s="6" t="b">
        <v>0</v>
      </c>
      <c r="T92" s="6" t="b">
        <v>0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0</v>
      </c>
      <c r="AJ92" s="6" t="b">
        <v>0</v>
      </c>
      <c r="AK92" s="6" t="b">
        <v>0</v>
      </c>
      <c r="AL92" s="9" t="str">
        <f t="shared" si="1"/>
        <v>0 dari 31 (0%)</v>
      </c>
    </row>
    <row r="93" ht="22.5" customHeight="1">
      <c r="A93" s="10">
        <v>92.0</v>
      </c>
      <c r="B93" s="11"/>
      <c r="C93" s="140"/>
      <c r="D93" s="138"/>
      <c r="E93" s="138"/>
      <c r="F93" s="13"/>
      <c r="G93" s="6" t="b">
        <v>0</v>
      </c>
      <c r="H93" s="6" t="b">
        <v>0</v>
      </c>
      <c r="I93" s="6" t="b">
        <v>0</v>
      </c>
      <c r="J93" s="6" t="b">
        <v>0</v>
      </c>
      <c r="K93" s="6" t="b">
        <v>0</v>
      </c>
      <c r="L93" s="6" t="b">
        <v>0</v>
      </c>
      <c r="M93" s="6" t="b">
        <v>0</v>
      </c>
      <c r="N93" s="6" t="b">
        <v>0</v>
      </c>
      <c r="O93" s="6" t="b">
        <v>0</v>
      </c>
      <c r="P93" s="6" t="b">
        <v>0</v>
      </c>
      <c r="Q93" s="6" t="b">
        <v>0</v>
      </c>
      <c r="R93" s="6" t="b">
        <v>0</v>
      </c>
      <c r="S93" s="6" t="b">
        <v>0</v>
      </c>
      <c r="T93" s="6" t="b">
        <v>0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0</v>
      </c>
      <c r="AJ93" s="6" t="b">
        <v>0</v>
      </c>
      <c r="AK93" s="6" t="b">
        <v>0</v>
      </c>
      <c r="AL93" s="17" t="str">
        <f t="shared" si="1"/>
        <v>0 dari 31 (0%)</v>
      </c>
    </row>
    <row r="94" ht="22.5" customHeight="1">
      <c r="A94" s="2">
        <v>93.0</v>
      </c>
      <c r="B94" s="11"/>
      <c r="C94" s="140"/>
      <c r="D94" s="138"/>
      <c r="E94" s="138"/>
      <c r="F94" s="13"/>
      <c r="G94" s="6" t="b">
        <v>0</v>
      </c>
      <c r="H94" s="6" t="b">
        <v>0</v>
      </c>
      <c r="I94" s="6" t="b">
        <v>0</v>
      </c>
      <c r="J94" s="6" t="b">
        <v>0</v>
      </c>
      <c r="K94" s="6" t="b">
        <v>0</v>
      </c>
      <c r="L94" s="6" t="b">
        <v>0</v>
      </c>
      <c r="M94" s="6" t="b">
        <v>0</v>
      </c>
      <c r="N94" s="6" t="b">
        <v>0</v>
      </c>
      <c r="O94" s="6" t="b">
        <v>0</v>
      </c>
      <c r="P94" s="6" t="b">
        <v>0</v>
      </c>
      <c r="Q94" s="6" t="b">
        <v>0</v>
      </c>
      <c r="R94" s="6" t="b">
        <v>0</v>
      </c>
      <c r="S94" s="6" t="b">
        <v>0</v>
      </c>
      <c r="T94" s="6" t="b">
        <v>0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0</v>
      </c>
      <c r="AJ94" s="6" t="b">
        <v>0</v>
      </c>
      <c r="AK94" s="6" t="b">
        <v>0</v>
      </c>
      <c r="AL94" s="9" t="str">
        <f t="shared" si="1"/>
        <v>0 dari 31 (0%)</v>
      </c>
    </row>
    <row r="95" ht="22.5" customHeight="1">
      <c r="A95" s="10">
        <v>94.0</v>
      </c>
      <c r="B95" s="11"/>
      <c r="C95" s="140"/>
      <c r="D95" s="138"/>
      <c r="E95" s="138"/>
      <c r="F95" s="13"/>
      <c r="G95" s="6" t="b">
        <v>0</v>
      </c>
      <c r="H95" s="6" t="b">
        <v>0</v>
      </c>
      <c r="I95" s="6" t="b">
        <v>0</v>
      </c>
      <c r="J95" s="6" t="b">
        <v>0</v>
      </c>
      <c r="K95" s="6" t="b">
        <v>0</v>
      </c>
      <c r="L95" s="6" t="b">
        <v>0</v>
      </c>
      <c r="M95" s="6" t="b">
        <v>0</v>
      </c>
      <c r="N95" s="6" t="b">
        <v>0</v>
      </c>
      <c r="O95" s="6" t="b">
        <v>0</v>
      </c>
      <c r="P95" s="6" t="b">
        <v>0</v>
      </c>
      <c r="Q95" s="6" t="b">
        <v>0</v>
      </c>
      <c r="R95" s="6" t="b">
        <v>0</v>
      </c>
      <c r="S95" s="6" t="b">
        <v>0</v>
      </c>
      <c r="T95" s="6" t="b">
        <v>0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0</v>
      </c>
      <c r="AJ95" s="6" t="b">
        <v>0</v>
      </c>
      <c r="AK95" s="6" t="b">
        <v>0</v>
      </c>
      <c r="AL95" s="9" t="str">
        <f t="shared" si="1"/>
        <v>0 dari 31 (0%)</v>
      </c>
    </row>
    <row r="96" ht="22.5" customHeight="1">
      <c r="A96" s="10">
        <v>95.0</v>
      </c>
      <c r="B96" s="11"/>
      <c r="C96" s="140"/>
      <c r="D96" s="138"/>
      <c r="E96" s="138"/>
      <c r="F96" s="13"/>
      <c r="G96" s="6" t="b">
        <v>0</v>
      </c>
      <c r="H96" s="6" t="b">
        <v>0</v>
      </c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  <c r="P96" s="6" t="b">
        <v>0</v>
      </c>
      <c r="Q96" s="6" t="b">
        <v>0</v>
      </c>
      <c r="R96" s="6" t="b">
        <v>0</v>
      </c>
      <c r="S96" s="6" t="b">
        <v>0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0 dari 31 (0%)</v>
      </c>
    </row>
    <row r="97" ht="22.5" customHeight="1">
      <c r="A97" s="2">
        <v>96.0</v>
      </c>
      <c r="B97" s="11"/>
      <c r="C97" s="140"/>
      <c r="D97" s="138"/>
      <c r="E97" s="138"/>
      <c r="F97" s="13"/>
      <c r="G97" s="6" t="b">
        <v>0</v>
      </c>
      <c r="H97" s="6" t="b">
        <v>0</v>
      </c>
      <c r="I97" s="6" t="b">
        <v>0</v>
      </c>
      <c r="J97" s="6" t="b">
        <v>0</v>
      </c>
      <c r="K97" s="6" t="b">
        <v>0</v>
      </c>
      <c r="L97" s="6" t="b">
        <v>0</v>
      </c>
      <c r="M97" s="6" t="b">
        <v>0</v>
      </c>
      <c r="N97" s="6" t="b">
        <v>0</v>
      </c>
      <c r="O97" s="6" t="b">
        <v>0</v>
      </c>
      <c r="P97" s="6" t="b">
        <v>0</v>
      </c>
      <c r="Q97" s="6" t="b">
        <v>0</v>
      </c>
      <c r="R97" s="6" t="b">
        <v>0</v>
      </c>
      <c r="S97" s="6" t="b">
        <v>0</v>
      </c>
      <c r="T97" s="6" t="b">
        <v>0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0</v>
      </c>
      <c r="AJ97" s="6" t="b">
        <v>0</v>
      </c>
      <c r="AK97" s="6" t="b">
        <v>0</v>
      </c>
      <c r="AL97" s="9" t="str">
        <f t="shared" si="1"/>
        <v>0 dari 31 (0%)</v>
      </c>
    </row>
    <row r="98" ht="22.5" customHeight="1">
      <c r="A98" s="10">
        <v>97.0</v>
      </c>
      <c r="B98" s="11"/>
      <c r="C98" s="140"/>
      <c r="D98" s="138"/>
      <c r="E98" s="138"/>
      <c r="F98" s="13"/>
      <c r="G98" s="6" t="b">
        <v>0</v>
      </c>
      <c r="H98" s="6" t="b">
        <v>0</v>
      </c>
      <c r="I98" s="6" t="b">
        <v>0</v>
      </c>
      <c r="J98" s="6" t="b">
        <v>0</v>
      </c>
      <c r="K98" s="6" t="b">
        <v>0</v>
      </c>
      <c r="L98" s="6" t="b">
        <v>0</v>
      </c>
      <c r="M98" s="6" t="b">
        <v>0</v>
      </c>
      <c r="N98" s="6" t="b">
        <v>0</v>
      </c>
      <c r="O98" s="6" t="b">
        <v>0</v>
      </c>
      <c r="P98" s="6" t="b">
        <v>0</v>
      </c>
      <c r="Q98" s="6" t="b">
        <v>0</v>
      </c>
      <c r="R98" s="6" t="b">
        <v>0</v>
      </c>
      <c r="S98" s="6" t="b">
        <v>0</v>
      </c>
      <c r="T98" s="6" t="b">
        <v>0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0 dari 31 (0%)</v>
      </c>
    </row>
    <row r="99" ht="22.5" customHeight="1">
      <c r="A99" s="10">
        <v>98.0</v>
      </c>
      <c r="B99" s="11"/>
      <c r="C99" s="140"/>
      <c r="D99" s="138"/>
      <c r="E99" s="138"/>
      <c r="F99" s="13"/>
      <c r="G99" s="6" t="b">
        <v>0</v>
      </c>
      <c r="H99" s="6" t="b">
        <v>0</v>
      </c>
      <c r="I99" s="6" t="b">
        <v>0</v>
      </c>
      <c r="J99" s="6" t="b">
        <v>0</v>
      </c>
      <c r="K99" s="6" t="b">
        <v>0</v>
      </c>
      <c r="L99" s="6" t="b">
        <v>0</v>
      </c>
      <c r="M99" s="6" t="b">
        <v>0</v>
      </c>
      <c r="N99" s="6" t="b">
        <v>0</v>
      </c>
      <c r="O99" s="6" t="b">
        <v>0</v>
      </c>
      <c r="P99" s="6" t="b">
        <v>0</v>
      </c>
      <c r="Q99" s="6" t="b">
        <v>0</v>
      </c>
      <c r="R99" s="6" t="b">
        <v>0</v>
      </c>
      <c r="S99" s="6" t="b">
        <v>0</v>
      </c>
      <c r="T99" s="6" t="b">
        <v>0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0 dari 31 (0%)</v>
      </c>
    </row>
    <row r="100" ht="22.5" customHeight="1">
      <c r="A100" s="2">
        <v>99.0</v>
      </c>
      <c r="B100" s="11"/>
      <c r="C100" s="140"/>
      <c r="D100" s="138"/>
      <c r="E100" s="138"/>
      <c r="F100" s="13"/>
      <c r="G100" s="6" t="b">
        <v>0</v>
      </c>
      <c r="H100" s="6" t="b">
        <v>0</v>
      </c>
      <c r="I100" s="6" t="b">
        <v>0</v>
      </c>
      <c r="J100" s="6" t="b">
        <v>0</v>
      </c>
      <c r="K100" s="6" t="b">
        <v>0</v>
      </c>
      <c r="L100" s="6" t="b">
        <v>0</v>
      </c>
      <c r="M100" s="6" t="b">
        <v>0</v>
      </c>
      <c r="N100" s="6" t="b">
        <v>0</v>
      </c>
      <c r="O100" s="6" t="b">
        <v>0</v>
      </c>
      <c r="P100" s="6" t="b">
        <v>0</v>
      </c>
      <c r="Q100" s="6" t="b">
        <v>0</v>
      </c>
      <c r="R100" s="6" t="b">
        <v>0</v>
      </c>
      <c r="S100" s="6" t="b">
        <v>0</v>
      </c>
      <c r="T100" s="6" t="b">
        <v>0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0</v>
      </c>
      <c r="AJ100" s="6" t="b">
        <v>0</v>
      </c>
      <c r="AK100" s="6" t="b">
        <v>0</v>
      </c>
      <c r="AL100" s="9" t="str">
        <f t="shared" si="1"/>
        <v>0 dari 31 (0%)</v>
      </c>
    </row>
    <row r="101" ht="22.5" customHeight="1">
      <c r="A101" s="10">
        <v>100.0</v>
      </c>
      <c r="B101" s="11"/>
      <c r="C101" s="140"/>
      <c r="D101" s="138"/>
      <c r="E101" s="138"/>
      <c r="F101" s="13"/>
      <c r="G101" s="6" t="b">
        <v>0</v>
      </c>
      <c r="H101" s="6" t="b">
        <v>0</v>
      </c>
      <c r="I101" s="6" t="b">
        <v>0</v>
      </c>
      <c r="J101" s="6" t="b">
        <v>0</v>
      </c>
      <c r="K101" s="6" t="b">
        <v>0</v>
      </c>
      <c r="L101" s="6" t="b">
        <v>0</v>
      </c>
      <c r="M101" s="6" t="b">
        <v>0</v>
      </c>
      <c r="N101" s="6" t="b">
        <v>0</v>
      </c>
      <c r="O101" s="6" t="b">
        <v>0</v>
      </c>
      <c r="P101" s="6" t="b">
        <v>0</v>
      </c>
      <c r="Q101" s="6" t="b">
        <v>0</v>
      </c>
      <c r="R101" s="6" t="b">
        <v>0</v>
      </c>
      <c r="S101" s="6" t="b">
        <v>0</v>
      </c>
      <c r="T101" s="6" t="b">
        <v>0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0</v>
      </c>
      <c r="AJ101" s="6" t="b">
        <v>0</v>
      </c>
      <c r="AK101" s="6" t="b">
        <v>0</v>
      </c>
      <c r="AL101" s="9" t="str">
        <f t="shared" si="1"/>
        <v>0 dari 31 (0%)</v>
      </c>
    </row>
    <row r="102" ht="22.5" customHeight="1">
      <c r="A102" s="61">
        <v>101.0</v>
      </c>
      <c r="B102" s="62"/>
      <c r="C102" s="32">
        <v>26769.0</v>
      </c>
      <c r="D102" s="51" t="s">
        <v>40</v>
      </c>
      <c r="E102" s="51" t="s">
        <v>49</v>
      </c>
      <c r="F102" s="136" t="s">
        <v>105</v>
      </c>
      <c r="G102" s="35" t="b">
        <v>0</v>
      </c>
      <c r="H102" s="35" t="b">
        <v>0</v>
      </c>
      <c r="I102" s="35" t="b">
        <v>0</v>
      </c>
      <c r="J102" s="35" t="b">
        <v>0</v>
      </c>
      <c r="K102" s="35" t="b">
        <v>0</v>
      </c>
      <c r="L102" s="35" t="b">
        <v>0</v>
      </c>
      <c r="M102" s="35" t="b">
        <v>0</v>
      </c>
      <c r="N102" s="35" t="b">
        <v>0</v>
      </c>
      <c r="O102" s="35" t="b">
        <v>0</v>
      </c>
      <c r="P102" s="35" t="b">
        <v>0</v>
      </c>
      <c r="Q102" s="35" t="b">
        <v>0</v>
      </c>
      <c r="R102" s="35" t="b">
        <v>0</v>
      </c>
      <c r="S102" s="35" t="b">
        <v>0</v>
      </c>
      <c r="T102" s="35" t="b">
        <v>0</v>
      </c>
      <c r="U102" s="35" t="b">
        <v>0</v>
      </c>
      <c r="V102" s="35" t="b">
        <v>0</v>
      </c>
      <c r="W102" s="35" t="b">
        <v>0</v>
      </c>
      <c r="X102" s="35" t="b">
        <v>0</v>
      </c>
      <c r="Y102" s="35" t="b">
        <v>0</v>
      </c>
      <c r="Z102" s="35" t="b">
        <v>0</v>
      </c>
      <c r="AA102" s="35" t="b">
        <v>0</v>
      </c>
      <c r="AB102" s="35" t="b">
        <v>0</v>
      </c>
      <c r="AC102" s="35" t="b">
        <v>0</v>
      </c>
      <c r="AD102" s="35" t="b">
        <v>0</v>
      </c>
      <c r="AE102" s="35" t="b">
        <v>0</v>
      </c>
      <c r="AF102" s="35" t="b">
        <v>0</v>
      </c>
      <c r="AG102" s="35" t="b">
        <v>0</v>
      </c>
      <c r="AH102" s="35" t="b">
        <v>0</v>
      </c>
      <c r="AI102" s="35" t="b">
        <v>0</v>
      </c>
      <c r="AJ102" s="35" t="b">
        <v>0</v>
      </c>
      <c r="AK102" s="35" t="b">
        <v>0</v>
      </c>
      <c r="AL102" s="64" t="str">
        <f t="shared" si="1"/>
        <v>0 dari 31 (0%)</v>
      </c>
    </row>
    <row r="103" ht="22.5" customHeight="1">
      <c r="A103" s="2">
        <v>102.0</v>
      </c>
      <c r="B103" s="11"/>
      <c r="C103" s="22">
        <v>32441.0</v>
      </c>
      <c r="D103" s="12" t="s">
        <v>74</v>
      </c>
      <c r="E103" s="12" t="s">
        <v>104</v>
      </c>
      <c r="F103" s="13"/>
      <c r="G103" s="6" t="b">
        <v>0</v>
      </c>
      <c r="H103" s="6" t="b">
        <v>0</v>
      </c>
      <c r="I103" s="6" t="b">
        <v>0</v>
      </c>
      <c r="J103" s="6" t="b">
        <v>0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  <c r="P103" s="6" t="b">
        <v>0</v>
      </c>
      <c r="Q103" s="6" t="b">
        <v>0</v>
      </c>
      <c r="R103" s="6" t="b">
        <v>0</v>
      </c>
      <c r="S103" s="6" t="b">
        <v>0</v>
      </c>
      <c r="T103" s="6" t="b">
        <v>0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0 dari 31 (0%)</v>
      </c>
    </row>
    <row r="104" ht="22.5" customHeight="1">
      <c r="A104" s="10">
        <v>103.0</v>
      </c>
      <c r="B104" s="11"/>
      <c r="C104" s="22">
        <v>57803.0</v>
      </c>
      <c r="D104" s="12" t="s">
        <v>54</v>
      </c>
      <c r="E104" s="12" t="s">
        <v>62</v>
      </c>
      <c r="F104" s="13"/>
      <c r="G104" s="6" t="b">
        <v>0</v>
      </c>
      <c r="H104" s="6" t="b">
        <v>0</v>
      </c>
      <c r="I104" s="6" t="b">
        <v>0</v>
      </c>
      <c r="J104" s="6" t="b">
        <v>0</v>
      </c>
      <c r="K104" s="6" t="b">
        <v>0</v>
      </c>
      <c r="L104" s="6" t="b">
        <v>0</v>
      </c>
      <c r="M104" s="6" t="b">
        <v>0</v>
      </c>
      <c r="N104" s="6" t="b">
        <v>0</v>
      </c>
      <c r="O104" s="6" t="b">
        <v>0</v>
      </c>
      <c r="P104" s="6" t="b">
        <v>0</v>
      </c>
      <c r="Q104" s="6" t="b">
        <v>0</v>
      </c>
      <c r="R104" s="6" t="b">
        <v>0</v>
      </c>
      <c r="S104" s="6" t="b">
        <v>0</v>
      </c>
      <c r="T104" s="6" t="b">
        <v>0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0</v>
      </c>
      <c r="AJ104" s="6" t="b">
        <v>0</v>
      </c>
      <c r="AK104" s="6" t="b">
        <v>0</v>
      </c>
      <c r="AL104" s="9" t="str">
        <f t="shared" si="1"/>
        <v>0 dari 31 (0%)</v>
      </c>
    </row>
    <row r="105" ht="22.5" customHeight="1">
      <c r="A105" s="61">
        <v>104.0</v>
      </c>
      <c r="B105" s="62"/>
      <c r="C105" s="32">
        <v>61160.0</v>
      </c>
      <c r="D105" s="51" t="s">
        <v>54</v>
      </c>
      <c r="E105" s="51" t="s">
        <v>62</v>
      </c>
      <c r="F105" s="53"/>
      <c r="G105" s="35" t="b">
        <v>0</v>
      </c>
      <c r="H105" s="35" t="b">
        <v>0</v>
      </c>
      <c r="I105" s="35" t="b">
        <v>0</v>
      </c>
      <c r="J105" s="35" t="b">
        <v>0</v>
      </c>
      <c r="K105" s="35" t="b">
        <v>0</v>
      </c>
      <c r="L105" s="35" t="b">
        <v>0</v>
      </c>
      <c r="M105" s="35" t="b">
        <v>0</v>
      </c>
      <c r="N105" s="35" t="b">
        <v>0</v>
      </c>
      <c r="O105" s="35" t="b">
        <v>0</v>
      </c>
      <c r="P105" s="35" t="b">
        <v>0</v>
      </c>
      <c r="Q105" s="35" t="b">
        <v>0</v>
      </c>
      <c r="R105" s="35" t="b">
        <v>0</v>
      </c>
      <c r="S105" s="35" t="b">
        <v>0</v>
      </c>
      <c r="T105" s="35" t="b">
        <v>0</v>
      </c>
      <c r="U105" s="35" t="b">
        <v>0</v>
      </c>
      <c r="V105" s="35" t="b">
        <v>0</v>
      </c>
      <c r="W105" s="35" t="b">
        <v>0</v>
      </c>
      <c r="X105" s="35" t="b">
        <v>0</v>
      </c>
      <c r="Y105" s="35" t="b">
        <v>0</v>
      </c>
      <c r="Z105" s="35" t="b">
        <v>0</v>
      </c>
      <c r="AA105" s="35" t="b">
        <v>0</v>
      </c>
      <c r="AB105" s="35" t="b">
        <v>0</v>
      </c>
      <c r="AC105" s="35" t="b">
        <v>0</v>
      </c>
      <c r="AD105" s="35" t="b">
        <v>0</v>
      </c>
      <c r="AE105" s="35" t="b">
        <v>0</v>
      </c>
      <c r="AF105" s="35" t="b">
        <v>0</v>
      </c>
      <c r="AG105" s="35" t="b">
        <v>0</v>
      </c>
      <c r="AH105" s="35" t="b">
        <v>0</v>
      </c>
      <c r="AI105" s="35" t="b">
        <v>0</v>
      </c>
      <c r="AJ105" s="35" t="b">
        <v>0</v>
      </c>
      <c r="AK105" s="35" t="b">
        <v>0</v>
      </c>
      <c r="AL105" s="64" t="str">
        <f t="shared" si="1"/>
        <v>0 dari 31 (0%)</v>
      </c>
    </row>
    <row r="106" ht="22.5" customHeight="1">
      <c r="A106" s="2">
        <v>105.0</v>
      </c>
      <c r="B106" s="11"/>
      <c r="C106" s="22">
        <v>61447.0</v>
      </c>
      <c r="D106" s="12" t="s">
        <v>51</v>
      </c>
      <c r="E106" s="12" t="s">
        <v>61</v>
      </c>
      <c r="F106" s="13"/>
      <c r="G106" s="6" t="b">
        <v>0</v>
      </c>
      <c r="H106" s="6" t="b">
        <v>0</v>
      </c>
      <c r="I106" s="6" t="b">
        <v>0</v>
      </c>
      <c r="J106" s="6" t="b">
        <v>0</v>
      </c>
      <c r="K106" s="6" t="b">
        <v>0</v>
      </c>
      <c r="L106" s="6" t="b">
        <v>0</v>
      </c>
      <c r="M106" s="6" t="b">
        <v>0</v>
      </c>
      <c r="N106" s="6" t="b">
        <v>0</v>
      </c>
      <c r="O106" s="6" t="b">
        <v>0</v>
      </c>
      <c r="P106" s="6" t="b">
        <v>0</v>
      </c>
      <c r="Q106" s="6" t="b">
        <v>0</v>
      </c>
      <c r="R106" s="6" t="b">
        <v>0</v>
      </c>
      <c r="S106" s="6" t="b">
        <v>0</v>
      </c>
      <c r="T106" s="6" t="b">
        <v>0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0</v>
      </c>
      <c r="AJ106" s="6" t="b">
        <v>0</v>
      </c>
      <c r="AK106" s="6" t="b">
        <v>0</v>
      </c>
      <c r="AL106" s="9" t="str">
        <f t="shared" si="1"/>
        <v>0 dari 31 (0%)</v>
      </c>
    </row>
    <row r="107" ht="22.5" customHeight="1">
      <c r="A107" s="10">
        <v>106.0</v>
      </c>
      <c r="B107" s="11"/>
      <c r="C107" s="22">
        <v>32913.0</v>
      </c>
      <c r="D107" s="12" t="s">
        <v>54</v>
      </c>
      <c r="E107" s="12" t="s">
        <v>82</v>
      </c>
      <c r="F107" s="13"/>
      <c r="G107" s="6" t="b">
        <v>0</v>
      </c>
      <c r="H107" s="6" t="b">
        <v>0</v>
      </c>
      <c r="I107" s="6" t="b">
        <v>0</v>
      </c>
      <c r="J107" s="6" t="b">
        <v>0</v>
      </c>
      <c r="K107" s="6" t="b">
        <v>0</v>
      </c>
      <c r="L107" s="6" t="b">
        <v>0</v>
      </c>
      <c r="M107" s="6" t="b">
        <v>0</v>
      </c>
      <c r="N107" s="6" t="b">
        <v>0</v>
      </c>
      <c r="O107" s="6" t="b">
        <v>0</v>
      </c>
      <c r="P107" s="6" t="b">
        <v>0</v>
      </c>
      <c r="Q107" s="6" t="b">
        <v>0</v>
      </c>
      <c r="R107" s="6" t="b">
        <v>0</v>
      </c>
      <c r="S107" s="6" t="b">
        <v>0</v>
      </c>
      <c r="T107" s="6" t="b">
        <v>0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0</v>
      </c>
      <c r="AJ107" s="6" t="b">
        <v>0</v>
      </c>
      <c r="AK107" s="6" t="b">
        <v>0</v>
      </c>
      <c r="AL107" s="9" t="str">
        <f t="shared" si="1"/>
        <v>0 dari 31 (0%)</v>
      </c>
    </row>
    <row r="108" ht="22.5" customHeight="1">
      <c r="A108" s="10">
        <v>107.0</v>
      </c>
      <c r="B108" s="11"/>
      <c r="C108" s="22">
        <v>61450.0</v>
      </c>
      <c r="D108" s="12" t="s">
        <v>74</v>
      </c>
      <c r="E108" s="12" t="s">
        <v>104</v>
      </c>
      <c r="F108" s="13"/>
      <c r="G108" s="6" t="b">
        <v>0</v>
      </c>
      <c r="H108" s="6" t="b">
        <v>0</v>
      </c>
      <c r="I108" s="6" t="b">
        <v>0</v>
      </c>
      <c r="J108" s="6" t="b">
        <v>0</v>
      </c>
      <c r="K108" s="6" t="b">
        <v>0</v>
      </c>
      <c r="L108" s="6" t="b">
        <v>0</v>
      </c>
      <c r="M108" s="6" t="b">
        <v>0</v>
      </c>
      <c r="N108" s="6" t="b">
        <v>0</v>
      </c>
      <c r="O108" s="6" t="b">
        <v>0</v>
      </c>
      <c r="P108" s="6" t="b">
        <v>0</v>
      </c>
      <c r="Q108" s="6" t="b">
        <v>0</v>
      </c>
      <c r="R108" s="6" t="b">
        <v>0</v>
      </c>
      <c r="S108" s="6" t="b">
        <v>0</v>
      </c>
      <c r="T108" s="6" t="b">
        <v>0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0</v>
      </c>
      <c r="AJ108" s="6" t="b">
        <v>0</v>
      </c>
      <c r="AK108" s="6" t="b">
        <v>0</v>
      </c>
      <c r="AL108" s="17" t="str">
        <f t="shared" si="1"/>
        <v>0 dari 31 (0%)</v>
      </c>
    </row>
    <row r="109" ht="22.5" customHeight="1">
      <c r="A109" s="2">
        <v>108.0</v>
      </c>
      <c r="B109" s="11"/>
      <c r="C109" s="22">
        <v>60469.0</v>
      </c>
      <c r="D109" s="12" t="s">
        <v>39</v>
      </c>
      <c r="E109" s="12" t="s">
        <v>42</v>
      </c>
      <c r="F109" s="13"/>
      <c r="G109" s="6" t="b">
        <v>0</v>
      </c>
      <c r="H109" s="6" t="b">
        <v>0</v>
      </c>
      <c r="I109" s="6" t="b">
        <v>0</v>
      </c>
      <c r="J109" s="6" t="b">
        <v>0</v>
      </c>
      <c r="K109" s="6" t="b">
        <v>0</v>
      </c>
      <c r="L109" s="6" t="b">
        <v>0</v>
      </c>
      <c r="M109" s="6" t="b">
        <v>0</v>
      </c>
      <c r="N109" s="6" t="b">
        <v>0</v>
      </c>
      <c r="O109" s="6" t="b">
        <v>0</v>
      </c>
      <c r="P109" s="6" t="b">
        <v>0</v>
      </c>
      <c r="Q109" s="6" t="b">
        <v>0</v>
      </c>
      <c r="R109" s="6" t="b">
        <v>0</v>
      </c>
      <c r="S109" s="6" t="b">
        <v>0</v>
      </c>
      <c r="T109" s="6" t="b">
        <v>0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0</v>
      </c>
      <c r="AJ109" s="6" t="b">
        <v>0</v>
      </c>
      <c r="AK109" s="6" t="b">
        <v>0</v>
      </c>
      <c r="AL109" s="9" t="str">
        <f t="shared" si="1"/>
        <v>0 dari 31 (0%)</v>
      </c>
    </row>
    <row r="110" ht="22.5" customHeight="1">
      <c r="A110" s="10">
        <v>109.0</v>
      </c>
      <c r="B110" s="11"/>
      <c r="C110" s="20">
        <v>61449.0</v>
      </c>
      <c r="D110" s="12" t="s">
        <v>63</v>
      </c>
      <c r="E110" s="12" t="s">
        <v>64</v>
      </c>
      <c r="F110" s="13"/>
      <c r="G110" s="6" t="b">
        <v>0</v>
      </c>
      <c r="H110" s="6" t="b">
        <v>0</v>
      </c>
      <c r="I110" s="6" t="b">
        <v>0</v>
      </c>
      <c r="J110" s="6" t="b">
        <v>0</v>
      </c>
      <c r="K110" s="6" t="b">
        <v>0</v>
      </c>
      <c r="L110" s="6" t="b">
        <v>0</v>
      </c>
      <c r="M110" s="6" t="b">
        <v>0</v>
      </c>
      <c r="N110" s="6" t="b">
        <v>0</v>
      </c>
      <c r="O110" s="6" t="b">
        <v>0</v>
      </c>
      <c r="P110" s="6" t="b">
        <v>0</v>
      </c>
      <c r="Q110" s="6" t="b">
        <v>0</v>
      </c>
      <c r="R110" s="6" t="b">
        <v>0</v>
      </c>
      <c r="S110" s="6" t="b">
        <v>0</v>
      </c>
      <c r="T110" s="6" t="b">
        <v>0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0</v>
      </c>
      <c r="AJ110" s="6" t="b">
        <v>0</v>
      </c>
      <c r="AK110" s="6" t="b">
        <v>0</v>
      </c>
      <c r="AL110" s="9" t="str">
        <f t="shared" si="1"/>
        <v>0 dari 31 (0%)</v>
      </c>
    </row>
    <row r="111" ht="22.5" customHeight="1">
      <c r="A111" s="10">
        <v>110.0</v>
      </c>
      <c r="B111" s="11"/>
      <c r="C111" s="20">
        <v>57868.0</v>
      </c>
      <c r="D111" s="12" t="s">
        <v>80</v>
      </c>
      <c r="E111" s="12" t="s">
        <v>159</v>
      </c>
      <c r="F111" s="13"/>
      <c r="G111" s="6" t="b">
        <v>0</v>
      </c>
      <c r="H111" s="6" t="b">
        <v>0</v>
      </c>
      <c r="I111" s="6" t="b">
        <v>0</v>
      </c>
      <c r="J111" s="6" t="b">
        <v>0</v>
      </c>
      <c r="K111" s="6" t="b">
        <v>0</v>
      </c>
      <c r="L111" s="6" t="b">
        <v>0</v>
      </c>
      <c r="M111" s="6" t="b">
        <v>0</v>
      </c>
      <c r="N111" s="6" t="b">
        <v>0</v>
      </c>
      <c r="O111" s="6" t="b">
        <v>0</v>
      </c>
      <c r="P111" s="6" t="b">
        <v>0</v>
      </c>
      <c r="Q111" s="6" t="b">
        <v>0</v>
      </c>
      <c r="R111" s="6" t="b">
        <v>0</v>
      </c>
      <c r="S111" s="6" t="b">
        <v>0</v>
      </c>
      <c r="T111" s="6" t="b">
        <v>0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0</v>
      </c>
      <c r="AJ111" s="6" t="b">
        <v>0</v>
      </c>
      <c r="AK111" s="6" t="b">
        <v>0</v>
      </c>
      <c r="AL111" s="17" t="str">
        <f t="shared" si="1"/>
        <v>0 dari 31 (0%)</v>
      </c>
    </row>
    <row r="112" ht="22.5" customHeight="1">
      <c r="A112" s="2">
        <v>111.0</v>
      </c>
      <c r="B112" s="11"/>
      <c r="C112" s="140"/>
      <c r="D112" s="138"/>
      <c r="E112" s="138"/>
      <c r="F112" s="13"/>
      <c r="G112" s="6" t="b">
        <v>0</v>
      </c>
      <c r="H112" s="6" t="b">
        <v>0</v>
      </c>
      <c r="I112" s="6" t="b">
        <v>0</v>
      </c>
      <c r="J112" s="6" t="b">
        <v>0</v>
      </c>
      <c r="K112" s="6" t="b">
        <v>0</v>
      </c>
      <c r="L112" s="6" t="b">
        <v>0</v>
      </c>
      <c r="M112" s="6" t="b">
        <v>0</v>
      </c>
      <c r="N112" s="6" t="b">
        <v>0</v>
      </c>
      <c r="O112" s="6" t="b">
        <v>0</v>
      </c>
      <c r="P112" s="6" t="b">
        <v>0</v>
      </c>
      <c r="Q112" s="6" t="b">
        <v>0</v>
      </c>
      <c r="R112" s="6" t="b">
        <v>0</v>
      </c>
      <c r="S112" s="6" t="b">
        <v>0</v>
      </c>
      <c r="T112" s="6" t="b">
        <v>0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0</v>
      </c>
      <c r="AJ112" s="6" t="b">
        <v>0</v>
      </c>
      <c r="AK112" s="6" t="b">
        <v>0</v>
      </c>
      <c r="AL112" s="9" t="str">
        <f t="shared" si="1"/>
        <v>0 dari 31 (0%)</v>
      </c>
    </row>
    <row r="113" ht="22.5" customHeight="1">
      <c r="A113" s="10">
        <v>112.0</v>
      </c>
      <c r="B113" s="11"/>
      <c r="C113" s="140"/>
      <c r="D113" s="138"/>
      <c r="E113" s="138"/>
      <c r="F113" s="13"/>
      <c r="G113" s="6" t="b">
        <v>0</v>
      </c>
      <c r="H113" s="6" t="b">
        <v>0</v>
      </c>
      <c r="I113" s="6" t="b">
        <v>0</v>
      </c>
      <c r="J113" s="6" t="b">
        <v>0</v>
      </c>
      <c r="K113" s="6" t="b">
        <v>0</v>
      </c>
      <c r="L113" s="6" t="b">
        <v>0</v>
      </c>
      <c r="M113" s="6" t="b">
        <v>0</v>
      </c>
      <c r="N113" s="6" t="b">
        <v>0</v>
      </c>
      <c r="O113" s="6" t="b">
        <v>0</v>
      </c>
      <c r="P113" s="6" t="b">
        <v>0</v>
      </c>
      <c r="Q113" s="6" t="b">
        <v>0</v>
      </c>
      <c r="R113" s="6" t="b">
        <v>0</v>
      </c>
      <c r="S113" s="6" t="b">
        <v>0</v>
      </c>
      <c r="T113" s="6" t="b">
        <v>0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0</v>
      </c>
      <c r="AJ113" s="6" t="b">
        <v>0</v>
      </c>
      <c r="AK113" s="6" t="b">
        <v>0</v>
      </c>
      <c r="AL113" s="9" t="str">
        <f t="shared" si="1"/>
        <v>0 dari 31 (0%)</v>
      </c>
    </row>
    <row r="114" ht="22.5" customHeight="1">
      <c r="A114" s="10">
        <v>113.0</v>
      </c>
      <c r="B114" s="11"/>
      <c r="C114" s="140"/>
      <c r="D114" s="138"/>
      <c r="E114" s="138"/>
      <c r="F114" s="13"/>
      <c r="G114" s="6" t="b">
        <v>0</v>
      </c>
      <c r="H114" s="6" t="b">
        <v>0</v>
      </c>
      <c r="I114" s="6" t="b">
        <v>0</v>
      </c>
      <c r="J114" s="6" t="b">
        <v>0</v>
      </c>
      <c r="K114" s="6" t="b">
        <v>0</v>
      </c>
      <c r="L114" s="6" t="b">
        <v>0</v>
      </c>
      <c r="M114" s="6" t="b">
        <v>0</v>
      </c>
      <c r="N114" s="6" t="b">
        <v>0</v>
      </c>
      <c r="O114" s="6" t="b">
        <v>0</v>
      </c>
      <c r="P114" s="6" t="b">
        <v>0</v>
      </c>
      <c r="Q114" s="6" t="b">
        <v>0</v>
      </c>
      <c r="R114" s="6" t="b">
        <v>0</v>
      </c>
      <c r="S114" s="6" t="b">
        <v>0</v>
      </c>
      <c r="T114" s="6" t="b">
        <v>0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0</v>
      </c>
      <c r="AJ114" s="6" t="b">
        <v>0</v>
      </c>
      <c r="AK114" s="6" t="b">
        <v>0</v>
      </c>
      <c r="AL114" s="17" t="str">
        <f t="shared" si="1"/>
        <v>0 dari 31 (0%)</v>
      </c>
    </row>
    <row r="115" ht="22.5" customHeight="1">
      <c r="A115" s="2">
        <v>114.0</v>
      </c>
      <c r="B115" s="11"/>
      <c r="C115" s="140"/>
      <c r="D115" s="138"/>
      <c r="E115" s="138"/>
      <c r="F115" s="13"/>
      <c r="G115" s="6" t="b">
        <v>0</v>
      </c>
      <c r="H115" s="6" t="b">
        <v>0</v>
      </c>
      <c r="I115" s="6" t="b">
        <v>0</v>
      </c>
      <c r="J115" s="6" t="b">
        <v>0</v>
      </c>
      <c r="K115" s="6" t="b">
        <v>0</v>
      </c>
      <c r="L115" s="6" t="b">
        <v>0</v>
      </c>
      <c r="M115" s="6" t="b">
        <v>0</v>
      </c>
      <c r="N115" s="6" t="b">
        <v>0</v>
      </c>
      <c r="O115" s="6" t="b">
        <v>0</v>
      </c>
      <c r="P115" s="6" t="b">
        <v>0</v>
      </c>
      <c r="Q115" s="6" t="b">
        <v>0</v>
      </c>
      <c r="R115" s="6" t="b">
        <v>0</v>
      </c>
      <c r="S115" s="6" t="b">
        <v>0</v>
      </c>
      <c r="T115" s="6" t="b">
        <v>0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0 dari 31 (0%)</v>
      </c>
    </row>
    <row r="116" ht="22.5" customHeight="1">
      <c r="A116" s="10">
        <v>115.0</v>
      </c>
      <c r="B116" s="11"/>
      <c r="C116" s="140"/>
      <c r="D116" s="138"/>
      <c r="E116" s="138"/>
      <c r="F116" s="13"/>
      <c r="G116" s="6" t="b">
        <v>0</v>
      </c>
      <c r="H116" s="6" t="b">
        <v>0</v>
      </c>
      <c r="I116" s="6" t="b">
        <v>0</v>
      </c>
      <c r="J116" s="6" t="b">
        <v>0</v>
      </c>
      <c r="K116" s="6" t="b">
        <v>0</v>
      </c>
      <c r="L116" s="6" t="b">
        <v>0</v>
      </c>
      <c r="M116" s="6" t="b">
        <v>0</v>
      </c>
      <c r="N116" s="6" t="b">
        <v>0</v>
      </c>
      <c r="O116" s="6" t="b">
        <v>0</v>
      </c>
      <c r="P116" s="6" t="b">
        <v>0</v>
      </c>
      <c r="Q116" s="6" t="b">
        <v>0</v>
      </c>
      <c r="R116" s="6" t="b">
        <v>0</v>
      </c>
      <c r="S116" s="6" t="b">
        <v>0</v>
      </c>
      <c r="T116" s="6" t="b">
        <v>0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0</v>
      </c>
      <c r="AJ116" s="6" t="b">
        <v>0</v>
      </c>
      <c r="AK116" s="6" t="b">
        <v>0</v>
      </c>
      <c r="AL116" s="9" t="str">
        <f t="shared" si="1"/>
        <v>0 dari 31 (0%)</v>
      </c>
    </row>
    <row r="117" ht="22.5" customHeight="1">
      <c r="A117" s="10">
        <v>116.0</v>
      </c>
      <c r="B117" s="11"/>
      <c r="C117" s="140"/>
      <c r="D117" s="138"/>
      <c r="E117" s="138"/>
      <c r="F117" s="13"/>
      <c r="G117" s="6" t="b">
        <v>0</v>
      </c>
      <c r="H117" s="6" t="b">
        <v>0</v>
      </c>
      <c r="I117" s="6" t="b">
        <v>0</v>
      </c>
      <c r="J117" s="6" t="b">
        <v>0</v>
      </c>
      <c r="K117" s="6" t="b">
        <v>0</v>
      </c>
      <c r="L117" s="6" t="b">
        <v>0</v>
      </c>
      <c r="M117" s="6" t="b">
        <v>0</v>
      </c>
      <c r="N117" s="6" t="b">
        <v>0</v>
      </c>
      <c r="O117" s="6" t="b">
        <v>0</v>
      </c>
      <c r="P117" s="6" t="b">
        <v>0</v>
      </c>
      <c r="Q117" s="6" t="b">
        <v>0</v>
      </c>
      <c r="R117" s="6" t="b">
        <v>0</v>
      </c>
      <c r="S117" s="6" t="b">
        <v>0</v>
      </c>
      <c r="T117" s="6" t="b">
        <v>0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0</v>
      </c>
      <c r="AJ117" s="6" t="b">
        <v>0</v>
      </c>
      <c r="AK117" s="6" t="b">
        <v>0</v>
      </c>
      <c r="AL117" s="17" t="str">
        <f t="shared" si="1"/>
        <v>0 dari 31 (0%)</v>
      </c>
    </row>
    <row r="118" ht="22.5" customHeight="1">
      <c r="A118" s="2">
        <v>117.0</v>
      </c>
      <c r="B118" s="11"/>
      <c r="C118" s="140"/>
      <c r="D118" s="138"/>
      <c r="E118" s="138"/>
      <c r="F118" s="13"/>
      <c r="G118" s="6" t="b">
        <v>0</v>
      </c>
      <c r="H118" s="6" t="b">
        <v>0</v>
      </c>
      <c r="I118" s="6" t="b">
        <v>0</v>
      </c>
      <c r="J118" s="6" t="b">
        <v>0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  <c r="P118" s="6" t="b">
        <v>0</v>
      </c>
      <c r="Q118" s="6" t="b">
        <v>0</v>
      </c>
      <c r="R118" s="6" t="b">
        <v>0</v>
      </c>
      <c r="S118" s="6" t="b">
        <v>0</v>
      </c>
      <c r="T118" s="6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0</v>
      </c>
      <c r="AJ118" s="6" t="b">
        <v>0</v>
      </c>
      <c r="AK118" s="6" t="b">
        <v>0</v>
      </c>
      <c r="AL118" s="9" t="str">
        <f t="shared" si="1"/>
        <v>0 dari 31 (0%)</v>
      </c>
    </row>
    <row r="119" ht="22.5" customHeight="1">
      <c r="A119" s="10">
        <v>118.0</v>
      </c>
      <c r="B119" s="11"/>
      <c r="C119" s="140"/>
      <c r="D119" s="138"/>
      <c r="E119" s="138"/>
      <c r="F119" s="13"/>
      <c r="G119" s="6" t="b">
        <v>0</v>
      </c>
      <c r="H119" s="6" t="b">
        <v>0</v>
      </c>
      <c r="I119" s="6" t="b">
        <v>0</v>
      </c>
      <c r="J119" s="6" t="b">
        <v>0</v>
      </c>
      <c r="K119" s="6" t="b">
        <v>0</v>
      </c>
      <c r="L119" s="6" t="b">
        <v>0</v>
      </c>
      <c r="M119" s="6" t="b">
        <v>0</v>
      </c>
      <c r="N119" s="6" t="b">
        <v>0</v>
      </c>
      <c r="O119" s="6" t="b">
        <v>0</v>
      </c>
      <c r="P119" s="6" t="b">
        <v>0</v>
      </c>
      <c r="Q119" s="6" t="b">
        <v>0</v>
      </c>
      <c r="R119" s="6" t="b">
        <v>0</v>
      </c>
      <c r="S119" s="6" t="b">
        <v>0</v>
      </c>
      <c r="T119" s="6" t="b">
        <v>0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0</v>
      </c>
      <c r="AA119" s="6" t="b">
        <v>0</v>
      </c>
      <c r="AB119" s="6" t="b">
        <v>0</v>
      </c>
      <c r="AC119" s="6" t="b">
        <v>0</v>
      </c>
      <c r="AD119" s="6" t="b">
        <v>0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0</v>
      </c>
      <c r="AJ119" s="6" t="b">
        <v>0</v>
      </c>
      <c r="AK119" s="6" t="b">
        <v>0</v>
      </c>
      <c r="AL119" s="9" t="str">
        <f t="shared" si="1"/>
        <v>0 dari 31 (0%)</v>
      </c>
    </row>
    <row r="120" ht="22.5" customHeight="1">
      <c r="A120" s="10">
        <v>119.0</v>
      </c>
      <c r="B120" s="11"/>
      <c r="C120" s="140"/>
      <c r="D120" s="138"/>
      <c r="E120" s="138"/>
      <c r="F120" s="13"/>
      <c r="G120" s="6" t="b">
        <v>0</v>
      </c>
      <c r="H120" s="6" t="b">
        <v>0</v>
      </c>
      <c r="I120" s="6" t="b">
        <v>0</v>
      </c>
      <c r="J120" s="6" t="b">
        <v>0</v>
      </c>
      <c r="K120" s="6" t="b">
        <v>0</v>
      </c>
      <c r="L120" s="6" t="b">
        <v>0</v>
      </c>
      <c r="M120" s="6" t="b">
        <v>0</v>
      </c>
      <c r="N120" s="6" t="b">
        <v>0</v>
      </c>
      <c r="O120" s="6" t="b">
        <v>0</v>
      </c>
      <c r="P120" s="6" t="b">
        <v>0</v>
      </c>
      <c r="Q120" s="6" t="b">
        <v>0</v>
      </c>
      <c r="R120" s="6" t="b">
        <v>0</v>
      </c>
      <c r="S120" s="6" t="b">
        <v>0</v>
      </c>
      <c r="T120" s="6" t="b">
        <v>0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0</v>
      </c>
      <c r="AJ120" s="6" t="b">
        <v>0</v>
      </c>
      <c r="AK120" s="6" t="b">
        <v>0</v>
      </c>
      <c r="AL120" s="17" t="str">
        <f t="shared" si="1"/>
        <v>0 dari 31 (0%)</v>
      </c>
    </row>
    <row r="121" ht="22.5" customHeight="1">
      <c r="A121" s="2">
        <v>120.0</v>
      </c>
      <c r="B121" s="11"/>
      <c r="C121" s="140"/>
      <c r="D121" s="138"/>
      <c r="E121" s="138"/>
      <c r="F121" s="13"/>
      <c r="G121" s="6" t="b">
        <v>0</v>
      </c>
      <c r="H121" s="6" t="b">
        <v>0</v>
      </c>
      <c r="I121" s="6" t="b">
        <v>0</v>
      </c>
      <c r="J121" s="6" t="b">
        <v>0</v>
      </c>
      <c r="K121" s="6" t="b">
        <v>0</v>
      </c>
      <c r="L121" s="6" t="b">
        <v>0</v>
      </c>
      <c r="M121" s="6" t="b">
        <v>0</v>
      </c>
      <c r="N121" s="6" t="b">
        <v>0</v>
      </c>
      <c r="O121" s="6" t="b">
        <v>0</v>
      </c>
      <c r="P121" s="6" t="b">
        <v>0</v>
      </c>
      <c r="Q121" s="6" t="b">
        <v>0</v>
      </c>
      <c r="R121" s="6" t="b">
        <v>0</v>
      </c>
      <c r="S121" s="6" t="b">
        <v>0</v>
      </c>
      <c r="T121" s="6" t="b">
        <v>0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0</v>
      </c>
      <c r="AJ121" s="6" t="b">
        <v>0</v>
      </c>
      <c r="AK121" s="6" t="b">
        <v>0</v>
      </c>
      <c r="AL121" s="9" t="str">
        <f t="shared" si="1"/>
        <v>0 dari 31 (0%)</v>
      </c>
    </row>
    <row r="122" ht="22.5" customHeight="1">
      <c r="A122" s="10">
        <v>121.0</v>
      </c>
      <c r="B122" s="11"/>
      <c r="C122" s="140"/>
      <c r="D122" s="138"/>
      <c r="E122" s="138"/>
      <c r="F122" s="13"/>
      <c r="G122" s="6" t="b">
        <v>0</v>
      </c>
      <c r="H122" s="6" t="b">
        <v>0</v>
      </c>
      <c r="I122" s="6" t="b">
        <v>0</v>
      </c>
      <c r="J122" s="6" t="b">
        <v>0</v>
      </c>
      <c r="K122" s="6" t="b">
        <v>0</v>
      </c>
      <c r="L122" s="6" t="b">
        <v>0</v>
      </c>
      <c r="M122" s="6" t="b">
        <v>0</v>
      </c>
      <c r="N122" s="6" t="b">
        <v>0</v>
      </c>
      <c r="O122" s="6" t="b">
        <v>0</v>
      </c>
      <c r="P122" s="6" t="b">
        <v>0</v>
      </c>
      <c r="Q122" s="6" t="b">
        <v>0</v>
      </c>
      <c r="R122" s="6" t="b">
        <v>0</v>
      </c>
      <c r="S122" s="6" t="b">
        <v>0</v>
      </c>
      <c r="T122" s="6" t="b">
        <v>0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0</v>
      </c>
      <c r="AJ122" s="6" t="b">
        <v>0</v>
      </c>
      <c r="AK122" s="6" t="b">
        <v>0</v>
      </c>
      <c r="AL122" s="9" t="str">
        <f t="shared" si="1"/>
        <v>0 dari 31 (0%)</v>
      </c>
    </row>
    <row r="123" ht="22.5" customHeight="1">
      <c r="A123" s="10">
        <v>122.0</v>
      </c>
      <c r="B123" s="11"/>
      <c r="C123" s="140"/>
      <c r="D123" s="138"/>
      <c r="E123" s="138"/>
      <c r="F123" s="13"/>
      <c r="G123" s="6" t="b">
        <v>0</v>
      </c>
      <c r="H123" s="6" t="b">
        <v>0</v>
      </c>
      <c r="I123" s="6" t="b">
        <v>0</v>
      </c>
      <c r="J123" s="6" t="b">
        <v>0</v>
      </c>
      <c r="K123" s="6" t="b">
        <v>0</v>
      </c>
      <c r="L123" s="6" t="b">
        <v>0</v>
      </c>
      <c r="M123" s="6" t="b">
        <v>0</v>
      </c>
      <c r="N123" s="6" t="b">
        <v>0</v>
      </c>
      <c r="O123" s="6" t="b">
        <v>0</v>
      </c>
      <c r="P123" s="6" t="b">
        <v>0</v>
      </c>
      <c r="Q123" s="6" t="b">
        <v>0</v>
      </c>
      <c r="R123" s="6" t="b">
        <v>0</v>
      </c>
      <c r="S123" s="6" t="b">
        <v>0</v>
      </c>
      <c r="T123" s="6" t="b">
        <v>0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0</v>
      </c>
      <c r="AJ123" s="6" t="b">
        <v>0</v>
      </c>
      <c r="AK123" s="6" t="b">
        <v>0</v>
      </c>
      <c r="AL123" s="17" t="str">
        <f t="shared" si="1"/>
        <v>0 dari 31 (0%)</v>
      </c>
    </row>
    <row r="124" ht="22.5" customHeight="1">
      <c r="A124" s="2">
        <v>123.0</v>
      </c>
      <c r="B124" s="11"/>
      <c r="C124" s="140"/>
      <c r="D124" s="138"/>
      <c r="E124" s="138"/>
      <c r="F124" s="13"/>
      <c r="G124" s="6" t="b">
        <v>0</v>
      </c>
      <c r="H124" s="6" t="b">
        <v>0</v>
      </c>
      <c r="I124" s="6" t="b">
        <v>0</v>
      </c>
      <c r="J124" s="6" t="b">
        <v>0</v>
      </c>
      <c r="K124" s="6" t="b">
        <v>0</v>
      </c>
      <c r="L124" s="6" t="b">
        <v>0</v>
      </c>
      <c r="M124" s="6" t="b">
        <v>0</v>
      </c>
      <c r="N124" s="6" t="b">
        <v>0</v>
      </c>
      <c r="O124" s="6" t="b">
        <v>0</v>
      </c>
      <c r="P124" s="6" t="b">
        <v>0</v>
      </c>
      <c r="Q124" s="6" t="b">
        <v>0</v>
      </c>
      <c r="R124" s="6" t="b">
        <v>0</v>
      </c>
      <c r="S124" s="6" t="b">
        <v>0</v>
      </c>
      <c r="T124" s="6" t="b">
        <v>0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0</v>
      </c>
      <c r="AJ124" s="6" t="b">
        <v>0</v>
      </c>
      <c r="AK124" s="6" t="b">
        <v>0</v>
      </c>
      <c r="AL124" s="9" t="str">
        <f t="shared" si="1"/>
        <v>0 dari 31 (0%)</v>
      </c>
    </row>
    <row r="125" ht="22.5" customHeight="1">
      <c r="A125" s="10">
        <v>124.0</v>
      </c>
      <c r="B125" s="11"/>
      <c r="C125" s="140"/>
      <c r="D125" s="138"/>
      <c r="E125" s="138"/>
      <c r="F125" s="13"/>
      <c r="G125" s="6" t="b">
        <v>0</v>
      </c>
      <c r="H125" s="6" t="b">
        <v>0</v>
      </c>
      <c r="I125" s="6" t="b">
        <v>0</v>
      </c>
      <c r="J125" s="6" t="b">
        <v>0</v>
      </c>
      <c r="K125" s="6" t="b">
        <v>0</v>
      </c>
      <c r="L125" s="6" t="b">
        <v>0</v>
      </c>
      <c r="M125" s="6" t="b">
        <v>0</v>
      </c>
      <c r="N125" s="6" t="b">
        <v>0</v>
      </c>
      <c r="O125" s="6" t="b">
        <v>0</v>
      </c>
      <c r="P125" s="6" t="b">
        <v>0</v>
      </c>
      <c r="Q125" s="6" t="b">
        <v>0</v>
      </c>
      <c r="R125" s="6" t="b">
        <v>0</v>
      </c>
      <c r="S125" s="6" t="b">
        <v>0</v>
      </c>
      <c r="T125" s="6" t="b">
        <v>0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0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0</v>
      </c>
      <c r="AJ125" s="6" t="b">
        <v>0</v>
      </c>
      <c r="AK125" s="6" t="b">
        <v>0</v>
      </c>
      <c r="AL125" s="9" t="str">
        <f t="shared" si="1"/>
        <v>0 dari 31 (0%)</v>
      </c>
    </row>
    <row r="126" ht="22.5" customHeight="1">
      <c r="A126" s="10">
        <v>125.0</v>
      </c>
      <c r="B126" s="11"/>
      <c r="C126" s="140"/>
      <c r="D126" s="138"/>
      <c r="E126" s="138"/>
      <c r="F126" s="13"/>
      <c r="G126" s="6" t="b">
        <v>0</v>
      </c>
      <c r="H126" s="6" t="b">
        <v>0</v>
      </c>
      <c r="I126" s="6" t="b">
        <v>0</v>
      </c>
      <c r="J126" s="6" t="b">
        <v>0</v>
      </c>
      <c r="K126" s="6" t="b">
        <v>0</v>
      </c>
      <c r="L126" s="6" t="b">
        <v>0</v>
      </c>
      <c r="M126" s="6" t="b">
        <v>0</v>
      </c>
      <c r="N126" s="6" t="b">
        <v>0</v>
      </c>
      <c r="O126" s="6" t="b">
        <v>0</v>
      </c>
      <c r="P126" s="6" t="b">
        <v>0</v>
      </c>
      <c r="Q126" s="6" t="b">
        <v>0</v>
      </c>
      <c r="R126" s="6" t="b">
        <v>0</v>
      </c>
      <c r="S126" s="6" t="b">
        <v>0</v>
      </c>
      <c r="T126" s="6" t="b">
        <v>0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0</v>
      </c>
      <c r="AJ126" s="6" t="b">
        <v>0</v>
      </c>
      <c r="AK126" s="6" t="b">
        <v>0</v>
      </c>
      <c r="AL126" s="17" t="str">
        <f t="shared" si="1"/>
        <v>0 dari 31 (0%)</v>
      </c>
    </row>
    <row r="127" ht="22.5" customHeight="1">
      <c r="A127" s="2">
        <v>126.0</v>
      </c>
      <c r="B127" s="11"/>
      <c r="C127" s="140"/>
      <c r="D127" s="138"/>
      <c r="E127" s="138"/>
      <c r="F127" s="13"/>
      <c r="G127" s="6" t="b">
        <v>0</v>
      </c>
      <c r="H127" s="6" t="b">
        <v>0</v>
      </c>
      <c r="I127" s="6" t="b">
        <v>0</v>
      </c>
      <c r="J127" s="6" t="b">
        <v>0</v>
      </c>
      <c r="K127" s="6" t="b">
        <v>0</v>
      </c>
      <c r="L127" s="6" t="b">
        <v>0</v>
      </c>
      <c r="M127" s="6" t="b">
        <v>0</v>
      </c>
      <c r="N127" s="6" t="b">
        <v>0</v>
      </c>
      <c r="O127" s="6" t="b">
        <v>0</v>
      </c>
      <c r="P127" s="6" t="b">
        <v>0</v>
      </c>
      <c r="Q127" s="6" t="b">
        <v>0</v>
      </c>
      <c r="R127" s="6" t="b">
        <v>0</v>
      </c>
      <c r="S127" s="6" t="b">
        <v>0</v>
      </c>
      <c r="T127" s="6" t="b">
        <v>0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0</v>
      </c>
      <c r="AJ127" s="6" t="b">
        <v>0</v>
      </c>
      <c r="AK127" s="6" t="b">
        <v>0</v>
      </c>
      <c r="AL127" s="9" t="str">
        <f t="shared" si="1"/>
        <v>0 dari 31 (0%)</v>
      </c>
    </row>
    <row r="128" ht="22.5" customHeight="1">
      <c r="A128" s="10">
        <v>127.0</v>
      </c>
      <c r="B128" s="11"/>
      <c r="C128" s="147"/>
      <c r="D128" s="148"/>
      <c r="E128" s="148"/>
      <c r="F128" s="57"/>
      <c r="G128" s="6" t="b">
        <v>0</v>
      </c>
      <c r="H128" s="6" t="b">
        <v>0</v>
      </c>
      <c r="I128" s="6" t="b">
        <v>0</v>
      </c>
      <c r="J128" s="6" t="b">
        <v>0</v>
      </c>
      <c r="K128" s="6" t="b">
        <v>0</v>
      </c>
      <c r="L128" s="6" t="b">
        <v>0</v>
      </c>
      <c r="M128" s="6" t="b">
        <v>0</v>
      </c>
      <c r="N128" s="6" t="b">
        <v>0</v>
      </c>
      <c r="O128" s="6" t="b">
        <v>0</v>
      </c>
      <c r="P128" s="6" t="b">
        <v>0</v>
      </c>
      <c r="Q128" s="6" t="b">
        <v>0</v>
      </c>
      <c r="R128" s="6" t="b">
        <v>0</v>
      </c>
      <c r="S128" s="6" t="b">
        <v>0</v>
      </c>
      <c r="T128" s="6" t="b">
        <v>0</v>
      </c>
      <c r="U128" s="6" t="b">
        <v>0</v>
      </c>
      <c r="V128" s="6" t="b">
        <v>0</v>
      </c>
      <c r="W128" s="6" t="b">
        <v>0</v>
      </c>
      <c r="X128" s="6" t="b">
        <v>0</v>
      </c>
      <c r="Y128" s="6" t="b">
        <v>0</v>
      </c>
      <c r="Z128" s="6" t="b">
        <v>0</v>
      </c>
      <c r="AA128" s="6" t="b">
        <v>0</v>
      </c>
      <c r="AB128" s="6" t="b">
        <v>0</v>
      </c>
      <c r="AC128" s="6" t="b">
        <v>0</v>
      </c>
      <c r="AD128" s="6" t="b">
        <v>0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0</v>
      </c>
      <c r="AJ128" s="6" t="b">
        <v>0</v>
      </c>
      <c r="AK128" s="6" t="b">
        <v>0</v>
      </c>
      <c r="AL128" s="9" t="str">
        <f t="shared" si="1"/>
        <v>0 dari 31 (0%)</v>
      </c>
    </row>
    <row r="129" ht="22.5" customHeight="1">
      <c r="A129" s="10">
        <v>128.0</v>
      </c>
      <c r="B129" s="11"/>
      <c r="C129" s="140"/>
      <c r="D129" s="138"/>
      <c r="E129" s="138"/>
      <c r="F129" s="13"/>
      <c r="G129" s="6" t="b">
        <v>0</v>
      </c>
      <c r="H129" s="6" t="b">
        <v>0</v>
      </c>
      <c r="I129" s="6" t="b">
        <v>0</v>
      </c>
      <c r="J129" s="6" t="b">
        <v>0</v>
      </c>
      <c r="K129" s="6" t="b">
        <v>0</v>
      </c>
      <c r="L129" s="6" t="b">
        <v>0</v>
      </c>
      <c r="M129" s="6" t="b">
        <v>0</v>
      </c>
      <c r="N129" s="6" t="b">
        <v>0</v>
      </c>
      <c r="O129" s="6" t="b">
        <v>0</v>
      </c>
      <c r="P129" s="6" t="b">
        <v>0</v>
      </c>
      <c r="Q129" s="6" t="b">
        <v>0</v>
      </c>
      <c r="R129" s="6" t="b">
        <v>0</v>
      </c>
      <c r="S129" s="6" t="b">
        <v>0</v>
      </c>
      <c r="T129" s="6" t="b">
        <v>0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0</v>
      </c>
      <c r="AJ129" s="6" t="b">
        <v>0</v>
      </c>
      <c r="AK129" s="6" t="b">
        <v>0</v>
      </c>
      <c r="AL129" s="17" t="str">
        <f t="shared" si="1"/>
        <v>0 dari 31 (0%)</v>
      </c>
    </row>
    <row r="130" ht="22.5" customHeight="1">
      <c r="A130" s="2">
        <v>129.0</v>
      </c>
      <c r="B130" s="11"/>
      <c r="C130" s="140"/>
      <c r="D130" s="138"/>
      <c r="E130" s="138"/>
      <c r="F130" s="13"/>
      <c r="G130" s="6" t="b">
        <v>0</v>
      </c>
      <c r="H130" s="6" t="b">
        <v>0</v>
      </c>
      <c r="I130" s="6" t="b">
        <v>0</v>
      </c>
      <c r="J130" s="6" t="b">
        <v>0</v>
      </c>
      <c r="K130" s="6" t="b">
        <v>0</v>
      </c>
      <c r="L130" s="6" t="b">
        <v>0</v>
      </c>
      <c r="M130" s="6" t="b">
        <v>0</v>
      </c>
      <c r="N130" s="6" t="b">
        <v>0</v>
      </c>
      <c r="O130" s="6" t="b">
        <v>0</v>
      </c>
      <c r="P130" s="6" t="b">
        <v>0</v>
      </c>
      <c r="Q130" s="6" t="b">
        <v>0</v>
      </c>
      <c r="R130" s="6" t="b">
        <v>0</v>
      </c>
      <c r="S130" s="6" t="b">
        <v>0</v>
      </c>
      <c r="T130" s="6" t="b">
        <v>0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0</v>
      </c>
      <c r="AJ130" s="6" t="b">
        <v>0</v>
      </c>
      <c r="AK130" s="6" t="b">
        <v>0</v>
      </c>
      <c r="AL130" s="9" t="str">
        <f t="shared" si="1"/>
        <v>0 dari 31 (0%)</v>
      </c>
    </row>
    <row r="131" ht="22.5" customHeight="1">
      <c r="A131" s="10">
        <v>130.0</v>
      </c>
      <c r="B131" s="11"/>
      <c r="C131" s="140"/>
      <c r="D131" s="138"/>
      <c r="E131" s="138"/>
      <c r="F131" s="13"/>
      <c r="G131" s="6" t="b">
        <v>0</v>
      </c>
      <c r="H131" s="6" t="b">
        <v>0</v>
      </c>
      <c r="I131" s="6" t="b">
        <v>0</v>
      </c>
      <c r="J131" s="6" t="b">
        <v>0</v>
      </c>
      <c r="K131" s="6" t="b">
        <v>0</v>
      </c>
      <c r="L131" s="6" t="b">
        <v>0</v>
      </c>
      <c r="M131" s="6" t="b">
        <v>0</v>
      </c>
      <c r="N131" s="6" t="b">
        <v>0</v>
      </c>
      <c r="O131" s="6" t="b">
        <v>0</v>
      </c>
      <c r="P131" s="6" t="b">
        <v>0</v>
      </c>
      <c r="Q131" s="6" t="b">
        <v>0</v>
      </c>
      <c r="R131" s="6" t="b">
        <v>0</v>
      </c>
      <c r="S131" s="6" t="b">
        <v>0</v>
      </c>
      <c r="T131" s="6" t="b">
        <v>0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0</v>
      </c>
      <c r="AJ131" s="6" t="b">
        <v>0</v>
      </c>
      <c r="AK131" s="6" t="b">
        <v>0</v>
      </c>
      <c r="AL131" s="9" t="str">
        <f t="shared" si="1"/>
        <v>0 dari 31 (0%)</v>
      </c>
    </row>
    <row r="132" ht="22.5" customHeight="1">
      <c r="A132" s="10">
        <v>131.0</v>
      </c>
      <c r="B132" s="11"/>
      <c r="C132" s="140"/>
      <c r="D132" s="138"/>
      <c r="E132" s="138"/>
      <c r="F132" s="13"/>
      <c r="G132" s="6" t="b">
        <v>0</v>
      </c>
      <c r="H132" s="6" t="b">
        <v>0</v>
      </c>
      <c r="I132" s="6" t="b">
        <v>0</v>
      </c>
      <c r="J132" s="6" t="b">
        <v>0</v>
      </c>
      <c r="K132" s="6" t="b">
        <v>0</v>
      </c>
      <c r="L132" s="6" t="b">
        <v>0</v>
      </c>
      <c r="M132" s="6" t="b">
        <v>0</v>
      </c>
      <c r="N132" s="6" t="b">
        <v>0</v>
      </c>
      <c r="O132" s="6" t="b">
        <v>0</v>
      </c>
      <c r="P132" s="6" t="b">
        <v>0</v>
      </c>
      <c r="Q132" s="6" t="b">
        <v>0</v>
      </c>
      <c r="R132" s="6" t="b">
        <v>0</v>
      </c>
      <c r="S132" s="6" t="b">
        <v>0</v>
      </c>
      <c r="T132" s="6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17" t="str">
        <f t="shared" si="1"/>
        <v>0 dari 31 (0%)</v>
      </c>
    </row>
    <row r="133" ht="22.5" customHeight="1">
      <c r="A133" s="2">
        <v>132.0</v>
      </c>
      <c r="B133" s="11"/>
      <c r="C133" s="140"/>
      <c r="D133" s="138"/>
      <c r="E133" s="138"/>
      <c r="F133" s="13"/>
      <c r="G133" s="6" t="b">
        <v>0</v>
      </c>
      <c r="H133" s="6" t="b">
        <v>0</v>
      </c>
      <c r="I133" s="6" t="b">
        <v>0</v>
      </c>
      <c r="J133" s="6" t="b">
        <v>0</v>
      </c>
      <c r="K133" s="6" t="b">
        <v>0</v>
      </c>
      <c r="L133" s="6" t="b">
        <v>0</v>
      </c>
      <c r="M133" s="6" t="b">
        <v>0</v>
      </c>
      <c r="N133" s="6" t="b">
        <v>0</v>
      </c>
      <c r="O133" s="6" t="b">
        <v>0</v>
      </c>
      <c r="P133" s="6" t="b">
        <v>0</v>
      </c>
      <c r="Q133" s="6" t="b">
        <v>0</v>
      </c>
      <c r="R133" s="6" t="b">
        <v>0</v>
      </c>
      <c r="S133" s="6" t="b">
        <v>0</v>
      </c>
      <c r="T133" s="6" t="b">
        <v>0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0</v>
      </c>
      <c r="AJ133" s="6" t="b">
        <v>0</v>
      </c>
      <c r="AK133" s="6" t="b">
        <v>0</v>
      </c>
      <c r="AL133" s="9" t="str">
        <f t="shared" si="1"/>
        <v>0 dari 31 (0%)</v>
      </c>
    </row>
    <row r="134" ht="22.5" customHeight="1">
      <c r="A134" s="10">
        <v>133.0</v>
      </c>
      <c r="B134" s="11"/>
      <c r="C134" s="140"/>
      <c r="D134" s="138"/>
      <c r="E134" s="138"/>
      <c r="F134" s="13"/>
      <c r="G134" s="6" t="b">
        <v>0</v>
      </c>
      <c r="H134" s="6" t="b">
        <v>0</v>
      </c>
      <c r="I134" s="6" t="b">
        <v>0</v>
      </c>
      <c r="J134" s="6" t="b">
        <v>0</v>
      </c>
      <c r="K134" s="6" t="b">
        <v>0</v>
      </c>
      <c r="L134" s="6" t="b">
        <v>0</v>
      </c>
      <c r="M134" s="6" t="b">
        <v>0</v>
      </c>
      <c r="N134" s="6" t="b">
        <v>0</v>
      </c>
      <c r="O134" s="6" t="b">
        <v>0</v>
      </c>
      <c r="P134" s="6" t="b">
        <v>0</v>
      </c>
      <c r="Q134" s="6" t="b">
        <v>0</v>
      </c>
      <c r="R134" s="6" t="b">
        <v>0</v>
      </c>
      <c r="S134" s="6" t="b">
        <v>0</v>
      </c>
      <c r="T134" s="6" t="b">
        <v>0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0</v>
      </c>
      <c r="AJ134" s="6" t="b">
        <v>0</v>
      </c>
      <c r="AK134" s="6" t="b">
        <v>0</v>
      </c>
      <c r="AL134" s="9" t="str">
        <f t="shared" si="1"/>
        <v>0 dari 31 (0%)</v>
      </c>
    </row>
    <row r="135" ht="22.5" customHeight="1">
      <c r="A135" s="10">
        <v>134.0</v>
      </c>
      <c r="B135" s="11"/>
      <c r="C135" s="140"/>
      <c r="D135" s="138"/>
      <c r="E135" s="138"/>
      <c r="F135" s="13"/>
      <c r="G135" s="6" t="b">
        <v>0</v>
      </c>
      <c r="H135" s="6" t="b">
        <v>0</v>
      </c>
      <c r="I135" s="6" t="b">
        <v>0</v>
      </c>
      <c r="J135" s="6" t="b">
        <v>0</v>
      </c>
      <c r="K135" s="6" t="b">
        <v>0</v>
      </c>
      <c r="L135" s="6" t="b">
        <v>0</v>
      </c>
      <c r="M135" s="6" t="b">
        <v>0</v>
      </c>
      <c r="N135" s="6" t="b">
        <v>0</v>
      </c>
      <c r="O135" s="6" t="b">
        <v>0</v>
      </c>
      <c r="P135" s="6" t="b">
        <v>0</v>
      </c>
      <c r="Q135" s="6" t="b">
        <v>0</v>
      </c>
      <c r="R135" s="6" t="b">
        <v>0</v>
      </c>
      <c r="S135" s="6" t="b">
        <v>0</v>
      </c>
      <c r="T135" s="6" t="b">
        <v>0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0</v>
      </c>
      <c r="AJ135" s="6" t="b">
        <v>0</v>
      </c>
      <c r="AK135" s="6" t="b">
        <v>0</v>
      </c>
      <c r="AL135" s="17" t="str">
        <f t="shared" si="1"/>
        <v>0 dari 31 (0%)</v>
      </c>
    </row>
    <row r="136" ht="22.5" customHeight="1">
      <c r="A136" s="2">
        <v>135.0</v>
      </c>
      <c r="B136" s="11"/>
      <c r="C136" s="140"/>
      <c r="D136" s="138"/>
      <c r="E136" s="138"/>
      <c r="F136" s="13"/>
      <c r="G136" s="6" t="b">
        <v>0</v>
      </c>
      <c r="H136" s="6" t="b">
        <v>0</v>
      </c>
      <c r="I136" s="6" t="b">
        <v>0</v>
      </c>
      <c r="J136" s="6" t="b">
        <v>0</v>
      </c>
      <c r="K136" s="6" t="b">
        <v>0</v>
      </c>
      <c r="L136" s="6" t="b">
        <v>0</v>
      </c>
      <c r="M136" s="6" t="b">
        <v>0</v>
      </c>
      <c r="N136" s="6" t="b">
        <v>0</v>
      </c>
      <c r="O136" s="6" t="b">
        <v>0</v>
      </c>
      <c r="P136" s="6" t="b">
        <v>0</v>
      </c>
      <c r="Q136" s="6" t="b">
        <v>0</v>
      </c>
      <c r="R136" s="6" t="b">
        <v>0</v>
      </c>
      <c r="S136" s="6" t="b">
        <v>0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0</v>
      </c>
      <c r="AJ136" s="6" t="b">
        <v>0</v>
      </c>
      <c r="AK136" s="6" t="b">
        <v>0</v>
      </c>
      <c r="AL136" s="9" t="str">
        <f t="shared" si="1"/>
        <v>0 dari 31 (0%)</v>
      </c>
    </row>
    <row r="137" ht="22.5" customHeight="1">
      <c r="A137" s="10">
        <v>136.0</v>
      </c>
      <c r="B137" s="11"/>
      <c r="C137" s="140"/>
      <c r="D137" s="138"/>
      <c r="E137" s="138"/>
      <c r="F137" s="13"/>
      <c r="G137" s="6" t="b">
        <v>0</v>
      </c>
      <c r="H137" s="6" t="b">
        <v>0</v>
      </c>
      <c r="I137" s="6" t="b">
        <v>0</v>
      </c>
      <c r="J137" s="6" t="b">
        <v>0</v>
      </c>
      <c r="K137" s="6" t="b">
        <v>0</v>
      </c>
      <c r="L137" s="6" t="b">
        <v>0</v>
      </c>
      <c r="M137" s="6" t="b">
        <v>0</v>
      </c>
      <c r="N137" s="6" t="b">
        <v>0</v>
      </c>
      <c r="O137" s="6" t="b">
        <v>0</v>
      </c>
      <c r="P137" s="6" t="b">
        <v>0</v>
      </c>
      <c r="Q137" s="6" t="b">
        <v>0</v>
      </c>
      <c r="R137" s="6" t="b">
        <v>0</v>
      </c>
      <c r="S137" s="6" t="b">
        <v>0</v>
      </c>
      <c r="T137" s="6" t="b">
        <v>0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0</v>
      </c>
      <c r="AJ137" s="6" t="b">
        <v>0</v>
      </c>
      <c r="AK137" s="6" t="b">
        <v>0</v>
      </c>
      <c r="AL137" s="9" t="str">
        <f t="shared" si="1"/>
        <v>0 dari 31 (0%)</v>
      </c>
    </row>
    <row r="138" ht="22.5" customHeight="1">
      <c r="A138" s="10">
        <v>137.0</v>
      </c>
      <c r="B138" s="11"/>
      <c r="C138" s="140"/>
      <c r="D138" s="138"/>
      <c r="E138" s="138"/>
      <c r="F138" s="13"/>
      <c r="G138" s="6" t="b">
        <v>0</v>
      </c>
      <c r="H138" s="6" t="b">
        <v>0</v>
      </c>
      <c r="I138" s="6" t="b">
        <v>0</v>
      </c>
      <c r="J138" s="6" t="b">
        <v>0</v>
      </c>
      <c r="K138" s="6" t="b">
        <v>0</v>
      </c>
      <c r="L138" s="6" t="b">
        <v>0</v>
      </c>
      <c r="M138" s="6" t="b">
        <v>0</v>
      </c>
      <c r="N138" s="6" t="b">
        <v>0</v>
      </c>
      <c r="O138" s="6" t="b">
        <v>0</v>
      </c>
      <c r="P138" s="6" t="b">
        <v>0</v>
      </c>
      <c r="Q138" s="6" t="b">
        <v>0</v>
      </c>
      <c r="R138" s="6" t="b">
        <v>0</v>
      </c>
      <c r="S138" s="6" t="b">
        <v>0</v>
      </c>
      <c r="T138" s="6" t="b">
        <v>0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0</v>
      </c>
      <c r="AJ138" s="6" t="b">
        <v>0</v>
      </c>
      <c r="AK138" s="6" t="b">
        <v>0</v>
      </c>
      <c r="AL138" s="17" t="str">
        <f t="shared" si="1"/>
        <v>0 dari 31 (0%)</v>
      </c>
    </row>
    <row r="139" ht="22.5" customHeight="1">
      <c r="A139" s="2">
        <v>138.0</v>
      </c>
      <c r="B139" s="11"/>
      <c r="C139" s="140"/>
      <c r="D139" s="138"/>
      <c r="E139" s="138"/>
      <c r="F139" s="13"/>
      <c r="G139" s="6" t="b">
        <v>0</v>
      </c>
      <c r="H139" s="6" t="b">
        <v>0</v>
      </c>
      <c r="I139" s="6" t="b">
        <v>0</v>
      </c>
      <c r="J139" s="6" t="b">
        <v>0</v>
      </c>
      <c r="K139" s="6" t="b">
        <v>0</v>
      </c>
      <c r="L139" s="6" t="b">
        <v>0</v>
      </c>
      <c r="M139" s="6" t="b">
        <v>0</v>
      </c>
      <c r="N139" s="6" t="b">
        <v>0</v>
      </c>
      <c r="O139" s="6" t="b">
        <v>0</v>
      </c>
      <c r="P139" s="6" t="b">
        <v>0</v>
      </c>
      <c r="Q139" s="6" t="b">
        <v>0</v>
      </c>
      <c r="R139" s="6" t="b">
        <v>0</v>
      </c>
      <c r="S139" s="6" t="b">
        <v>0</v>
      </c>
      <c r="T139" s="6" t="b">
        <v>0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0</v>
      </c>
      <c r="AJ139" s="6" t="b">
        <v>0</v>
      </c>
      <c r="AK139" s="6" t="b">
        <v>0</v>
      </c>
      <c r="AL139" s="9" t="str">
        <f t="shared" si="1"/>
        <v>0 dari 31 (0%)</v>
      </c>
    </row>
    <row r="140" ht="22.5" customHeight="1">
      <c r="A140" s="10">
        <v>139.0</v>
      </c>
      <c r="B140" s="11"/>
      <c r="C140" s="140"/>
      <c r="D140" s="138"/>
      <c r="E140" s="138"/>
      <c r="F140" s="13"/>
      <c r="G140" s="6" t="b">
        <v>0</v>
      </c>
      <c r="H140" s="6" t="b">
        <v>0</v>
      </c>
      <c r="I140" s="6" t="b">
        <v>0</v>
      </c>
      <c r="J140" s="6" t="b">
        <v>0</v>
      </c>
      <c r="K140" s="6" t="b">
        <v>0</v>
      </c>
      <c r="L140" s="6" t="b">
        <v>0</v>
      </c>
      <c r="M140" s="6" t="b">
        <v>0</v>
      </c>
      <c r="N140" s="6" t="b">
        <v>0</v>
      </c>
      <c r="O140" s="6" t="b">
        <v>0</v>
      </c>
      <c r="P140" s="6" t="b">
        <v>0</v>
      </c>
      <c r="Q140" s="6" t="b">
        <v>0</v>
      </c>
      <c r="R140" s="6" t="b">
        <v>0</v>
      </c>
      <c r="S140" s="6" t="b">
        <v>0</v>
      </c>
      <c r="T140" s="6" t="b">
        <v>0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0</v>
      </c>
      <c r="AJ140" s="6" t="b">
        <v>0</v>
      </c>
      <c r="AK140" s="6" t="b">
        <v>0</v>
      </c>
      <c r="AL140" s="9" t="str">
        <f t="shared" si="1"/>
        <v>0 dari 31 (0%)</v>
      </c>
    </row>
    <row r="141" ht="22.5" customHeight="1">
      <c r="A141" s="10">
        <v>140.0</v>
      </c>
      <c r="B141" s="11"/>
      <c r="C141" s="140"/>
      <c r="D141" s="138"/>
      <c r="E141" s="138"/>
      <c r="F141" s="13"/>
      <c r="G141" s="6" t="b">
        <v>0</v>
      </c>
      <c r="H141" s="6" t="b">
        <v>0</v>
      </c>
      <c r="I141" s="6" t="b">
        <v>0</v>
      </c>
      <c r="J141" s="6" t="b">
        <v>0</v>
      </c>
      <c r="K141" s="6" t="b">
        <v>0</v>
      </c>
      <c r="L141" s="6" t="b">
        <v>0</v>
      </c>
      <c r="M141" s="6" t="b">
        <v>0</v>
      </c>
      <c r="N141" s="6" t="b">
        <v>0</v>
      </c>
      <c r="O141" s="6" t="b">
        <v>0</v>
      </c>
      <c r="P141" s="6" t="b">
        <v>0</v>
      </c>
      <c r="Q141" s="6" t="b">
        <v>0</v>
      </c>
      <c r="R141" s="6" t="b">
        <v>0</v>
      </c>
      <c r="S141" s="6" t="b">
        <v>0</v>
      </c>
      <c r="T141" s="6" t="b">
        <v>0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0</v>
      </c>
      <c r="AJ141" s="6" t="b">
        <v>0</v>
      </c>
      <c r="AK141" s="6" t="b">
        <v>0</v>
      </c>
      <c r="AL141" s="17" t="str">
        <f t="shared" si="1"/>
        <v>0 dari 31 (0%)</v>
      </c>
    </row>
    <row r="142" ht="22.5" customHeight="1">
      <c r="A142" s="2">
        <v>141.0</v>
      </c>
      <c r="B142" s="11"/>
      <c r="C142" s="140"/>
      <c r="D142" s="138"/>
      <c r="E142" s="138"/>
      <c r="F142" s="13"/>
      <c r="G142" s="6" t="b">
        <v>0</v>
      </c>
      <c r="H142" s="6" t="b">
        <v>0</v>
      </c>
      <c r="I142" s="6" t="b">
        <v>0</v>
      </c>
      <c r="J142" s="6" t="b">
        <v>0</v>
      </c>
      <c r="K142" s="6" t="b">
        <v>0</v>
      </c>
      <c r="L142" s="6" t="b">
        <v>0</v>
      </c>
      <c r="M142" s="6" t="b">
        <v>0</v>
      </c>
      <c r="N142" s="6" t="b">
        <v>0</v>
      </c>
      <c r="O142" s="6" t="b">
        <v>0</v>
      </c>
      <c r="P142" s="6" t="b">
        <v>0</v>
      </c>
      <c r="Q142" s="6" t="b">
        <v>0</v>
      </c>
      <c r="R142" s="6" t="b">
        <v>0</v>
      </c>
      <c r="S142" s="6" t="b">
        <v>0</v>
      </c>
      <c r="T142" s="6" t="b">
        <v>0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0</v>
      </c>
      <c r="AJ142" s="6" t="b">
        <v>0</v>
      </c>
      <c r="AK142" s="6" t="b">
        <v>0</v>
      </c>
      <c r="AL142" s="9" t="str">
        <f t="shared" si="1"/>
        <v>0 dari 31 (0%)</v>
      </c>
    </row>
    <row r="143" ht="22.5" customHeight="1">
      <c r="A143" s="10">
        <v>142.0</v>
      </c>
      <c r="B143" s="11"/>
      <c r="C143" s="140"/>
      <c r="D143" s="138"/>
      <c r="E143" s="138"/>
      <c r="F143" s="13"/>
      <c r="G143" s="6" t="b">
        <v>0</v>
      </c>
      <c r="H143" s="6" t="b">
        <v>0</v>
      </c>
      <c r="I143" s="6" t="b">
        <v>0</v>
      </c>
      <c r="J143" s="6" t="b">
        <v>0</v>
      </c>
      <c r="K143" s="6" t="b">
        <v>0</v>
      </c>
      <c r="L143" s="6" t="b">
        <v>0</v>
      </c>
      <c r="M143" s="6" t="b">
        <v>0</v>
      </c>
      <c r="N143" s="6" t="b">
        <v>0</v>
      </c>
      <c r="O143" s="6" t="b">
        <v>0</v>
      </c>
      <c r="P143" s="6" t="b">
        <v>0</v>
      </c>
      <c r="Q143" s="6" t="b">
        <v>0</v>
      </c>
      <c r="R143" s="6" t="b">
        <v>0</v>
      </c>
      <c r="S143" s="6" t="b">
        <v>0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0</v>
      </c>
      <c r="AJ143" s="6" t="b">
        <v>0</v>
      </c>
      <c r="AK143" s="6" t="b">
        <v>0</v>
      </c>
      <c r="AL143" s="9" t="str">
        <f t="shared" si="1"/>
        <v>0 dari 31 (0%)</v>
      </c>
    </row>
    <row r="144" ht="22.5" customHeight="1">
      <c r="A144" s="10">
        <v>143.0</v>
      </c>
      <c r="B144" s="11"/>
      <c r="C144" s="140"/>
      <c r="D144" s="138"/>
      <c r="E144" s="138"/>
      <c r="F144" s="13"/>
      <c r="G144" s="6" t="b">
        <v>0</v>
      </c>
      <c r="H144" s="6" t="b">
        <v>0</v>
      </c>
      <c r="I144" s="6" t="b">
        <v>0</v>
      </c>
      <c r="J144" s="6" t="b">
        <v>0</v>
      </c>
      <c r="K144" s="6" t="b">
        <v>0</v>
      </c>
      <c r="L144" s="6" t="b">
        <v>0</v>
      </c>
      <c r="M144" s="6" t="b">
        <v>0</v>
      </c>
      <c r="N144" s="6" t="b">
        <v>0</v>
      </c>
      <c r="O144" s="6" t="b">
        <v>0</v>
      </c>
      <c r="P144" s="6" t="b">
        <v>0</v>
      </c>
      <c r="Q144" s="6" t="b">
        <v>0</v>
      </c>
      <c r="R144" s="6" t="b">
        <v>0</v>
      </c>
      <c r="S144" s="6" t="b">
        <v>0</v>
      </c>
      <c r="T144" s="6" t="b">
        <v>0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0</v>
      </c>
      <c r="AJ144" s="6" t="b">
        <v>0</v>
      </c>
      <c r="AK144" s="6" t="b">
        <v>0</v>
      </c>
      <c r="AL144" s="17" t="str">
        <f t="shared" si="1"/>
        <v>0 dari 31 (0%)</v>
      </c>
    </row>
    <row r="145" ht="22.5" customHeight="1">
      <c r="A145" s="2">
        <v>144.0</v>
      </c>
      <c r="B145" s="11"/>
      <c r="C145" s="140"/>
      <c r="D145" s="138"/>
      <c r="E145" s="138"/>
      <c r="F145" s="13"/>
      <c r="G145" s="6" t="b">
        <v>0</v>
      </c>
      <c r="H145" s="6" t="b">
        <v>0</v>
      </c>
      <c r="I145" s="6" t="b">
        <v>0</v>
      </c>
      <c r="J145" s="6" t="b">
        <v>0</v>
      </c>
      <c r="K145" s="6" t="b">
        <v>0</v>
      </c>
      <c r="L145" s="6" t="b">
        <v>0</v>
      </c>
      <c r="M145" s="6" t="b">
        <v>0</v>
      </c>
      <c r="N145" s="6" t="b">
        <v>0</v>
      </c>
      <c r="O145" s="6" t="b">
        <v>0</v>
      </c>
      <c r="P145" s="6" t="b">
        <v>0</v>
      </c>
      <c r="Q145" s="6" t="b">
        <v>0</v>
      </c>
      <c r="R145" s="6" t="b">
        <v>0</v>
      </c>
      <c r="S145" s="6" t="b">
        <v>0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0</v>
      </c>
      <c r="AJ145" s="6" t="b">
        <v>0</v>
      </c>
      <c r="AK145" s="6" t="b">
        <v>0</v>
      </c>
      <c r="AL145" s="9" t="str">
        <f t="shared" si="1"/>
        <v>0 dari 31 (0%)</v>
      </c>
    </row>
    <row r="146" ht="22.5" customHeight="1">
      <c r="A146" s="10">
        <v>145.0</v>
      </c>
      <c r="B146" s="11"/>
      <c r="C146" s="140"/>
      <c r="D146" s="138"/>
      <c r="E146" s="138"/>
      <c r="F146" s="13"/>
      <c r="G146" s="6" t="b">
        <v>0</v>
      </c>
      <c r="H146" s="6" t="b">
        <v>0</v>
      </c>
      <c r="I146" s="6" t="b">
        <v>0</v>
      </c>
      <c r="J146" s="6" t="b">
        <v>0</v>
      </c>
      <c r="K146" s="6" t="b">
        <v>0</v>
      </c>
      <c r="L146" s="6" t="b">
        <v>0</v>
      </c>
      <c r="M146" s="6" t="b">
        <v>0</v>
      </c>
      <c r="N146" s="6" t="b">
        <v>0</v>
      </c>
      <c r="O146" s="6" t="b">
        <v>0</v>
      </c>
      <c r="P146" s="6" t="b">
        <v>0</v>
      </c>
      <c r="Q146" s="6" t="b">
        <v>0</v>
      </c>
      <c r="R146" s="6" t="b">
        <v>0</v>
      </c>
      <c r="S146" s="6" t="b">
        <v>0</v>
      </c>
      <c r="T146" s="6" t="b">
        <v>0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0</v>
      </c>
      <c r="AJ146" s="6" t="b">
        <v>0</v>
      </c>
      <c r="AK146" s="6" t="b">
        <v>0</v>
      </c>
      <c r="AL146" s="9" t="str">
        <f t="shared" si="1"/>
        <v>0 dari 31 (0%)</v>
      </c>
    </row>
    <row r="147" ht="22.5" customHeight="1">
      <c r="A147" s="10">
        <v>146.0</v>
      </c>
      <c r="B147" s="11"/>
      <c r="C147" s="140"/>
      <c r="D147" s="138"/>
      <c r="E147" s="138"/>
      <c r="F147" s="13"/>
      <c r="G147" s="6" t="b">
        <v>0</v>
      </c>
      <c r="H147" s="6" t="b">
        <v>0</v>
      </c>
      <c r="I147" s="6" t="b">
        <v>0</v>
      </c>
      <c r="J147" s="6" t="b">
        <v>0</v>
      </c>
      <c r="K147" s="6" t="b">
        <v>0</v>
      </c>
      <c r="L147" s="6" t="b">
        <v>0</v>
      </c>
      <c r="M147" s="6" t="b">
        <v>0</v>
      </c>
      <c r="N147" s="6" t="b">
        <v>0</v>
      </c>
      <c r="O147" s="6" t="b">
        <v>0</v>
      </c>
      <c r="P147" s="6" t="b">
        <v>0</v>
      </c>
      <c r="Q147" s="6" t="b">
        <v>0</v>
      </c>
      <c r="R147" s="6" t="b">
        <v>0</v>
      </c>
      <c r="S147" s="6" t="b">
        <v>0</v>
      </c>
      <c r="T147" s="6" t="b">
        <v>0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0</v>
      </c>
      <c r="AJ147" s="6" t="b">
        <v>0</v>
      </c>
      <c r="AK147" s="6" t="b">
        <v>0</v>
      </c>
      <c r="AL147" s="17" t="str">
        <f t="shared" si="1"/>
        <v>0 dari 31 (0%)</v>
      </c>
    </row>
    <row r="148" ht="22.5" customHeight="1">
      <c r="A148" s="2">
        <v>147.0</v>
      </c>
      <c r="B148" s="11"/>
      <c r="C148" s="140"/>
      <c r="D148" s="138"/>
      <c r="E148" s="138"/>
      <c r="F148" s="13"/>
      <c r="G148" s="6" t="b">
        <v>0</v>
      </c>
      <c r="H148" s="6" t="b">
        <v>0</v>
      </c>
      <c r="I148" s="6" t="b">
        <v>0</v>
      </c>
      <c r="J148" s="6" t="b">
        <v>0</v>
      </c>
      <c r="K148" s="6" t="b">
        <v>0</v>
      </c>
      <c r="L148" s="6" t="b">
        <v>0</v>
      </c>
      <c r="M148" s="6" t="b">
        <v>0</v>
      </c>
      <c r="N148" s="6" t="b">
        <v>0</v>
      </c>
      <c r="O148" s="6" t="b">
        <v>0</v>
      </c>
      <c r="P148" s="6" t="b">
        <v>0</v>
      </c>
      <c r="Q148" s="6" t="b">
        <v>0</v>
      </c>
      <c r="R148" s="6" t="b">
        <v>0</v>
      </c>
      <c r="S148" s="6" t="b">
        <v>0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0</v>
      </c>
      <c r="AJ148" s="6" t="b">
        <v>0</v>
      </c>
      <c r="AK148" s="6" t="b">
        <v>0</v>
      </c>
      <c r="AL148" s="9" t="str">
        <f t="shared" si="1"/>
        <v>0 dari 31 (0%)</v>
      </c>
    </row>
    <row r="149" ht="22.5" customHeight="1">
      <c r="A149" s="10">
        <v>148.0</v>
      </c>
      <c r="B149" s="11"/>
      <c r="C149" s="140"/>
      <c r="D149" s="138"/>
      <c r="E149" s="138"/>
      <c r="F149" s="13"/>
      <c r="G149" s="6" t="b">
        <v>0</v>
      </c>
      <c r="H149" s="6" t="b">
        <v>0</v>
      </c>
      <c r="I149" s="6" t="b">
        <v>0</v>
      </c>
      <c r="J149" s="6" t="b">
        <v>0</v>
      </c>
      <c r="K149" s="6" t="b">
        <v>0</v>
      </c>
      <c r="L149" s="6" t="b">
        <v>0</v>
      </c>
      <c r="M149" s="6" t="b">
        <v>0</v>
      </c>
      <c r="N149" s="6" t="b">
        <v>0</v>
      </c>
      <c r="O149" s="6" t="b">
        <v>0</v>
      </c>
      <c r="P149" s="6" t="b">
        <v>0</v>
      </c>
      <c r="Q149" s="6" t="b">
        <v>0</v>
      </c>
      <c r="R149" s="6" t="b">
        <v>0</v>
      </c>
      <c r="S149" s="6" t="b">
        <v>0</v>
      </c>
      <c r="T149" s="6" t="b">
        <v>0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0</v>
      </c>
      <c r="AJ149" s="6" t="b">
        <v>0</v>
      </c>
      <c r="AK149" s="6" t="b">
        <v>0</v>
      </c>
      <c r="AL149" s="9" t="str">
        <f t="shared" si="1"/>
        <v>0 dari 31 (0%)</v>
      </c>
    </row>
    <row r="150" ht="22.5" customHeight="1">
      <c r="A150" s="10">
        <v>149.0</v>
      </c>
      <c r="B150" s="11"/>
      <c r="C150" s="140"/>
      <c r="D150" s="138"/>
      <c r="E150" s="138"/>
      <c r="F150" s="13"/>
      <c r="G150" s="6" t="b">
        <v>0</v>
      </c>
      <c r="H150" s="6" t="b">
        <v>0</v>
      </c>
      <c r="I150" s="6" t="b">
        <v>0</v>
      </c>
      <c r="J150" s="6" t="b">
        <v>0</v>
      </c>
      <c r="K150" s="6" t="b">
        <v>0</v>
      </c>
      <c r="L150" s="6" t="b">
        <v>0</v>
      </c>
      <c r="M150" s="6" t="b">
        <v>0</v>
      </c>
      <c r="N150" s="6" t="b">
        <v>0</v>
      </c>
      <c r="O150" s="6" t="b">
        <v>0</v>
      </c>
      <c r="P150" s="6" t="b">
        <v>0</v>
      </c>
      <c r="Q150" s="6" t="b">
        <v>0</v>
      </c>
      <c r="R150" s="6" t="b">
        <v>0</v>
      </c>
      <c r="S150" s="6" t="b">
        <v>0</v>
      </c>
      <c r="T150" s="6" t="b">
        <v>0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0</v>
      </c>
      <c r="AJ150" s="6" t="b">
        <v>0</v>
      </c>
      <c r="AK150" s="6" t="b">
        <v>0</v>
      </c>
      <c r="AL150" s="17" t="str">
        <f t="shared" si="1"/>
        <v>0 dari 31 (0%)</v>
      </c>
    </row>
    <row r="151" ht="22.5" customHeight="1">
      <c r="A151" s="2">
        <v>150.0</v>
      </c>
      <c r="B151" s="11"/>
      <c r="C151" s="140"/>
      <c r="D151" s="138"/>
      <c r="E151" s="138"/>
      <c r="F151" s="13"/>
      <c r="G151" s="6" t="b">
        <v>0</v>
      </c>
      <c r="H151" s="6" t="b">
        <v>0</v>
      </c>
      <c r="I151" s="6" t="b">
        <v>0</v>
      </c>
      <c r="J151" s="6" t="b">
        <v>0</v>
      </c>
      <c r="K151" s="6" t="b">
        <v>0</v>
      </c>
      <c r="L151" s="6" t="b">
        <v>0</v>
      </c>
      <c r="M151" s="6" t="b">
        <v>0</v>
      </c>
      <c r="N151" s="6" t="b">
        <v>0</v>
      </c>
      <c r="O151" s="6" t="b">
        <v>0</v>
      </c>
      <c r="P151" s="6" t="b">
        <v>0</v>
      </c>
      <c r="Q151" s="6" t="b">
        <v>0</v>
      </c>
      <c r="R151" s="6" t="b">
        <v>0</v>
      </c>
      <c r="S151" s="6" t="b">
        <v>0</v>
      </c>
      <c r="T151" s="6" t="b">
        <v>0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0</v>
      </c>
      <c r="AF151" s="6" t="b">
        <v>0</v>
      </c>
      <c r="AG151" s="6" t="b">
        <v>0</v>
      </c>
      <c r="AH151" s="6" t="b">
        <v>0</v>
      </c>
      <c r="AI151" s="6" t="b">
        <v>0</v>
      </c>
      <c r="AJ151" s="6" t="b">
        <v>0</v>
      </c>
      <c r="AK151" s="6" t="b">
        <v>0</v>
      </c>
      <c r="AL151" s="9" t="str">
        <f t="shared" si="1"/>
        <v>0 dari 31 (0%)</v>
      </c>
    </row>
    <row r="152" ht="22.5" customHeight="1">
      <c r="A152" s="10">
        <v>151.0</v>
      </c>
      <c r="B152" s="11"/>
      <c r="C152" s="140"/>
      <c r="D152" s="138"/>
      <c r="E152" s="138"/>
      <c r="F152" s="13"/>
      <c r="G152" s="6" t="b">
        <v>0</v>
      </c>
      <c r="H152" s="6" t="b">
        <v>0</v>
      </c>
      <c r="I152" s="6" t="b">
        <v>0</v>
      </c>
      <c r="J152" s="6" t="b">
        <v>0</v>
      </c>
      <c r="K152" s="6" t="b">
        <v>0</v>
      </c>
      <c r="L152" s="6" t="b">
        <v>0</v>
      </c>
      <c r="M152" s="6" t="b">
        <v>0</v>
      </c>
      <c r="N152" s="6" t="b">
        <v>0</v>
      </c>
      <c r="O152" s="6" t="b">
        <v>0</v>
      </c>
      <c r="P152" s="6" t="b">
        <v>0</v>
      </c>
      <c r="Q152" s="6" t="b">
        <v>0</v>
      </c>
      <c r="R152" s="6" t="b">
        <v>0</v>
      </c>
      <c r="S152" s="6" t="b">
        <v>0</v>
      </c>
      <c r="T152" s="6" t="b">
        <v>0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0</v>
      </c>
      <c r="Z152" s="6" t="b">
        <v>0</v>
      </c>
      <c r="AA152" s="6" t="b">
        <v>0</v>
      </c>
      <c r="AB152" s="6" t="b">
        <v>0</v>
      </c>
      <c r="AC152" s="6" t="b">
        <v>0</v>
      </c>
      <c r="AD152" s="6" t="b">
        <v>0</v>
      </c>
      <c r="AE152" s="6" t="b">
        <v>0</v>
      </c>
      <c r="AF152" s="6" t="b">
        <v>0</v>
      </c>
      <c r="AG152" s="6" t="b">
        <v>0</v>
      </c>
      <c r="AH152" s="6" t="b">
        <v>0</v>
      </c>
      <c r="AI152" s="6" t="b">
        <v>0</v>
      </c>
      <c r="AJ152" s="6" t="b">
        <v>0</v>
      </c>
      <c r="AK152" s="6" t="b">
        <v>0</v>
      </c>
      <c r="AL152" s="9" t="str">
        <f t="shared" si="1"/>
        <v>0 dari 31 (0%)</v>
      </c>
    </row>
    <row r="153" ht="22.5" customHeight="1">
      <c r="A153" s="10">
        <v>152.0</v>
      </c>
      <c r="B153" s="11"/>
      <c r="C153" s="140"/>
      <c r="D153" s="138"/>
      <c r="E153" s="138"/>
      <c r="F153" s="13"/>
      <c r="G153" s="112" t="b">
        <v>0</v>
      </c>
      <c r="H153" s="112" t="b">
        <v>0</v>
      </c>
      <c r="I153" s="112" t="b">
        <v>0</v>
      </c>
      <c r="J153" s="112" t="b">
        <v>0</v>
      </c>
      <c r="K153" s="112" t="b">
        <v>0</v>
      </c>
      <c r="L153" s="112" t="b">
        <v>0</v>
      </c>
      <c r="M153" s="112" t="b">
        <v>0</v>
      </c>
      <c r="N153" s="112" t="b">
        <v>0</v>
      </c>
      <c r="O153" s="112" t="b">
        <v>0</v>
      </c>
      <c r="P153" s="112" t="b">
        <v>0</v>
      </c>
      <c r="Q153" s="112" t="b">
        <v>0</v>
      </c>
      <c r="R153" s="112" t="b">
        <v>0</v>
      </c>
      <c r="S153" s="112" t="b">
        <v>0</v>
      </c>
      <c r="T153" s="112" t="b">
        <v>0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0</v>
      </c>
      <c r="AA153" s="112" t="b">
        <v>0</v>
      </c>
      <c r="AB153" s="112" t="b">
        <v>0</v>
      </c>
      <c r="AC153" s="112" t="b">
        <v>0</v>
      </c>
      <c r="AD153" s="112" t="b">
        <v>0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0</v>
      </c>
      <c r="AJ153" s="112" t="b">
        <v>0</v>
      </c>
      <c r="AK153" s="112" t="b">
        <v>0</v>
      </c>
      <c r="AL153" s="113" t="str">
        <f t="shared" si="1"/>
        <v>0 dari 31 (0%)</v>
      </c>
    </row>
    <row r="154" ht="22.5" customHeight="1">
      <c r="A154" s="2">
        <v>153.0</v>
      </c>
      <c r="B154" s="11"/>
      <c r="C154" s="140"/>
      <c r="D154" s="138"/>
      <c r="E154" s="138"/>
      <c r="F154" s="135"/>
      <c r="G154" s="114" t="b">
        <v>0</v>
      </c>
      <c r="H154" s="114" t="b">
        <v>0</v>
      </c>
      <c r="I154" s="114" t="b">
        <v>0</v>
      </c>
      <c r="J154" s="114" t="b">
        <v>0</v>
      </c>
      <c r="K154" s="114" t="b">
        <v>0</v>
      </c>
      <c r="L154" s="114" t="b">
        <v>0</v>
      </c>
      <c r="M154" s="114" t="b">
        <v>0</v>
      </c>
      <c r="N154" s="114" t="b">
        <v>0</v>
      </c>
      <c r="O154" s="114" t="b">
        <v>0</v>
      </c>
      <c r="P154" s="114" t="b">
        <v>0</v>
      </c>
      <c r="Q154" s="114" t="b">
        <v>0</v>
      </c>
      <c r="R154" s="114" t="b">
        <v>0</v>
      </c>
      <c r="S154" s="114" t="b">
        <v>0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0</v>
      </c>
      <c r="AJ154" s="114" t="b">
        <v>0</v>
      </c>
      <c r="AK154" s="114" t="b">
        <v>0</v>
      </c>
      <c r="AL154" s="115" t="str">
        <f t="shared" si="1"/>
        <v>0 dari 31 (0%)</v>
      </c>
    </row>
    <row r="155" ht="22.5" customHeight="1">
      <c r="A155" s="10">
        <v>154.0</v>
      </c>
      <c r="B155" s="11"/>
      <c r="C155" s="140"/>
      <c r="D155" s="138"/>
      <c r="E155" s="138"/>
      <c r="F155" s="13"/>
      <c r="G155" s="114" t="b">
        <v>0</v>
      </c>
      <c r="H155" s="114" t="b">
        <v>0</v>
      </c>
      <c r="I155" s="114" t="b">
        <v>0</v>
      </c>
      <c r="J155" s="114" t="b">
        <v>0</v>
      </c>
      <c r="K155" s="114" t="b">
        <v>0</v>
      </c>
      <c r="L155" s="114" t="b">
        <v>0</v>
      </c>
      <c r="M155" s="114" t="b">
        <v>0</v>
      </c>
      <c r="N155" s="114" t="b">
        <v>0</v>
      </c>
      <c r="O155" s="114" t="b">
        <v>0</v>
      </c>
      <c r="P155" s="114" t="b">
        <v>0</v>
      </c>
      <c r="Q155" s="114" t="b">
        <v>0</v>
      </c>
      <c r="R155" s="114" t="b">
        <v>0</v>
      </c>
      <c r="S155" s="114" t="b">
        <v>0</v>
      </c>
      <c r="T155" s="114" t="b">
        <v>0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5" t="str">
        <f t="shared" si="1"/>
        <v>0 dari 31 (0%)</v>
      </c>
    </row>
    <row r="156" ht="22.5" customHeight="1">
      <c r="A156" s="10">
        <v>155.0</v>
      </c>
      <c r="B156" s="11"/>
      <c r="C156" s="140"/>
      <c r="D156" s="138"/>
      <c r="E156" s="138"/>
      <c r="F156" s="13"/>
      <c r="G156" s="114" t="b">
        <v>0</v>
      </c>
      <c r="H156" s="114" t="b">
        <v>0</v>
      </c>
      <c r="I156" s="114" t="b">
        <v>0</v>
      </c>
      <c r="J156" s="114" t="b">
        <v>0</v>
      </c>
      <c r="K156" s="114" t="b">
        <v>0</v>
      </c>
      <c r="L156" s="114" t="b">
        <v>0</v>
      </c>
      <c r="M156" s="114" t="b">
        <v>0</v>
      </c>
      <c r="N156" s="114" t="b">
        <v>0</v>
      </c>
      <c r="O156" s="114" t="b">
        <v>0</v>
      </c>
      <c r="P156" s="114" t="b">
        <v>0</v>
      </c>
      <c r="Q156" s="114" t="b">
        <v>0</v>
      </c>
      <c r="R156" s="114" t="b">
        <v>0</v>
      </c>
      <c r="S156" s="114" t="b">
        <v>0</v>
      </c>
      <c r="T156" s="114" t="b">
        <v>0</v>
      </c>
      <c r="U156" s="114" t="b">
        <v>0</v>
      </c>
      <c r="V156" s="114" t="b">
        <v>0</v>
      </c>
      <c r="W156" s="114" t="b">
        <v>0</v>
      </c>
      <c r="X156" s="114" t="b">
        <v>0</v>
      </c>
      <c r="Y156" s="114" t="b">
        <v>0</v>
      </c>
      <c r="Z156" s="114" t="b">
        <v>0</v>
      </c>
      <c r="AA156" s="114" t="b">
        <v>0</v>
      </c>
      <c r="AB156" s="114" t="b">
        <v>0</v>
      </c>
      <c r="AC156" s="114" t="b">
        <v>0</v>
      </c>
      <c r="AD156" s="114" t="b">
        <v>0</v>
      </c>
      <c r="AE156" s="114" t="b">
        <v>0</v>
      </c>
      <c r="AF156" s="114" t="b">
        <v>0</v>
      </c>
      <c r="AG156" s="114" t="b">
        <v>0</v>
      </c>
      <c r="AH156" s="114" t="b">
        <v>0</v>
      </c>
      <c r="AI156" s="114" t="b">
        <v>0</v>
      </c>
      <c r="AJ156" s="114" t="b">
        <v>0</v>
      </c>
      <c r="AK156" s="114" t="b">
        <v>0</v>
      </c>
      <c r="AL156" s="115" t="str">
        <f t="shared" si="1"/>
        <v>0 dari 31 (0%)</v>
      </c>
    </row>
    <row r="157" ht="22.5" customHeight="1">
      <c r="A157" s="2">
        <v>156.0</v>
      </c>
      <c r="B157" s="11"/>
      <c r="C157" s="140"/>
      <c r="D157" s="138"/>
      <c r="E157" s="138"/>
      <c r="F157" s="13"/>
      <c r="G157" s="114" t="b">
        <v>0</v>
      </c>
      <c r="H157" s="114" t="b">
        <v>0</v>
      </c>
      <c r="I157" s="114" t="b">
        <v>0</v>
      </c>
      <c r="J157" s="114" t="b">
        <v>0</v>
      </c>
      <c r="K157" s="114" t="b">
        <v>0</v>
      </c>
      <c r="L157" s="114" t="b">
        <v>0</v>
      </c>
      <c r="M157" s="114" t="b">
        <v>0</v>
      </c>
      <c r="N157" s="114" t="b">
        <v>0</v>
      </c>
      <c r="O157" s="114" t="b">
        <v>0</v>
      </c>
      <c r="P157" s="114" t="b">
        <v>0</v>
      </c>
      <c r="Q157" s="114" t="b">
        <v>0</v>
      </c>
      <c r="R157" s="114" t="b">
        <v>0</v>
      </c>
      <c r="S157" s="114" t="b">
        <v>0</v>
      </c>
      <c r="T157" s="114" t="b">
        <v>0</v>
      </c>
      <c r="U157" s="114" t="b">
        <v>0</v>
      </c>
      <c r="V157" s="114" t="b">
        <v>0</v>
      </c>
      <c r="W157" s="114" t="b">
        <v>0</v>
      </c>
      <c r="X157" s="114" t="b">
        <v>0</v>
      </c>
      <c r="Y157" s="114" t="b">
        <v>0</v>
      </c>
      <c r="Z157" s="114" t="b">
        <v>0</v>
      </c>
      <c r="AA157" s="114" t="b">
        <v>0</v>
      </c>
      <c r="AB157" s="114" t="b">
        <v>0</v>
      </c>
      <c r="AC157" s="114" t="b">
        <v>0</v>
      </c>
      <c r="AD157" s="114" t="b">
        <v>0</v>
      </c>
      <c r="AE157" s="114" t="b">
        <v>0</v>
      </c>
      <c r="AF157" s="114" t="b">
        <v>0</v>
      </c>
      <c r="AG157" s="114" t="b">
        <v>0</v>
      </c>
      <c r="AH157" s="114" t="b">
        <v>0</v>
      </c>
      <c r="AI157" s="114" t="b">
        <v>0</v>
      </c>
      <c r="AJ157" s="114" t="b">
        <v>0</v>
      </c>
      <c r="AK157" s="114" t="b">
        <v>0</v>
      </c>
      <c r="AL157" s="115" t="str">
        <f t="shared" si="1"/>
        <v>0 dari 31 (0%)</v>
      </c>
    </row>
    <row r="158" ht="22.5" customHeight="1">
      <c r="A158" s="10">
        <v>157.0</v>
      </c>
      <c r="B158" s="11"/>
      <c r="C158" s="140"/>
      <c r="D158" s="138"/>
      <c r="E158" s="138"/>
      <c r="F158" s="13"/>
      <c r="G158" s="114" t="b">
        <v>0</v>
      </c>
      <c r="H158" s="114" t="b">
        <v>0</v>
      </c>
      <c r="I158" s="114" t="b">
        <v>0</v>
      </c>
      <c r="J158" s="114" t="b">
        <v>0</v>
      </c>
      <c r="K158" s="114" t="b">
        <v>0</v>
      </c>
      <c r="L158" s="114" t="b">
        <v>0</v>
      </c>
      <c r="M158" s="114" t="b">
        <v>0</v>
      </c>
      <c r="N158" s="114" t="b">
        <v>0</v>
      </c>
      <c r="O158" s="114" t="b">
        <v>0</v>
      </c>
      <c r="P158" s="114" t="b">
        <v>0</v>
      </c>
      <c r="Q158" s="114" t="b">
        <v>0</v>
      </c>
      <c r="R158" s="114" t="b">
        <v>0</v>
      </c>
      <c r="S158" s="114" t="b">
        <v>0</v>
      </c>
      <c r="T158" s="114" t="b">
        <v>0</v>
      </c>
      <c r="U158" s="114" t="b">
        <v>0</v>
      </c>
      <c r="V158" s="114" t="b">
        <v>0</v>
      </c>
      <c r="W158" s="114" t="b">
        <v>0</v>
      </c>
      <c r="X158" s="114" t="b">
        <v>0</v>
      </c>
      <c r="Y158" s="114" t="b">
        <v>0</v>
      </c>
      <c r="Z158" s="114" t="b">
        <v>0</v>
      </c>
      <c r="AA158" s="114" t="b">
        <v>0</v>
      </c>
      <c r="AB158" s="114" t="b">
        <v>0</v>
      </c>
      <c r="AC158" s="114" t="b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 t="b">
        <v>0</v>
      </c>
      <c r="AI158" s="114" t="b">
        <v>0</v>
      </c>
      <c r="AJ158" s="114" t="b">
        <v>0</v>
      </c>
      <c r="AK158" s="114" t="b">
        <v>0</v>
      </c>
      <c r="AL158" s="115" t="str">
        <f t="shared" si="1"/>
        <v>0 dari 31 (0%)</v>
      </c>
    </row>
    <row r="159" ht="22.5" customHeight="1">
      <c r="A159" s="10">
        <v>158.0</v>
      </c>
      <c r="B159" s="11"/>
      <c r="C159" s="140"/>
      <c r="D159" s="138"/>
      <c r="E159" s="138"/>
      <c r="F159" s="13"/>
      <c r="G159" s="114" t="b">
        <v>0</v>
      </c>
      <c r="H159" s="114" t="b">
        <v>0</v>
      </c>
      <c r="I159" s="114" t="b">
        <v>0</v>
      </c>
      <c r="J159" s="114" t="b">
        <v>0</v>
      </c>
      <c r="K159" s="114" t="b">
        <v>0</v>
      </c>
      <c r="L159" s="114" t="b">
        <v>0</v>
      </c>
      <c r="M159" s="114" t="b">
        <v>0</v>
      </c>
      <c r="N159" s="114" t="b">
        <v>0</v>
      </c>
      <c r="O159" s="114" t="b">
        <v>0</v>
      </c>
      <c r="P159" s="114" t="b">
        <v>0</v>
      </c>
      <c r="Q159" s="114" t="b">
        <v>0</v>
      </c>
      <c r="R159" s="114" t="b">
        <v>0</v>
      </c>
      <c r="S159" s="114" t="b">
        <v>0</v>
      </c>
      <c r="T159" s="114" t="b">
        <v>0</v>
      </c>
      <c r="U159" s="114" t="b">
        <v>0</v>
      </c>
      <c r="V159" s="114" t="b">
        <v>0</v>
      </c>
      <c r="W159" s="114" t="b">
        <v>0</v>
      </c>
      <c r="X159" s="114" t="b">
        <v>0</v>
      </c>
      <c r="Y159" s="114" t="b">
        <v>0</v>
      </c>
      <c r="Z159" s="114" t="b">
        <v>0</v>
      </c>
      <c r="AA159" s="114" t="b">
        <v>0</v>
      </c>
      <c r="AB159" s="114" t="b">
        <v>0</v>
      </c>
      <c r="AC159" s="114" t="b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 t="b">
        <v>0</v>
      </c>
      <c r="AI159" s="114" t="b">
        <v>0</v>
      </c>
      <c r="AJ159" s="114" t="b">
        <v>0</v>
      </c>
      <c r="AK159" s="114" t="b">
        <v>0</v>
      </c>
      <c r="AL159" s="115" t="str">
        <f t="shared" si="1"/>
        <v>0 dari 31 (0%)</v>
      </c>
    </row>
    <row r="160" ht="22.5" customHeight="1">
      <c r="A160" s="2">
        <v>159.0</v>
      </c>
      <c r="B160" s="11"/>
      <c r="C160" s="140"/>
      <c r="D160" s="138"/>
      <c r="E160" s="138"/>
      <c r="F160" s="13"/>
      <c r="G160" s="114" t="b">
        <v>0</v>
      </c>
      <c r="H160" s="114" t="b">
        <v>0</v>
      </c>
      <c r="I160" s="114" t="b">
        <v>0</v>
      </c>
      <c r="J160" s="114" t="b">
        <v>0</v>
      </c>
      <c r="K160" s="114" t="b">
        <v>0</v>
      </c>
      <c r="L160" s="114" t="b">
        <v>0</v>
      </c>
      <c r="M160" s="114" t="b">
        <v>0</v>
      </c>
      <c r="N160" s="114" t="b">
        <v>0</v>
      </c>
      <c r="O160" s="114" t="b">
        <v>0</v>
      </c>
      <c r="P160" s="114" t="b">
        <v>0</v>
      </c>
      <c r="Q160" s="114" t="b">
        <v>0</v>
      </c>
      <c r="R160" s="114" t="b">
        <v>0</v>
      </c>
      <c r="S160" s="114" t="b">
        <v>0</v>
      </c>
      <c r="T160" s="114" t="b">
        <v>0</v>
      </c>
      <c r="U160" s="114" t="b">
        <v>0</v>
      </c>
      <c r="V160" s="114" t="b">
        <v>0</v>
      </c>
      <c r="W160" s="114" t="b">
        <v>0</v>
      </c>
      <c r="X160" s="114" t="b">
        <v>0</v>
      </c>
      <c r="Y160" s="114" t="b">
        <v>0</v>
      </c>
      <c r="Z160" s="114" t="b">
        <v>0</v>
      </c>
      <c r="AA160" s="114" t="b">
        <v>0</v>
      </c>
      <c r="AB160" s="114" t="b">
        <v>0</v>
      </c>
      <c r="AC160" s="114" t="b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 t="b">
        <v>0</v>
      </c>
      <c r="AI160" s="114" t="b">
        <v>0</v>
      </c>
      <c r="AJ160" s="114" t="b">
        <v>0</v>
      </c>
      <c r="AK160" s="114" t="b">
        <v>0</v>
      </c>
      <c r="AL160" s="115" t="str">
        <f t="shared" si="1"/>
        <v>0 dari 31 (0%)</v>
      </c>
    </row>
    <row r="161" ht="22.5" customHeight="1">
      <c r="A161" s="10">
        <v>160.0</v>
      </c>
      <c r="B161" s="11"/>
      <c r="C161" s="140"/>
      <c r="D161" s="138"/>
      <c r="E161" s="138"/>
      <c r="F161" s="13"/>
      <c r="G161" s="114" t="b">
        <v>0</v>
      </c>
      <c r="H161" s="114" t="b">
        <v>0</v>
      </c>
      <c r="I161" s="114" t="b">
        <v>0</v>
      </c>
      <c r="J161" s="114" t="b">
        <v>0</v>
      </c>
      <c r="K161" s="114" t="b">
        <v>0</v>
      </c>
      <c r="L161" s="114" t="b">
        <v>0</v>
      </c>
      <c r="M161" s="114" t="b">
        <v>0</v>
      </c>
      <c r="N161" s="114" t="b">
        <v>0</v>
      </c>
      <c r="O161" s="114" t="b">
        <v>0</v>
      </c>
      <c r="P161" s="114" t="b">
        <v>0</v>
      </c>
      <c r="Q161" s="114" t="b">
        <v>0</v>
      </c>
      <c r="R161" s="114" t="b">
        <v>0</v>
      </c>
      <c r="S161" s="114" t="b">
        <v>0</v>
      </c>
      <c r="T161" s="114" t="b">
        <v>0</v>
      </c>
      <c r="U161" s="114" t="b">
        <v>0</v>
      </c>
      <c r="V161" s="114" t="b">
        <v>0</v>
      </c>
      <c r="W161" s="114" t="b">
        <v>0</v>
      </c>
      <c r="X161" s="114" t="b">
        <v>0</v>
      </c>
      <c r="Y161" s="114" t="b">
        <v>0</v>
      </c>
      <c r="Z161" s="114" t="b">
        <v>0</v>
      </c>
      <c r="AA161" s="114" t="b">
        <v>0</v>
      </c>
      <c r="AB161" s="114" t="b">
        <v>0</v>
      </c>
      <c r="AC161" s="114" t="b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 t="b">
        <v>0</v>
      </c>
      <c r="AI161" s="114" t="b">
        <v>0</v>
      </c>
      <c r="AJ161" s="114" t="b">
        <v>0</v>
      </c>
      <c r="AK161" s="114" t="b">
        <v>0</v>
      </c>
      <c r="AL161" s="115" t="str">
        <f t="shared" si="1"/>
        <v>0 dari 31 (0%)</v>
      </c>
    </row>
    <row r="162" ht="22.5" customHeight="1">
      <c r="A162" s="10">
        <v>161.0</v>
      </c>
      <c r="B162" s="11"/>
      <c r="C162" s="140"/>
      <c r="D162" s="138"/>
      <c r="E162" s="138"/>
      <c r="F162" s="13"/>
      <c r="G162" s="114" t="b">
        <v>0</v>
      </c>
      <c r="H162" s="114" t="b">
        <v>0</v>
      </c>
      <c r="I162" s="114" t="b">
        <v>0</v>
      </c>
      <c r="J162" s="114" t="b">
        <v>0</v>
      </c>
      <c r="K162" s="114" t="b">
        <v>0</v>
      </c>
      <c r="L162" s="114" t="b">
        <v>0</v>
      </c>
      <c r="M162" s="114" t="b">
        <v>0</v>
      </c>
      <c r="N162" s="114" t="b">
        <v>0</v>
      </c>
      <c r="O162" s="114" t="b">
        <v>0</v>
      </c>
      <c r="P162" s="114" t="b">
        <v>0</v>
      </c>
      <c r="Q162" s="114" t="b">
        <v>0</v>
      </c>
      <c r="R162" s="114" t="b">
        <v>0</v>
      </c>
      <c r="S162" s="114" t="b">
        <v>0</v>
      </c>
      <c r="T162" s="114" t="b">
        <v>0</v>
      </c>
      <c r="U162" s="114" t="b">
        <v>0</v>
      </c>
      <c r="V162" s="114" t="b">
        <v>0</v>
      </c>
      <c r="W162" s="114" t="b">
        <v>0</v>
      </c>
      <c r="X162" s="114" t="b">
        <v>0</v>
      </c>
      <c r="Y162" s="114" t="b">
        <v>0</v>
      </c>
      <c r="Z162" s="114" t="b">
        <v>0</v>
      </c>
      <c r="AA162" s="114" t="b">
        <v>0</v>
      </c>
      <c r="AB162" s="114" t="b">
        <v>0</v>
      </c>
      <c r="AC162" s="114" t="b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 t="b">
        <v>0</v>
      </c>
      <c r="AI162" s="114" t="b">
        <v>0</v>
      </c>
      <c r="AJ162" s="114" t="b">
        <v>0</v>
      </c>
      <c r="AK162" s="114" t="b">
        <v>0</v>
      </c>
      <c r="AL162" s="115" t="str">
        <f t="shared" si="1"/>
        <v>0 dari 31 (0%)</v>
      </c>
    </row>
    <row r="163" ht="22.5" customHeight="1">
      <c r="A163" s="2">
        <v>162.0</v>
      </c>
      <c r="B163" s="11"/>
      <c r="C163" s="140"/>
      <c r="D163" s="138"/>
      <c r="E163" s="138"/>
      <c r="F163" s="13"/>
      <c r="G163" s="114" t="b">
        <v>0</v>
      </c>
      <c r="H163" s="114" t="b">
        <v>0</v>
      </c>
      <c r="I163" s="114" t="b">
        <v>0</v>
      </c>
      <c r="J163" s="114" t="b">
        <v>0</v>
      </c>
      <c r="K163" s="114" t="b">
        <v>0</v>
      </c>
      <c r="L163" s="114" t="b">
        <v>0</v>
      </c>
      <c r="M163" s="114" t="b">
        <v>0</v>
      </c>
      <c r="N163" s="114" t="b">
        <v>0</v>
      </c>
      <c r="O163" s="114" t="b">
        <v>0</v>
      </c>
      <c r="P163" s="114" t="b">
        <v>0</v>
      </c>
      <c r="Q163" s="114" t="b">
        <v>0</v>
      </c>
      <c r="R163" s="114" t="b">
        <v>0</v>
      </c>
      <c r="S163" s="114" t="b">
        <v>0</v>
      </c>
      <c r="T163" s="114" t="b">
        <v>0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0</v>
      </c>
      <c r="AJ163" s="114" t="b">
        <v>0</v>
      </c>
      <c r="AK163" s="114" t="b">
        <v>0</v>
      </c>
      <c r="AL163" s="115" t="str">
        <f t="shared" si="1"/>
        <v>0 dari 31 (0%)</v>
      </c>
    </row>
    <row r="164" ht="22.5" customHeight="1">
      <c r="A164" s="10">
        <v>163.0</v>
      </c>
      <c r="B164" s="11"/>
      <c r="C164" s="140"/>
      <c r="D164" s="138"/>
      <c r="E164" s="138"/>
      <c r="F164" s="13"/>
      <c r="G164" s="114" t="b">
        <v>0</v>
      </c>
      <c r="H164" s="114" t="b">
        <v>0</v>
      </c>
      <c r="I164" s="114" t="b">
        <v>0</v>
      </c>
      <c r="J164" s="114" t="b">
        <v>0</v>
      </c>
      <c r="K164" s="114" t="b">
        <v>0</v>
      </c>
      <c r="L164" s="114" t="b">
        <v>0</v>
      </c>
      <c r="M164" s="114" t="b">
        <v>0</v>
      </c>
      <c r="N164" s="114" t="b">
        <v>0</v>
      </c>
      <c r="O164" s="114" t="b">
        <v>0</v>
      </c>
      <c r="P164" s="114" t="b">
        <v>0</v>
      </c>
      <c r="Q164" s="114" t="b">
        <v>0</v>
      </c>
      <c r="R164" s="114" t="b">
        <v>0</v>
      </c>
      <c r="S164" s="114" t="b">
        <v>0</v>
      </c>
      <c r="T164" s="114" t="b">
        <v>0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0</v>
      </c>
      <c r="AJ164" s="114" t="b">
        <v>0</v>
      </c>
      <c r="AK164" s="114" t="b">
        <v>0</v>
      </c>
      <c r="AL164" s="115" t="str">
        <f t="shared" si="1"/>
        <v>0 dari 31 (0%)</v>
      </c>
    </row>
    <row r="165" ht="22.5" customHeight="1">
      <c r="A165" s="10">
        <v>164.0</v>
      </c>
      <c r="B165" s="11"/>
      <c r="C165" s="140"/>
      <c r="D165" s="138"/>
      <c r="E165" s="138"/>
      <c r="F165" s="13"/>
      <c r="G165" s="114" t="b">
        <v>0</v>
      </c>
      <c r="H165" s="114" t="b">
        <v>0</v>
      </c>
      <c r="I165" s="114" t="b">
        <v>0</v>
      </c>
      <c r="J165" s="114" t="b">
        <v>0</v>
      </c>
      <c r="K165" s="114" t="b">
        <v>0</v>
      </c>
      <c r="L165" s="114" t="b">
        <v>0</v>
      </c>
      <c r="M165" s="114" t="b">
        <v>0</v>
      </c>
      <c r="N165" s="114" t="b">
        <v>0</v>
      </c>
      <c r="O165" s="114" t="b">
        <v>0</v>
      </c>
      <c r="P165" s="114" t="b">
        <v>0</v>
      </c>
      <c r="Q165" s="114" t="b">
        <v>0</v>
      </c>
      <c r="R165" s="114" t="b">
        <v>0</v>
      </c>
      <c r="S165" s="114" t="b">
        <v>0</v>
      </c>
      <c r="T165" s="114" t="b">
        <v>0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0</v>
      </c>
      <c r="AA165" s="114" t="b">
        <v>0</v>
      </c>
      <c r="AB165" s="114" t="b">
        <v>0</v>
      </c>
      <c r="AC165" s="114" t="b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0</v>
      </c>
      <c r="AJ165" s="114" t="b">
        <v>0</v>
      </c>
      <c r="AK165" s="114" t="b">
        <v>0</v>
      </c>
      <c r="AL165" s="115" t="str">
        <f t="shared" si="1"/>
        <v>0 dari 31 (0%)</v>
      </c>
    </row>
    <row r="166" ht="22.5" customHeight="1">
      <c r="A166" s="2">
        <v>165.0</v>
      </c>
      <c r="B166" s="11"/>
      <c r="C166" s="140"/>
      <c r="D166" s="138"/>
      <c r="E166" s="138"/>
      <c r="F166" s="13"/>
      <c r="G166" s="114" t="b">
        <v>0</v>
      </c>
      <c r="H166" s="114" t="b">
        <v>0</v>
      </c>
      <c r="I166" s="114" t="b">
        <v>0</v>
      </c>
      <c r="J166" s="114" t="b">
        <v>0</v>
      </c>
      <c r="K166" s="114" t="b">
        <v>0</v>
      </c>
      <c r="L166" s="114" t="b">
        <v>0</v>
      </c>
      <c r="M166" s="114" t="b">
        <v>0</v>
      </c>
      <c r="N166" s="114" t="b">
        <v>0</v>
      </c>
      <c r="O166" s="114" t="b">
        <v>0</v>
      </c>
      <c r="P166" s="114" t="b">
        <v>0</v>
      </c>
      <c r="Q166" s="114" t="b">
        <v>0</v>
      </c>
      <c r="R166" s="114" t="b">
        <v>0</v>
      </c>
      <c r="S166" s="114" t="b">
        <v>0</v>
      </c>
      <c r="T166" s="114" t="b">
        <v>0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0</v>
      </c>
      <c r="AJ166" s="114" t="b">
        <v>0</v>
      </c>
      <c r="AK166" s="114" t="b">
        <v>0</v>
      </c>
      <c r="AL166" s="115" t="str">
        <f t="shared" si="1"/>
        <v>0 dari 31 (0%)</v>
      </c>
    </row>
    <row r="167" ht="22.5" customHeight="1">
      <c r="A167" s="10">
        <v>166.0</v>
      </c>
      <c r="B167" s="11"/>
      <c r="C167" s="140"/>
      <c r="D167" s="138"/>
      <c r="E167" s="138"/>
      <c r="F167" s="13"/>
      <c r="G167" s="114" t="b">
        <v>0</v>
      </c>
      <c r="H167" s="114" t="b">
        <v>0</v>
      </c>
      <c r="I167" s="114" t="b">
        <v>0</v>
      </c>
      <c r="J167" s="114" t="b">
        <v>0</v>
      </c>
      <c r="K167" s="114" t="b">
        <v>0</v>
      </c>
      <c r="L167" s="114" t="b">
        <v>0</v>
      </c>
      <c r="M167" s="114" t="b">
        <v>0</v>
      </c>
      <c r="N167" s="114" t="b">
        <v>0</v>
      </c>
      <c r="O167" s="114" t="b">
        <v>0</v>
      </c>
      <c r="P167" s="114" t="b">
        <v>0</v>
      </c>
      <c r="Q167" s="114" t="b">
        <v>0</v>
      </c>
      <c r="R167" s="114" t="b">
        <v>0</v>
      </c>
      <c r="S167" s="114" t="b">
        <v>0</v>
      </c>
      <c r="T167" s="114" t="b">
        <v>0</v>
      </c>
      <c r="U167" s="114" t="b">
        <v>0</v>
      </c>
      <c r="V167" s="114" t="b">
        <v>0</v>
      </c>
      <c r="W167" s="114" t="b">
        <v>0</v>
      </c>
      <c r="X167" s="114" t="b">
        <v>0</v>
      </c>
      <c r="Y167" s="114" t="b">
        <v>0</v>
      </c>
      <c r="Z167" s="114" t="b">
        <v>0</v>
      </c>
      <c r="AA167" s="114" t="b">
        <v>0</v>
      </c>
      <c r="AB167" s="114" t="b">
        <v>0</v>
      </c>
      <c r="AC167" s="114" t="b">
        <v>0</v>
      </c>
      <c r="AD167" s="114" t="b">
        <v>0</v>
      </c>
      <c r="AE167" s="114" t="b">
        <v>0</v>
      </c>
      <c r="AF167" s="114" t="b">
        <v>0</v>
      </c>
      <c r="AG167" s="114" t="b">
        <v>0</v>
      </c>
      <c r="AH167" s="114" t="b">
        <v>0</v>
      </c>
      <c r="AI167" s="114" t="b">
        <v>0</v>
      </c>
      <c r="AJ167" s="114" t="b">
        <v>0</v>
      </c>
      <c r="AK167" s="114" t="b">
        <v>0</v>
      </c>
      <c r="AL167" s="115" t="str">
        <f t="shared" si="1"/>
        <v>0 dari 31 (0%)</v>
      </c>
    </row>
    <row r="168" ht="22.5" customHeight="1">
      <c r="A168" s="10">
        <v>167.0</v>
      </c>
      <c r="B168" s="11"/>
      <c r="C168" s="140"/>
      <c r="D168" s="138"/>
      <c r="E168" s="138"/>
      <c r="F168" s="13"/>
      <c r="G168" s="114" t="b">
        <v>0</v>
      </c>
      <c r="H168" s="114" t="b">
        <v>0</v>
      </c>
      <c r="I168" s="114" t="b">
        <v>0</v>
      </c>
      <c r="J168" s="114" t="b">
        <v>0</v>
      </c>
      <c r="K168" s="114" t="b">
        <v>0</v>
      </c>
      <c r="L168" s="114" t="b">
        <v>0</v>
      </c>
      <c r="M168" s="114" t="b">
        <v>0</v>
      </c>
      <c r="N168" s="114" t="b">
        <v>0</v>
      </c>
      <c r="O168" s="114" t="b">
        <v>0</v>
      </c>
      <c r="P168" s="114" t="b">
        <v>0</v>
      </c>
      <c r="Q168" s="114" t="b">
        <v>0</v>
      </c>
      <c r="R168" s="114" t="b">
        <v>0</v>
      </c>
      <c r="S168" s="114" t="b">
        <v>0</v>
      </c>
      <c r="T168" s="114" t="b">
        <v>0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0</v>
      </c>
      <c r="AJ168" s="114" t="b">
        <v>0</v>
      </c>
      <c r="AK168" s="114" t="b">
        <v>0</v>
      </c>
      <c r="AL168" s="115" t="str">
        <f t="shared" si="1"/>
        <v>0 dari 31 (0%)</v>
      </c>
    </row>
    <row r="169" ht="22.5" customHeight="1">
      <c r="A169" s="2">
        <v>168.0</v>
      </c>
      <c r="B169" s="11"/>
      <c r="C169" s="140"/>
      <c r="D169" s="138"/>
      <c r="E169" s="138"/>
      <c r="F169" s="13"/>
      <c r="G169" s="114" t="b">
        <v>0</v>
      </c>
      <c r="H169" s="114" t="b">
        <v>0</v>
      </c>
      <c r="I169" s="114" t="b">
        <v>0</v>
      </c>
      <c r="J169" s="114" t="b">
        <v>0</v>
      </c>
      <c r="K169" s="114" t="b">
        <v>0</v>
      </c>
      <c r="L169" s="114" t="b">
        <v>0</v>
      </c>
      <c r="M169" s="114" t="b">
        <v>0</v>
      </c>
      <c r="N169" s="114" t="b">
        <v>0</v>
      </c>
      <c r="O169" s="114" t="b">
        <v>0</v>
      </c>
      <c r="P169" s="114" t="b">
        <v>0</v>
      </c>
      <c r="Q169" s="114" t="b">
        <v>0</v>
      </c>
      <c r="R169" s="114" t="b">
        <v>0</v>
      </c>
      <c r="S169" s="114" t="b">
        <v>0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0</v>
      </c>
      <c r="AJ169" s="114" t="b">
        <v>0</v>
      </c>
      <c r="AK169" s="114" t="b">
        <v>0</v>
      </c>
      <c r="AL169" s="115" t="str">
        <f t="shared" si="1"/>
        <v>0 dari 31 (0%)</v>
      </c>
    </row>
    <row r="170" ht="22.5" customHeight="1">
      <c r="A170" s="10">
        <v>169.0</v>
      </c>
      <c r="B170" s="11"/>
      <c r="C170" s="140"/>
      <c r="D170" s="138"/>
      <c r="E170" s="138"/>
      <c r="F170" s="13"/>
      <c r="G170" s="114" t="b">
        <v>0</v>
      </c>
      <c r="H170" s="114" t="b">
        <v>0</v>
      </c>
      <c r="I170" s="114" t="b">
        <v>0</v>
      </c>
      <c r="J170" s="114" t="b">
        <v>0</v>
      </c>
      <c r="K170" s="114" t="b">
        <v>0</v>
      </c>
      <c r="L170" s="114" t="b">
        <v>0</v>
      </c>
      <c r="M170" s="114" t="b">
        <v>0</v>
      </c>
      <c r="N170" s="114" t="b">
        <v>0</v>
      </c>
      <c r="O170" s="114" t="b">
        <v>0</v>
      </c>
      <c r="P170" s="114" t="b">
        <v>0</v>
      </c>
      <c r="Q170" s="114" t="b">
        <v>0</v>
      </c>
      <c r="R170" s="114" t="b">
        <v>0</v>
      </c>
      <c r="S170" s="114" t="b">
        <v>0</v>
      </c>
      <c r="T170" s="114" t="b">
        <v>0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0</v>
      </c>
      <c r="AA170" s="114" t="b">
        <v>0</v>
      </c>
      <c r="AB170" s="114" t="b">
        <v>0</v>
      </c>
      <c r="AC170" s="114" t="b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0</v>
      </c>
      <c r="AJ170" s="114" t="b">
        <v>0</v>
      </c>
      <c r="AK170" s="114" t="b">
        <v>0</v>
      </c>
      <c r="AL170" s="115" t="str">
        <f t="shared" si="1"/>
        <v>0 dari 31 (0%)</v>
      </c>
    </row>
    <row r="171" ht="22.5" customHeight="1">
      <c r="A171" s="10">
        <v>170.0</v>
      </c>
      <c r="B171" s="11"/>
      <c r="C171" s="140"/>
      <c r="D171" s="138"/>
      <c r="E171" s="138"/>
      <c r="F171" s="13"/>
      <c r="G171" s="114" t="b">
        <v>0</v>
      </c>
      <c r="H171" s="114" t="b">
        <v>0</v>
      </c>
      <c r="I171" s="114" t="b">
        <v>0</v>
      </c>
      <c r="J171" s="114" t="b">
        <v>0</v>
      </c>
      <c r="K171" s="114" t="b">
        <v>0</v>
      </c>
      <c r="L171" s="114" t="b">
        <v>0</v>
      </c>
      <c r="M171" s="114" t="b">
        <v>0</v>
      </c>
      <c r="N171" s="114" t="b">
        <v>0</v>
      </c>
      <c r="O171" s="114" t="b">
        <v>0</v>
      </c>
      <c r="P171" s="114" t="b">
        <v>0</v>
      </c>
      <c r="Q171" s="114" t="b">
        <v>0</v>
      </c>
      <c r="R171" s="114" t="b">
        <v>0</v>
      </c>
      <c r="S171" s="114" t="b">
        <v>0</v>
      </c>
      <c r="T171" s="114" t="b">
        <v>0</v>
      </c>
      <c r="U171" s="114" t="b">
        <v>0</v>
      </c>
      <c r="V171" s="114" t="b">
        <v>0</v>
      </c>
      <c r="W171" s="114" t="b">
        <v>0</v>
      </c>
      <c r="X171" s="114" t="b">
        <v>0</v>
      </c>
      <c r="Y171" s="114" t="b">
        <v>0</v>
      </c>
      <c r="Z171" s="114" t="b">
        <v>0</v>
      </c>
      <c r="AA171" s="114" t="b">
        <v>0</v>
      </c>
      <c r="AB171" s="114" t="b">
        <v>0</v>
      </c>
      <c r="AC171" s="114" t="b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 t="b">
        <v>0</v>
      </c>
      <c r="AI171" s="114" t="b">
        <v>0</v>
      </c>
      <c r="AJ171" s="114" t="b">
        <v>0</v>
      </c>
      <c r="AK171" s="114" t="b">
        <v>0</v>
      </c>
      <c r="AL171" s="115" t="str">
        <f t="shared" si="1"/>
        <v>0 dari 31 (0%)</v>
      </c>
    </row>
    <row r="172" ht="22.5" customHeight="1">
      <c r="A172" s="2">
        <v>171.0</v>
      </c>
      <c r="B172" s="11"/>
      <c r="C172" s="140"/>
      <c r="D172" s="138"/>
      <c r="E172" s="138"/>
      <c r="F172" s="13"/>
      <c r="G172" s="114" t="b">
        <v>0</v>
      </c>
      <c r="H172" s="114" t="b">
        <v>0</v>
      </c>
      <c r="I172" s="114" t="b">
        <v>0</v>
      </c>
      <c r="J172" s="114" t="b">
        <v>0</v>
      </c>
      <c r="K172" s="114" t="b">
        <v>0</v>
      </c>
      <c r="L172" s="114" t="b">
        <v>0</v>
      </c>
      <c r="M172" s="114" t="b">
        <v>0</v>
      </c>
      <c r="N172" s="114" t="b">
        <v>0</v>
      </c>
      <c r="O172" s="114" t="b">
        <v>0</v>
      </c>
      <c r="P172" s="114" t="b">
        <v>0</v>
      </c>
      <c r="Q172" s="114" t="b">
        <v>0</v>
      </c>
      <c r="R172" s="114" t="b">
        <v>0</v>
      </c>
      <c r="S172" s="114" t="b">
        <v>0</v>
      </c>
      <c r="T172" s="114" t="b">
        <v>0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0</v>
      </c>
      <c r="AJ172" s="114" t="b">
        <v>0</v>
      </c>
      <c r="AK172" s="114" t="b">
        <v>0</v>
      </c>
      <c r="AL172" s="115" t="str">
        <f t="shared" si="1"/>
        <v>0 dari 31 (0%)</v>
      </c>
    </row>
    <row r="173" ht="22.5" customHeight="1">
      <c r="A173" s="10">
        <v>172.0</v>
      </c>
      <c r="B173" s="11"/>
      <c r="C173" s="140"/>
      <c r="D173" s="138"/>
      <c r="E173" s="138"/>
      <c r="F173" s="13"/>
      <c r="G173" s="114" t="b">
        <v>0</v>
      </c>
      <c r="H173" s="114" t="b">
        <v>0</v>
      </c>
      <c r="I173" s="114" t="b">
        <v>0</v>
      </c>
      <c r="J173" s="114" t="b">
        <v>0</v>
      </c>
      <c r="K173" s="114" t="b">
        <v>0</v>
      </c>
      <c r="L173" s="114" t="b">
        <v>0</v>
      </c>
      <c r="M173" s="114" t="b">
        <v>0</v>
      </c>
      <c r="N173" s="114" t="b">
        <v>0</v>
      </c>
      <c r="O173" s="114" t="b">
        <v>0</v>
      </c>
      <c r="P173" s="114" t="b">
        <v>0</v>
      </c>
      <c r="Q173" s="114" t="b">
        <v>0</v>
      </c>
      <c r="R173" s="114" t="b">
        <v>0</v>
      </c>
      <c r="S173" s="114" t="b">
        <v>0</v>
      </c>
      <c r="T173" s="114" t="b">
        <v>0</v>
      </c>
      <c r="U173" s="114" t="b">
        <v>0</v>
      </c>
      <c r="V173" s="114" t="b">
        <v>0</v>
      </c>
      <c r="W173" s="114" t="b">
        <v>0</v>
      </c>
      <c r="X173" s="114" t="b">
        <v>0</v>
      </c>
      <c r="Y173" s="114" t="b">
        <v>0</v>
      </c>
      <c r="Z173" s="114" t="b">
        <v>0</v>
      </c>
      <c r="AA173" s="114" t="b">
        <v>0</v>
      </c>
      <c r="AB173" s="114" t="b">
        <v>0</v>
      </c>
      <c r="AC173" s="114" t="b">
        <v>0</v>
      </c>
      <c r="AD173" s="114" t="b">
        <v>0</v>
      </c>
      <c r="AE173" s="114" t="b">
        <v>0</v>
      </c>
      <c r="AF173" s="114" t="b">
        <v>0</v>
      </c>
      <c r="AG173" s="114" t="b">
        <v>0</v>
      </c>
      <c r="AH173" s="114" t="b">
        <v>0</v>
      </c>
      <c r="AI173" s="114" t="b">
        <v>0</v>
      </c>
      <c r="AJ173" s="114" t="b">
        <v>0</v>
      </c>
      <c r="AK173" s="114" t="b">
        <v>0</v>
      </c>
      <c r="AL173" s="115" t="str">
        <f t="shared" si="1"/>
        <v>0 dari 31 (0%)</v>
      </c>
    </row>
    <row r="174" ht="22.5" customHeight="1">
      <c r="A174" s="10">
        <v>173.0</v>
      </c>
      <c r="B174" s="11"/>
      <c r="C174" s="140"/>
      <c r="D174" s="138"/>
      <c r="E174" s="138"/>
      <c r="F174" s="13"/>
      <c r="G174" s="114" t="b">
        <v>0</v>
      </c>
      <c r="H174" s="114" t="b">
        <v>0</v>
      </c>
      <c r="I174" s="114" t="b">
        <v>0</v>
      </c>
      <c r="J174" s="114" t="b">
        <v>0</v>
      </c>
      <c r="K174" s="114" t="b">
        <v>0</v>
      </c>
      <c r="L174" s="114" t="b">
        <v>0</v>
      </c>
      <c r="M174" s="114" t="b">
        <v>0</v>
      </c>
      <c r="N174" s="114" t="b">
        <v>0</v>
      </c>
      <c r="O174" s="114" t="b">
        <v>0</v>
      </c>
      <c r="P174" s="114" t="b">
        <v>0</v>
      </c>
      <c r="Q174" s="114" t="b">
        <v>0</v>
      </c>
      <c r="R174" s="114" t="b">
        <v>0</v>
      </c>
      <c r="S174" s="114" t="b">
        <v>0</v>
      </c>
      <c r="T174" s="114" t="b">
        <v>0</v>
      </c>
      <c r="U174" s="114" t="b">
        <v>0</v>
      </c>
      <c r="V174" s="114" t="b">
        <v>0</v>
      </c>
      <c r="W174" s="114" t="b">
        <v>0</v>
      </c>
      <c r="X174" s="114" t="b">
        <v>0</v>
      </c>
      <c r="Y174" s="114" t="b">
        <v>0</v>
      </c>
      <c r="Z174" s="114" t="b">
        <v>0</v>
      </c>
      <c r="AA174" s="114" t="b">
        <v>0</v>
      </c>
      <c r="AB174" s="114" t="b">
        <v>0</v>
      </c>
      <c r="AC174" s="114" t="b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 t="b">
        <v>0</v>
      </c>
      <c r="AI174" s="114" t="b">
        <v>0</v>
      </c>
      <c r="AJ174" s="114" t="b">
        <v>0</v>
      </c>
      <c r="AK174" s="114" t="b">
        <v>0</v>
      </c>
      <c r="AL174" s="115" t="str">
        <f t="shared" si="1"/>
        <v>0 dari 31 (0%)</v>
      </c>
    </row>
    <row r="175" ht="22.5" customHeight="1">
      <c r="A175" s="2">
        <v>174.0</v>
      </c>
      <c r="B175" s="11"/>
      <c r="C175" s="140"/>
      <c r="D175" s="138"/>
      <c r="E175" s="138"/>
      <c r="F175" s="13"/>
      <c r="G175" s="114" t="b">
        <v>0</v>
      </c>
      <c r="H175" s="114" t="b">
        <v>0</v>
      </c>
      <c r="I175" s="114" t="b">
        <v>0</v>
      </c>
      <c r="J175" s="114" t="b">
        <v>0</v>
      </c>
      <c r="K175" s="114" t="b">
        <v>0</v>
      </c>
      <c r="L175" s="114" t="b">
        <v>0</v>
      </c>
      <c r="M175" s="114" t="b">
        <v>0</v>
      </c>
      <c r="N175" s="114" t="b">
        <v>0</v>
      </c>
      <c r="O175" s="114" t="b">
        <v>0</v>
      </c>
      <c r="P175" s="114" t="b">
        <v>0</v>
      </c>
      <c r="Q175" s="114" t="b">
        <v>0</v>
      </c>
      <c r="R175" s="114" t="b">
        <v>0</v>
      </c>
      <c r="S175" s="114" t="b">
        <v>0</v>
      </c>
      <c r="T175" s="114" t="b">
        <v>0</v>
      </c>
      <c r="U175" s="114" t="b">
        <v>0</v>
      </c>
      <c r="V175" s="114" t="b">
        <v>0</v>
      </c>
      <c r="W175" s="114" t="b">
        <v>0</v>
      </c>
      <c r="X175" s="114" t="b">
        <v>0</v>
      </c>
      <c r="Y175" s="114" t="b">
        <v>0</v>
      </c>
      <c r="Z175" s="114" t="b">
        <v>0</v>
      </c>
      <c r="AA175" s="114" t="b">
        <v>0</v>
      </c>
      <c r="AB175" s="114" t="b">
        <v>0</v>
      </c>
      <c r="AC175" s="114" t="b">
        <v>0</v>
      </c>
      <c r="AD175" s="114" t="b">
        <v>0</v>
      </c>
      <c r="AE175" s="114" t="b">
        <v>0</v>
      </c>
      <c r="AF175" s="114" t="b">
        <v>0</v>
      </c>
      <c r="AG175" s="114" t="b">
        <v>0</v>
      </c>
      <c r="AH175" s="114" t="b">
        <v>0</v>
      </c>
      <c r="AI175" s="114" t="b">
        <v>0</v>
      </c>
      <c r="AJ175" s="114" t="b">
        <v>0</v>
      </c>
      <c r="AK175" s="114" t="b">
        <v>0</v>
      </c>
      <c r="AL175" s="115" t="str">
        <f t="shared" si="1"/>
        <v>0 dari 31 (0%)</v>
      </c>
    </row>
    <row r="176" ht="22.5" customHeight="1">
      <c r="A176" s="10">
        <v>175.0</v>
      </c>
      <c r="B176" s="11"/>
      <c r="C176" s="140"/>
      <c r="D176" s="138"/>
      <c r="E176" s="138"/>
      <c r="F176" s="13"/>
      <c r="G176" s="114" t="b">
        <v>0</v>
      </c>
      <c r="H176" s="114" t="b">
        <v>0</v>
      </c>
      <c r="I176" s="114" t="b">
        <v>0</v>
      </c>
      <c r="J176" s="114" t="b">
        <v>0</v>
      </c>
      <c r="K176" s="114" t="b">
        <v>0</v>
      </c>
      <c r="L176" s="114" t="b">
        <v>0</v>
      </c>
      <c r="M176" s="114" t="b">
        <v>0</v>
      </c>
      <c r="N176" s="114" t="b">
        <v>0</v>
      </c>
      <c r="O176" s="114" t="b">
        <v>0</v>
      </c>
      <c r="P176" s="114" t="b">
        <v>0</v>
      </c>
      <c r="Q176" s="114" t="b">
        <v>0</v>
      </c>
      <c r="R176" s="114" t="b">
        <v>0</v>
      </c>
      <c r="S176" s="114" t="b">
        <v>0</v>
      </c>
      <c r="T176" s="114" t="b">
        <v>0</v>
      </c>
      <c r="U176" s="114" t="b">
        <v>0</v>
      </c>
      <c r="V176" s="114" t="b">
        <v>0</v>
      </c>
      <c r="W176" s="114" t="b">
        <v>0</v>
      </c>
      <c r="X176" s="114" t="b">
        <v>0</v>
      </c>
      <c r="Y176" s="114" t="b">
        <v>0</v>
      </c>
      <c r="Z176" s="114" t="b">
        <v>0</v>
      </c>
      <c r="AA176" s="114" t="b">
        <v>0</v>
      </c>
      <c r="AB176" s="114" t="b">
        <v>0</v>
      </c>
      <c r="AC176" s="114" t="b">
        <v>0</v>
      </c>
      <c r="AD176" s="114" t="b">
        <v>0</v>
      </c>
      <c r="AE176" s="114" t="b">
        <v>0</v>
      </c>
      <c r="AF176" s="114" t="b">
        <v>0</v>
      </c>
      <c r="AG176" s="114" t="b">
        <v>0</v>
      </c>
      <c r="AH176" s="114" t="b">
        <v>0</v>
      </c>
      <c r="AI176" s="114" t="b">
        <v>0</v>
      </c>
      <c r="AJ176" s="114" t="b">
        <v>0</v>
      </c>
      <c r="AK176" s="114" t="b">
        <v>0</v>
      </c>
      <c r="AL176" s="115" t="str">
        <f t="shared" si="1"/>
        <v>0 dari 31 (0%)</v>
      </c>
    </row>
    <row r="177" ht="22.5" customHeight="1">
      <c r="A177" s="10">
        <v>176.0</v>
      </c>
      <c r="B177" s="11"/>
      <c r="C177" s="140"/>
      <c r="D177" s="138"/>
      <c r="E177" s="138"/>
      <c r="F177" s="13"/>
      <c r="G177" s="114" t="b">
        <v>0</v>
      </c>
      <c r="H177" s="114" t="b">
        <v>0</v>
      </c>
      <c r="I177" s="114" t="b">
        <v>0</v>
      </c>
      <c r="J177" s="114" t="b">
        <v>0</v>
      </c>
      <c r="K177" s="114" t="b">
        <v>0</v>
      </c>
      <c r="L177" s="114" t="b">
        <v>0</v>
      </c>
      <c r="M177" s="114" t="b">
        <v>0</v>
      </c>
      <c r="N177" s="114" t="b">
        <v>0</v>
      </c>
      <c r="O177" s="114" t="b">
        <v>0</v>
      </c>
      <c r="P177" s="114" t="b">
        <v>0</v>
      </c>
      <c r="Q177" s="114" t="b">
        <v>0</v>
      </c>
      <c r="R177" s="114" t="b">
        <v>0</v>
      </c>
      <c r="S177" s="114" t="b">
        <v>0</v>
      </c>
      <c r="T177" s="114" t="b">
        <v>0</v>
      </c>
      <c r="U177" s="114" t="b">
        <v>0</v>
      </c>
      <c r="V177" s="114" t="b">
        <v>0</v>
      </c>
      <c r="W177" s="114" t="b">
        <v>0</v>
      </c>
      <c r="X177" s="114" t="b">
        <v>0</v>
      </c>
      <c r="Y177" s="114" t="b">
        <v>0</v>
      </c>
      <c r="Z177" s="114" t="b">
        <v>0</v>
      </c>
      <c r="AA177" s="114" t="b">
        <v>0</v>
      </c>
      <c r="AB177" s="114" t="b">
        <v>0</v>
      </c>
      <c r="AC177" s="114" t="b">
        <v>0</v>
      </c>
      <c r="AD177" s="114" t="b">
        <v>0</v>
      </c>
      <c r="AE177" s="114" t="b">
        <v>0</v>
      </c>
      <c r="AF177" s="114" t="b">
        <v>0</v>
      </c>
      <c r="AG177" s="114" t="b">
        <v>0</v>
      </c>
      <c r="AH177" s="114" t="b">
        <v>0</v>
      </c>
      <c r="AI177" s="114" t="b">
        <v>0</v>
      </c>
      <c r="AJ177" s="114" t="b">
        <v>0</v>
      </c>
      <c r="AK177" s="114" t="b">
        <v>0</v>
      </c>
      <c r="AL177" s="115" t="str">
        <f t="shared" si="1"/>
        <v>0 dari 31 (0%)</v>
      </c>
    </row>
    <row r="178" ht="22.5" customHeight="1">
      <c r="A178" s="2">
        <v>177.0</v>
      </c>
      <c r="B178" s="11"/>
      <c r="C178" s="140"/>
      <c r="D178" s="138"/>
      <c r="E178" s="138"/>
      <c r="F178" s="13"/>
      <c r="G178" s="114" t="b">
        <v>0</v>
      </c>
      <c r="H178" s="114" t="b">
        <v>0</v>
      </c>
      <c r="I178" s="114" t="b">
        <v>0</v>
      </c>
      <c r="J178" s="114" t="b">
        <v>0</v>
      </c>
      <c r="K178" s="114" t="b">
        <v>0</v>
      </c>
      <c r="L178" s="114" t="b">
        <v>0</v>
      </c>
      <c r="M178" s="114" t="b">
        <v>0</v>
      </c>
      <c r="N178" s="114" t="b">
        <v>0</v>
      </c>
      <c r="O178" s="114" t="b">
        <v>0</v>
      </c>
      <c r="P178" s="114" t="b">
        <v>0</v>
      </c>
      <c r="Q178" s="114" t="b">
        <v>0</v>
      </c>
      <c r="R178" s="114" t="b">
        <v>0</v>
      </c>
      <c r="S178" s="114" t="b">
        <v>0</v>
      </c>
      <c r="T178" s="114" t="b">
        <v>0</v>
      </c>
      <c r="U178" s="114" t="b">
        <v>0</v>
      </c>
      <c r="V178" s="114" t="b">
        <v>0</v>
      </c>
      <c r="W178" s="114" t="b">
        <v>0</v>
      </c>
      <c r="X178" s="114" t="b">
        <v>0</v>
      </c>
      <c r="Y178" s="114" t="b">
        <v>0</v>
      </c>
      <c r="Z178" s="114" t="b">
        <v>0</v>
      </c>
      <c r="AA178" s="114" t="b">
        <v>0</v>
      </c>
      <c r="AB178" s="114" t="b">
        <v>0</v>
      </c>
      <c r="AC178" s="114" t="b">
        <v>0</v>
      </c>
      <c r="AD178" s="114" t="b">
        <v>0</v>
      </c>
      <c r="AE178" s="114" t="b">
        <v>0</v>
      </c>
      <c r="AF178" s="114" t="b">
        <v>0</v>
      </c>
      <c r="AG178" s="114" t="b">
        <v>0</v>
      </c>
      <c r="AH178" s="114" t="b">
        <v>0</v>
      </c>
      <c r="AI178" s="114" t="b">
        <v>0</v>
      </c>
      <c r="AJ178" s="114" t="b">
        <v>0</v>
      </c>
      <c r="AK178" s="114" t="b">
        <v>0</v>
      </c>
      <c r="AL178" s="115" t="str">
        <f t="shared" si="1"/>
        <v>0 dari 31 (0%)</v>
      </c>
    </row>
    <row r="179" ht="22.5" customHeight="1">
      <c r="A179" s="10">
        <v>178.0</v>
      </c>
      <c r="B179" s="11"/>
      <c r="C179" s="140"/>
      <c r="D179" s="138"/>
      <c r="E179" s="138"/>
      <c r="F179" s="13"/>
      <c r="G179" s="114" t="b">
        <v>0</v>
      </c>
      <c r="H179" s="114" t="b">
        <v>0</v>
      </c>
      <c r="I179" s="114" t="b">
        <v>0</v>
      </c>
      <c r="J179" s="114" t="b">
        <v>0</v>
      </c>
      <c r="K179" s="114" t="b">
        <v>0</v>
      </c>
      <c r="L179" s="114" t="b">
        <v>0</v>
      </c>
      <c r="M179" s="114" t="b">
        <v>0</v>
      </c>
      <c r="N179" s="114" t="b">
        <v>0</v>
      </c>
      <c r="O179" s="114" t="b">
        <v>0</v>
      </c>
      <c r="P179" s="114" t="b">
        <v>0</v>
      </c>
      <c r="Q179" s="114" t="b">
        <v>0</v>
      </c>
      <c r="R179" s="114" t="b">
        <v>0</v>
      </c>
      <c r="S179" s="114" t="b">
        <v>0</v>
      </c>
      <c r="T179" s="114" t="b">
        <v>0</v>
      </c>
      <c r="U179" s="114" t="b">
        <v>0</v>
      </c>
      <c r="V179" s="114" t="b">
        <v>0</v>
      </c>
      <c r="W179" s="114" t="b">
        <v>0</v>
      </c>
      <c r="X179" s="114" t="b">
        <v>0</v>
      </c>
      <c r="Y179" s="114" t="b">
        <v>0</v>
      </c>
      <c r="Z179" s="114" t="b">
        <v>0</v>
      </c>
      <c r="AA179" s="114" t="b">
        <v>0</v>
      </c>
      <c r="AB179" s="114" t="b">
        <v>0</v>
      </c>
      <c r="AC179" s="114" t="b">
        <v>0</v>
      </c>
      <c r="AD179" s="114" t="b">
        <v>0</v>
      </c>
      <c r="AE179" s="114" t="b">
        <v>0</v>
      </c>
      <c r="AF179" s="114" t="b">
        <v>0</v>
      </c>
      <c r="AG179" s="114" t="b">
        <v>0</v>
      </c>
      <c r="AH179" s="114" t="b">
        <v>0</v>
      </c>
      <c r="AI179" s="114" t="b">
        <v>0</v>
      </c>
      <c r="AJ179" s="114" t="b">
        <v>0</v>
      </c>
      <c r="AK179" s="114" t="b">
        <v>0</v>
      </c>
      <c r="AL179" s="115" t="str">
        <f t="shared" si="1"/>
        <v>0 dari 31 (0%)</v>
      </c>
    </row>
    <row r="180" ht="22.5" customHeight="1">
      <c r="A180" s="10">
        <v>179.0</v>
      </c>
      <c r="B180" s="11"/>
      <c r="C180" s="140"/>
      <c r="D180" s="138"/>
      <c r="E180" s="138"/>
      <c r="F180" s="13"/>
      <c r="G180" s="114" t="b">
        <v>0</v>
      </c>
      <c r="H180" s="114" t="b">
        <v>0</v>
      </c>
      <c r="I180" s="114" t="b">
        <v>0</v>
      </c>
      <c r="J180" s="114" t="b">
        <v>0</v>
      </c>
      <c r="K180" s="114" t="b">
        <v>0</v>
      </c>
      <c r="L180" s="114" t="b">
        <v>0</v>
      </c>
      <c r="M180" s="114" t="b">
        <v>0</v>
      </c>
      <c r="N180" s="114" t="b">
        <v>0</v>
      </c>
      <c r="O180" s="114" t="b">
        <v>0</v>
      </c>
      <c r="P180" s="114" t="b">
        <v>0</v>
      </c>
      <c r="Q180" s="114" t="b">
        <v>0</v>
      </c>
      <c r="R180" s="114" t="b">
        <v>0</v>
      </c>
      <c r="S180" s="114" t="b">
        <v>0</v>
      </c>
      <c r="T180" s="114" t="b">
        <v>0</v>
      </c>
      <c r="U180" s="114" t="b">
        <v>0</v>
      </c>
      <c r="V180" s="114" t="b">
        <v>0</v>
      </c>
      <c r="W180" s="114" t="b">
        <v>0</v>
      </c>
      <c r="X180" s="114" t="b">
        <v>0</v>
      </c>
      <c r="Y180" s="114" t="b">
        <v>0</v>
      </c>
      <c r="Z180" s="114" t="b">
        <v>0</v>
      </c>
      <c r="AA180" s="114" t="b">
        <v>0</v>
      </c>
      <c r="AB180" s="114" t="b">
        <v>0</v>
      </c>
      <c r="AC180" s="114" t="b">
        <v>0</v>
      </c>
      <c r="AD180" s="114" t="b">
        <v>0</v>
      </c>
      <c r="AE180" s="114" t="b">
        <v>0</v>
      </c>
      <c r="AF180" s="114" t="b">
        <v>0</v>
      </c>
      <c r="AG180" s="114" t="b">
        <v>0</v>
      </c>
      <c r="AH180" s="114" t="b">
        <v>0</v>
      </c>
      <c r="AI180" s="114" t="b">
        <v>0</v>
      </c>
      <c r="AJ180" s="114" t="b">
        <v>0</v>
      </c>
      <c r="AK180" s="114" t="b">
        <v>0</v>
      </c>
      <c r="AL180" s="115" t="str">
        <f t="shared" si="1"/>
        <v>0 dari 31 (0%)</v>
      </c>
    </row>
    <row r="181" ht="22.5" customHeight="1">
      <c r="A181" s="2">
        <v>180.0</v>
      </c>
      <c r="B181" s="11"/>
      <c r="C181" s="140"/>
      <c r="D181" s="138"/>
      <c r="E181" s="138"/>
      <c r="F181" s="13"/>
      <c r="G181" s="114" t="b">
        <v>0</v>
      </c>
      <c r="H181" s="114" t="b">
        <v>0</v>
      </c>
      <c r="I181" s="114" t="b">
        <v>0</v>
      </c>
      <c r="J181" s="114" t="b">
        <v>0</v>
      </c>
      <c r="K181" s="114" t="b">
        <v>0</v>
      </c>
      <c r="L181" s="114" t="b">
        <v>0</v>
      </c>
      <c r="M181" s="114" t="b">
        <v>0</v>
      </c>
      <c r="N181" s="114" t="b">
        <v>0</v>
      </c>
      <c r="O181" s="114" t="b">
        <v>0</v>
      </c>
      <c r="P181" s="114" t="b">
        <v>0</v>
      </c>
      <c r="Q181" s="114" t="b">
        <v>0</v>
      </c>
      <c r="R181" s="114" t="b">
        <v>0</v>
      </c>
      <c r="S181" s="114" t="b">
        <v>0</v>
      </c>
      <c r="T181" s="114" t="b">
        <v>0</v>
      </c>
      <c r="U181" s="114" t="b">
        <v>0</v>
      </c>
      <c r="V181" s="114" t="b">
        <v>0</v>
      </c>
      <c r="W181" s="114" t="b">
        <v>0</v>
      </c>
      <c r="X181" s="114" t="b">
        <v>0</v>
      </c>
      <c r="Y181" s="114" t="b">
        <v>0</v>
      </c>
      <c r="Z181" s="114" t="b">
        <v>0</v>
      </c>
      <c r="AA181" s="114" t="b">
        <v>0</v>
      </c>
      <c r="AB181" s="114" t="b">
        <v>0</v>
      </c>
      <c r="AC181" s="114" t="b">
        <v>0</v>
      </c>
      <c r="AD181" s="114" t="b">
        <v>0</v>
      </c>
      <c r="AE181" s="114" t="b">
        <v>0</v>
      </c>
      <c r="AF181" s="114" t="b">
        <v>0</v>
      </c>
      <c r="AG181" s="114" t="b">
        <v>0</v>
      </c>
      <c r="AH181" s="114" t="b">
        <v>0</v>
      </c>
      <c r="AI181" s="114" t="b">
        <v>0</v>
      </c>
      <c r="AJ181" s="114" t="b">
        <v>0</v>
      </c>
      <c r="AK181" s="114" t="b">
        <v>0</v>
      </c>
      <c r="AL181" s="115" t="str">
        <f t="shared" si="1"/>
        <v>0 dari 31 (0%)</v>
      </c>
    </row>
    <row r="182" ht="22.5" customHeight="1">
      <c r="A182" s="10">
        <v>181.0</v>
      </c>
      <c r="B182" s="11"/>
      <c r="C182" s="140"/>
      <c r="D182" s="138"/>
      <c r="E182" s="138"/>
      <c r="F182" s="13"/>
      <c r="G182" s="114" t="b">
        <v>0</v>
      </c>
      <c r="H182" s="114" t="b">
        <v>0</v>
      </c>
      <c r="I182" s="114" t="b">
        <v>0</v>
      </c>
      <c r="J182" s="114" t="b">
        <v>0</v>
      </c>
      <c r="K182" s="114" t="b">
        <v>0</v>
      </c>
      <c r="L182" s="114" t="b">
        <v>0</v>
      </c>
      <c r="M182" s="114" t="b">
        <v>0</v>
      </c>
      <c r="N182" s="114" t="b">
        <v>0</v>
      </c>
      <c r="O182" s="114" t="b">
        <v>0</v>
      </c>
      <c r="P182" s="114" t="b">
        <v>0</v>
      </c>
      <c r="Q182" s="114" t="b">
        <v>0</v>
      </c>
      <c r="R182" s="114" t="b">
        <v>0</v>
      </c>
      <c r="S182" s="114" t="b">
        <v>0</v>
      </c>
      <c r="T182" s="114" t="b">
        <v>0</v>
      </c>
      <c r="U182" s="114" t="b">
        <v>0</v>
      </c>
      <c r="V182" s="114" t="b">
        <v>0</v>
      </c>
      <c r="W182" s="114" t="b">
        <v>0</v>
      </c>
      <c r="X182" s="114" t="b">
        <v>0</v>
      </c>
      <c r="Y182" s="114" t="b">
        <v>0</v>
      </c>
      <c r="Z182" s="114" t="b">
        <v>0</v>
      </c>
      <c r="AA182" s="114" t="b">
        <v>0</v>
      </c>
      <c r="AB182" s="114" t="b">
        <v>0</v>
      </c>
      <c r="AC182" s="114" t="b">
        <v>0</v>
      </c>
      <c r="AD182" s="114" t="b">
        <v>0</v>
      </c>
      <c r="AE182" s="114" t="b">
        <v>0</v>
      </c>
      <c r="AF182" s="114" t="b">
        <v>0</v>
      </c>
      <c r="AG182" s="114" t="b">
        <v>0</v>
      </c>
      <c r="AH182" s="114" t="b">
        <v>0</v>
      </c>
      <c r="AI182" s="114" t="b">
        <v>0</v>
      </c>
      <c r="AJ182" s="114" t="b">
        <v>0</v>
      </c>
      <c r="AK182" s="114" t="b">
        <v>0</v>
      </c>
      <c r="AL182" s="115" t="str">
        <f t="shared" si="1"/>
        <v>0 dari 31 (0%)</v>
      </c>
    </row>
    <row r="183" ht="22.5" customHeight="1">
      <c r="A183" s="10">
        <v>182.0</v>
      </c>
      <c r="B183" s="11"/>
      <c r="C183" s="140"/>
      <c r="D183" s="138"/>
      <c r="E183" s="138"/>
      <c r="F183" s="13"/>
      <c r="G183" s="114" t="b">
        <v>0</v>
      </c>
      <c r="H183" s="114" t="b">
        <v>0</v>
      </c>
      <c r="I183" s="114" t="b">
        <v>0</v>
      </c>
      <c r="J183" s="114" t="b">
        <v>0</v>
      </c>
      <c r="K183" s="114" t="b">
        <v>0</v>
      </c>
      <c r="L183" s="114" t="b">
        <v>0</v>
      </c>
      <c r="M183" s="114" t="b">
        <v>0</v>
      </c>
      <c r="N183" s="114" t="b">
        <v>0</v>
      </c>
      <c r="O183" s="114" t="b">
        <v>0</v>
      </c>
      <c r="P183" s="114" t="b">
        <v>0</v>
      </c>
      <c r="Q183" s="114" t="b">
        <v>0</v>
      </c>
      <c r="R183" s="114" t="b">
        <v>0</v>
      </c>
      <c r="S183" s="114" t="b">
        <v>0</v>
      </c>
      <c r="T183" s="114" t="b">
        <v>0</v>
      </c>
      <c r="U183" s="114" t="b">
        <v>0</v>
      </c>
      <c r="V183" s="114" t="b">
        <v>0</v>
      </c>
      <c r="W183" s="114" t="b">
        <v>0</v>
      </c>
      <c r="X183" s="114" t="b">
        <v>0</v>
      </c>
      <c r="Y183" s="114" t="b">
        <v>0</v>
      </c>
      <c r="Z183" s="114" t="b">
        <v>0</v>
      </c>
      <c r="AA183" s="114" t="b">
        <v>0</v>
      </c>
      <c r="AB183" s="114" t="b">
        <v>0</v>
      </c>
      <c r="AC183" s="114" t="b">
        <v>0</v>
      </c>
      <c r="AD183" s="114" t="b">
        <v>0</v>
      </c>
      <c r="AE183" s="114" t="b">
        <v>0</v>
      </c>
      <c r="AF183" s="114" t="b">
        <v>0</v>
      </c>
      <c r="AG183" s="114" t="b">
        <v>0</v>
      </c>
      <c r="AH183" s="114" t="b">
        <v>0</v>
      </c>
      <c r="AI183" s="114" t="b">
        <v>0</v>
      </c>
      <c r="AJ183" s="114" t="b">
        <v>0</v>
      </c>
      <c r="AK183" s="114" t="b">
        <v>0</v>
      </c>
      <c r="AL183" s="115" t="str">
        <f t="shared" si="1"/>
        <v>0 dari 31 (0%)</v>
      </c>
    </row>
    <row r="184" ht="22.5" customHeight="1">
      <c r="A184" s="2">
        <v>183.0</v>
      </c>
      <c r="B184" s="11"/>
      <c r="C184" s="140"/>
      <c r="D184" s="138"/>
      <c r="E184" s="138"/>
      <c r="F184" s="13"/>
      <c r="G184" s="114" t="b">
        <v>0</v>
      </c>
      <c r="H184" s="114" t="b">
        <v>0</v>
      </c>
      <c r="I184" s="114" t="b">
        <v>0</v>
      </c>
      <c r="J184" s="114" t="b">
        <v>0</v>
      </c>
      <c r="K184" s="114" t="b">
        <v>0</v>
      </c>
      <c r="L184" s="114" t="b">
        <v>0</v>
      </c>
      <c r="M184" s="114" t="b">
        <v>0</v>
      </c>
      <c r="N184" s="114" t="b">
        <v>0</v>
      </c>
      <c r="O184" s="114" t="b">
        <v>0</v>
      </c>
      <c r="P184" s="114" t="b">
        <v>0</v>
      </c>
      <c r="Q184" s="114" t="b">
        <v>0</v>
      </c>
      <c r="R184" s="114" t="b">
        <v>0</v>
      </c>
      <c r="S184" s="114" t="b">
        <v>0</v>
      </c>
      <c r="T184" s="114" t="b">
        <v>0</v>
      </c>
      <c r="U184" s="114" t="b">
        <v>0</v>
      </c>
      <c r="V184" s="114" t="b">
        <v>0</v>
      </c>
      <c r="W184" s="114" t="b">
        <v>0</v>
      </c>
      <c r="X184" s="114" t="b">
        <v>0</v>
      </c>
      <c r="Y184" s="114" t="b">
        <v>0</v>
      </c>
      <c r="Z184" s="114" t="b">
        <v>0</v>
      </c>
      <c r="AA184" s="114" t="b">
        <v>0</v>
      </c>
      <c r="AB184" s="114" t="b">
        <v>0</v>
      </c>
      <c r="AC184" s="114" t="b">
        <v>0</v>
      </c>
      <c r="AD184" s="114" t="b">
        <v>0</v>
      </c>
      <c r="AE184" s="114" t="b">
        <v>0</v>
      </c>
      <c r="AF184" s="114" t="b">
        <v>0</v>
      </c>
      <c r="AG184" s="114" t="b">
        <v>0</v>
      </c>
      <c r="AH184" s="114" t="b">
        <v>0</v>
      </c>
      <c r="AI184" s="114" t="b">
        <v>0</v>
      </c>
      <c r="AJ184" s="114" t="b">
        <v>0</v>
      </c>
      <c r="AK184" s="114" t="b">
        <v>0</v>
      </c>
      <c r="AL184" s="115" t="str">
        <f t="shared" si="1"/>
        <v>0 dari 31 (0%)</v>
      </c>
    </row>
    <row r="185" ht="22.5" customHeight="1">
      <c r="A185" s="10">
        <v>184.0</v>
      </c>
      <c r="B185" s="11"/>
      <c r="C185" s="140"/>
      <c r="D185" s="138"/>
      <c r="E185" s="138"/>
      <c r="F185" s="13"/>
      <c r="G185" s="114" t="b">
        <v>0</v>
      </c>
      <c r="H185" s="114" t="b">
        <v>0</v>
      </c>
      <c r="I185" s="114" t="b">
        <v>0</v>
      </c>
      <c r="J185" s="114" t="b">
        <v>0</v>
      </c>
      <c r="K185" s="114" t="b">
        <v>0</v>
      </c>
      <c r="L185" s="114" t="b">
        <v>0</v>
      </c>
      <c r="M185" s="114" t="b">
        <v>0</v>
      </c>
      <c r="N185" s="114" t="b">
        <v>0</v>
      </c>
      <c r="O185" s="114" t="b">
        <v>0</v>
      </c>
      <c r="P185" s="114" t="b">
        <v>0</v>
      </c>
      <c r="Q185" s="114" t="b">
        <v>0</v>
      </c>
      <c r="R185" s="114" t="b">
        <v>0</v>
      </c>
      <c r="S185" s="114" t="b">
        <v>0</v>
      </c>
      <c r="T185" s="114" t="b">
        <v>0</v>
      </c>
      <c r="U185" s="114" t="b">
        <v>0</v>
      </c>
      <c r="V185" s="114" t="b">
        <v>0</v>
      </c>
      <c r="W185" s="114" t="b">
        <v>0</v>
      </c>
      <c r="X185" s="114" t="b">
        <v>0</v>
      </c>
      <c r="Y185" s="114" t="b">
        <v>0</v>
      </c>
      <c r="Z185" s="114" t="b">
        <v>0</v>
      </c>
      <c r="AA185" s="114" t="b">
        <v>0</v>
      </c>
      <c r="AB185" s="114" t="b">
        <v>0</v>
      </c>
      <c r="AC185" s="114" t="b">
        <v>0</v>
      </c>
      <c r="AD185" s="114" t="b">
        <v>0</v>
      </c>
      <c r="AE185" s="114" t="b">
        <v>0</v>
      </c>
      <c r="AF185" s="114" t="b">
        <v>0</v>
      </c>
      <c r="AG185" s="114" t="b">
        <v>0</v>
      </c>
      <c r="AH185" s="114" t="b">
        <v>0</v>
      </c>
      <c r="AI185" s="114" t="b">
        <v>0</v>
      </c>
      <c r="AJ185" s="114" t="b">
        <v>0</v>
      </c>
      <c r="AK185" s="114" t="b">
        <v>0</v>
      </c>
      <c r="AL185" s="115" t="str">
        <f t="shared" si="1"/>
        <v>0 dari 31 (0%)</v>
      </c>
    </row>
    <row r="186" ht="22.5" customHeight="1">
      <c r="A186" s="10">
        <v>185.0</v>
      </c>
      <c r="B186" s="11"/>
      <c r="C186" s="140"/>
      <c r="D186" s="138"/>
      <c r="E186" s="138"/>
      <c r="F186" s="13"/>
      <c r="G186" s="114" t="b">
        <v>0</v>
      </c>
      <c r="H186" s="114" t="b">
        <v>0</v>
      </c>
      <c r="I186" s="114" t="b">
        <v>0</v>
      </c>
      <c r="J186" s="114" t="b">
        <v>0</v>
      </c>
      <c r="K186" s="114" t="b">
        <v>0</v>
      </c>
      <c r="L186" s="114" t="b">
        <v>0</v>
      </c>
      <c r="M186" s="114" t="b">
        <v>0</v>
      </c>
      <c r="N186" s="114" t="b">
        <v>0</v>
      </c>
      <c r="O186" s="114" t="b">
        <v>0</v>
      </c>
      <c r="P186" s="114" t="b">
        <v>0</v>
      </c>
      <c r="Q186" s="114" t="b">
        <v>0</v>
      </c>
      <c r="R186" s="114" t="b">
        <v>0</v>
      </c>
      <c r="S186" s="114" t="b">
        <v>0</v>
      </c>
      <c r="T186" s="114" t="b">
        <v>0</v>
      </c>
      <c r="U186" s="114" t="b">
        <v>0</v>
      </c>
      <c r="V186" s="114" t="b">
        <v>0</v>
      </c>
      <c r="W186" s="114" t="b">
        <v>0</v>
      </c>
      <c r="X186" s="114" t="b">
        <v>0</v>
      </c>
      <c r="Y186" s="114" t="b">
        <v>0</v>
      </c>
      <c r="Z186" s="114" t="b">
        <v>0</v>
      </c>
      <c r="AA186" s="114" t="b">
        <v>0</v>
      </c>
      <c r="AB186" s="114" t="b">
        <v>0</v>
      </c>
      <c r="AC186" s="114" t="b">
        <v>0</v>
      </c>
      <c r="AD186" s="114" t="b">
        <v>0</v>
      </c>
      <c r="AE186" s="114" t="b">
        <v>0</v>
      </c>
      <c r="AF186" s="114" t="b">
        <v>0</v>
      </c>
      <c r="AG186" s="114" t="b">
        <v>0</v>
      </c>
      <c r="AH186" s="114" t="b">
        <v>0</v>
      </c>
      <c r="AI186" s="114" t="b">
        <v>0</v>
      </c>
      <c r="AJ186" s="114" t="b">
        <v>0</v>
      </c>
      <c r="AK186" s="114" t="b">
        <v>0</v>
      </c>
      <c r="AL186" s="115" t="str">
        <f t="shared" si="1"/>
        <v>0 dari 31 (0%)</v>
      </c>
    </row>
    <row r="187" ht="22.5" customHeight="1">
      <c r="A187" s="2">
        <v>186.0</v>
      </c>
      <c r="B187" s="11"/>
      <c r="C187" s="140"/>
      <c r="D187" s="138"/>
      <c r="E187" s="138"/>
      <c r="F187" s="13"/>
      <c r="G187" s="114" t="b">
        <v>0</v>
      </c>
      <c r="H187" s="114" t="b">
        <v>0</v>
      </c>
      <c r="I187" s="114" t="b">
        <v>0</v>
      </c>
      <c r="J187" s="114" t="b">
        <v>0</v>
      </c>
      <c r="K187" s="114" t="b">
        <v>0</v>
      </c>
      <c r="L187" s="114" t="b">
        <v>0</v>
      </c>
      <c r="M187" s="114" t="b">
        <v>0</v>
      </c>
      <c r="N187" s="114" t="b">
        <v>0</v>
      </c>
      <c r="O187" s="114" t="b">
        <v>0</v>
      </c>
      <c r="P187" s="114" t="b">
        <v>0</v>
      </c>
      <c r="Q187" s="114" t="b">
        <v>0</v>
      </c>
      <c r="R187" s="114" t="b">
        <v>0</v>
      </c>
      <c r="S187" s="114" t="b">
        <v>0</v>
      </c>
      <c r="T187" s="114" t="b">
        <v>0</v>
      </c>
      <c r="U187" s="114" t="b">
        <v>0</v>
      </c>
      <c r="V187" s="114" t="b">
        <v>0</v>
      </c>
      <c r="W187" s="114" t="b">
        <v>0</v>
      </c>
      <c r="X187" s="114" t="b">
        <v>0</v>
      </c>
      <c r="Y187" s="114" t="b">
        <v>0</v>
      </c>
      <c r="Z187" s="114" t="b">
        <v>0</v>
      </c>
      <c r="AA187" s="114" t="b">
        <v>0</v>
      </c>
      <c r="AB187" s="114" t="b">
        <v>0</v>
      </c>
      <c r="AC187" s="114" t="b">
        <v>0</v>
      </c>
      <c r="AD187" s="114" t="b">
        <v>0</v>
      </c>
      <c r="AE187" s="114" t="b">
        <v>0</v>
      </c>
      <c r="AF187" s="114" t="b">
        <v>0</v>
      </c>
      <c r="AG187" s="114" t="b">
        <v>0</v>
      </c>
      <c r="AH187" s="114" t="b">
        <v>0</v>
      </c>
      <c r="AI187" s="114" t="b">
        <v>0</v>
      </c>
      <c r="AJ187" s="114" t="b">
        <v>0</v>
      </c>
      <c r="AK187" s="114" t="b">
        <v>0</v>
      </c>
      <c r="AL187" s="115" t="str">
        <f t="shared" si="1"/>
        <v>0 dari 31 (0%)</v>
      </c>
    </row>
    <row r="188" ht="22.5" customHeight="1">
      <c r="A188" s="10">
        <v>187.0</v>
      </c>
      <c r="B188" s="11"/>
      <c r="C188" s="140"/>
      <c r="D188" s="138"/>
      <c r="E188" s="138"/>
      <c r="F188" s="13"/>
      <c r="G188" s="114" t="b">
        <v>0</v>
      </c>
      <c r="H188" s="114" t="b">
        <v>0</v>
      </c>
      <c r="I188" s="114" t="b">
        <v>0</v>
      </c>
      <c r="J188" s="114" t="b">
        <v>0</v>
      </c>
      <c r="K188" s="114" t="b">
        <v>0</v>
      </c>
      <c r="L188" s="114" t="b">
        <v>0</v>
      </c>
      <c r="M188" s="114" t="b">
        <v>0</v>
      </c>
      <c r="N188" s="114" t="b">
        <v>0</v>
      </c>
      <c r="O188" s="114" t="b">
        <v>0</v>
      </c>
      <c r="P188" s="114" t="b">
        <v>0</v>
      </c>
      <c r="Q188" s="114" t="b">
        <v>0</v>
      </c>
      <c r="R188" s="114" t="b">
        <v>0</v>
      </c>
      <c r="S188" s="114" t="b">
        <v>0</v>
      </c>
      <c r="T188" s="114" t="b">
        <v>0</v>
      </c>
      <c r="U188" s="114" t="b">
        <v>0</v>
      </c>
      <c r="V188" s="114" t="b">
        <v>0</v>
      </c>
      <c r="W188" s="114" t="b">
        <v>0</v>
      </c>
      <c r="X188" s="114" t="b">
        <v>0</v>
      </c>
      <c r="Y188" s="114" t="b">
        <v>0</v>
      </c>
      <c r="Z188" s="114" t="b">
        <v>0</v>
      </c>
      <c r="AA188" s="114" t="b">
        <v>0</v>
      </c>
      <c r="AB188" s="114" t="b">
        <v>0</v>
      </c>
      <c r="AC188" s="114" t="b">
        <v>0</v>
      </c>
      <c r="AD188" s="114" t="b">
        <v>0</v>
      </c>
      <c r="AE188" s="114" t="b">
        <v>0</v>
      </c>
      <c r="AF188" s="114" t="b">
        <v>0</v>
      </c>
      <c r="AG188" s="114" t="b">
        <v>0</v>
      </c>
      <c r="AH188" s="114" t="b">
        <v>0</v>
      </c>
      <c r="AI188" s="114" t="b">
        <v>0</v>
      </c>
      <c r="AJ188" s="114" t="b">
        <v>0</v>
      </c>
      <c r="AK188" s="114" t="b">
        <v>0</v>
      </c>
      <c r="AL188" s="115" t="str">
        <f t="shared" si="1"/>
        <v>0 dari 31 (0%)</v>
      </c>
    </row>
    <row r="189" ht="22.5" customHeight="1">
      <c r="A189" s="10">
        <v>188.0</v>
      </c>
      <c r="B189" s="11"/>
      <c r="C189" s="140"/>
      <c r="D189" s="138"/>
      <c r="E189" s="138"/>
      <c r="F189" s="13"/>
      <c r="G189" s="114" t="b">
        <v>0</v>
      </c>
      <c r="H189" s="114" t="b">
        <v>0</v>
      </c>
      <c r="I189" s="114" t="b">
        <v>0</v>
      </c>
      <c r="J189" s="114" t="b">
        <v>0</v>
      </c>
      <c r="K189" s="114" t="b">
        <v>0</v>
      </c>
      <c r="L189" s="114" t="b">
        <v>0</v>
      </c>
      <c r="M189" s="114" t="b">
        <v>0</v>
      </c>
      <c r="N189" s="114" t="b">
        <v>0</v>
      </c>
      <c r="O189" s="114" t="b">
        <v>0</v>
      </c>
      <c r="P189" s="114" t="b">
        <v>0</v>
      </c>
      <c r="Q189" s="114" t="b">
        <v>0</v>
      </c>
      <c r="R189" s="114" t="b">
        <v>0</v>
      </c>
      <c r="S189" s="114" t="b">
        <v>0</v>
      </c>
      <c r="T189" s="114" t="b">
        <v>0</v>
      </c>
      <c r="U189" s="114" t="b">
        <v>0</v>
      </c>
      <c r="V189" s="114" t="b">
        <v>0</v>
      </c>
      <c r="W189" s="114" t="b">
        <v>0</v>
      </c>
      <c r="X189" s="114" t="b">
        <v>0</v>
      </c>
      <c r="Y189" s="114" t="b">
        <v>0</v>
      </c>
      <c r="Z189" s="114" t="b">
        <v>0</v>
      </c>
      <c r="AA189" s="114" t="b">
        <v>0</v>
      </c>
      <c r="AB189" s="114" t="b">
        <v>0</v>
      </c>
      <c r="AC189" s="114" t="b">
        <v>0</v>
      </c>
      <c r="AD189" s="114" t="b">
        <v>0</v>
      </c>
      <c r="AE189" s="114" t="b">
        <v>0</v>
      </c>
      <c r="AF189" s="114" t="b">
        <v>0</v>
      </c>
      <c r="AG189" s="114" t="b">
        <v>0</v>
      </c>
      <c r="AH189" s="114" t="b">
        <v>0</v>
      </c>
      <c r="AI189" s="114" t="b">
        <v>0</v>
      </c>
      <c r="AJ189" s="114" t="b">
        <v>0</v>
      </c>
      <c r="AK189" s="114" t="b">
        <v>0</v>
      </c>
      <c r="AL189" s="115" t="str">
        <f t="shared" si="1"/>
        <v>0 dari 31 (0%)</v>
      </c>
    </row>
    <row r="190" ht="22.5" customHeight="1">
      <c r="A190" s="2">
        <v>189.0</v>
      </c>
      <c r="B190" s="11"/>
      <c r="C190" s="140"/>
      <c r="D190" s="138"/>
      <c r="E190" s="138"/>
      <c r="F190" s="13"/>
      <c r="G190" s="114" t="b">
        <v>0</v>
      </c>
      <c r="H190" s="114" t="b">
        <v>0</v>
      </c>
      <c r="I190" s="114" t="b">
        <v>0</v>
      </c>
      <c r="J190" s="114" t="b">
        <v>0</v>
      </c>
      <c r="K190" s="114" t="b">
        <v>0</v>
      </c>
      <c r="L190" s="114" t="b">
        <v>0</v>
      </c>
      <c r="M190" s="114" t="b">
        <v>0</v>
      </c>
      <c r="N190" s="114" t="b">
        <v>0</v>
      </c>
      <c r="O190" s="114" t="b">
        <v>0</v>
      </c>
      <c r="P190" s="114" t="b">
        <v>0</v>
      </c>
      <c r="Q190" s="114" t="b">
        <v>0</v>
      </c>
      <c r="R190" s="114" t="b">
        <v>0</v>
      </c>
      <c r="S190" s="114" t="b">
        <v>0</v>
      </c>
      <c r="T190" s="114" t="b">
        <v>0</v>
      </c>
      <c r="U190" s="114" t="b">
        <v>0</v>
      </c>
      <c r="V190" s="114" t="b">
        <v>0</v>
      </c>
      <c r="W190" s="114" t="b">
        <v>0</v>
      </c>
      <c r="X190" s="114" t="b">
        <v>0</v>
      </c>
      <c r="Y190" s="114" t="b">
        <v>0</v>
      </c>
      <c r="Z190" s="114" t="b">
        <v>0</v>
      </c>
      <c r="AA190" s="114" t="b">
        <v>0</v>
      </c>
      <c r="AB190" s="114" t="b">
        <v>0</v>
      </c>
      <c r="AC190" s="114" t="b">
        <v>0</v>
      </c>
      <c r="AD190" s="114" t="b">
        <v>0</v>
      </c>
      <c r="AE190" s="114" t="b">
        <v>0</v>
      </c>
      <c r="AF190" s="114" t="b">
        <v>0</v>
      </c>
      <c r="AG190" s="114" t="b">
        <v>0</v>
      </c>
      <c r="AH190" s="114" t="b">
        <v>0</v>
      </c>
      <c r="AI190" s="114" t="b">
        <v>0</v>
      </c>
      <c r="AJ190" s="114" t="b">
        <v>0</v>
      </c>
      <c r="AK190" s="114" t="b">
        <v>0</v>
      </c>
      <c r="AL190" s="115" t="str">
        <f t="shared" si="1"/>
        <v>0 dari 31 (0%)</v>
      </c>
    </row>
    <row r="191" ht="22.5" customHeight="1">
      <c r="A191" s="10">
        <v>190.0</v>
      </c>
      <c r="B191" s="11"/>
      <c r="C191" s="140"/>
      <c r="D191" s="138"/>
      <c r="E191" s="138"/>
      <c r="F191" s="13"/>
      <c r="G191" s="114" t="b">
        <v>0</v>
      </c>
      <c r="H191" s="114" t="b">
        <v>0</v>
      </c>
      <c r="I191" s="114" t="b">
        <v>0</v>
      </c>
      <c r="J191" s="114" t="b">
        <v>0</v>
      </c>
      <c r="K191" s="114" t="b">
        <v>0</v>
      </c>
      <c r="L191" s="114" t="b">
        <v>0</v>
      </c>
      <c r="M191" s="114" t="b">
        <v>0</v>
      </c>
      <c r="N191" s="114" t="b">
        <v>0</v>
      </c>
      <c r="O191" s="114" t="b">
        <v>0</v>
      </c>
      <c r="P191" s="114" t="b">
        <v>0</v>
      </c>
      <c r="Q191" s="114" t="b">
        <v>0</v>
      </c>
      <c r="R191" s="114" t="b">
        <v>0</v>
      </c>
      <c r="S191" s="114" t="b">
        <v>0</v>
      </c>
      <c r="T191" s="114" t="b">
        <v>0</v>
      </c>
      <c r="U191" s="114" t="b">
        <v>0</v>
      </c>
      <c r="V191" s="114" t="b">
        <v>0</v>
      </c>
      <c r="W191" s="114" t="b">
        <v>0</v>
      </c>
      <c r="X191" s="114" t="b">
        <v>0</v>
      </c>
      <c r="Y191" s="114" t="b">
        <v>0</v>
      </c>
      <c r="Z191" s="114" t="b">
        <v>0</v>
      </c>
      <c r="AA191" s="114" t="b">
        <v>0</v>
      </c>
      <c r="AB191" s="114" t="b">
        <v>0</v>
      </c>
      <c r="AC191" s="114" t="b">
        <v>0</v>
      </c>
      <c r="AD191" s="114" t="b">
        <v>0</v>
      </c>
      <c r="AE191" s="114" t="b">
        <v>0</v>
      </c>
      <c r="AF191" s="114" t="b">
        <v>0</v>
      </c>
      <c r="AG191" s="114" t="b">
        <v>0</v>
      </c>
      <c r="AH191" s="114" t="b">
        <v>0</v>
      </c>
      <c r="AI191" s="114" t="b">
        <v>0</v>
      </c>
      <c r="AJ191" s="114" t="b">
        <v>0</v>
      </c>
      <c r="AK191" s="114" t="b">
        <v>0</v>
      </c>
      <c r="AL191" s="115" t="str">
        <f t="shared" si="1"/>
        <v>0 dari 31 (0%)</v>
      </c>
    </row>
    <row r="192" ht="22.5" customHeight="1">
      <c r="A192" s="10">
        <v>191.0</v>
      </c>
      <c r="B192" s="11"/>
      <c r="C192" s="140"/>
      <c r="D192" s="138"/>
      <c r="E192" s="138"/>
      <c r="F192" s="13"/>
      <c r="G192" s="114" t="b">
        <v>0</v>
      </c>
      <c r="H192" s="114" t="b">
        <v>0</v>
      </c>
      <c r="I192" s="114" t="b">
        <v>0</v>
      </c>
      <c r="J192" s="114" t="b">
        <v>0</v>
      </c>
      <c r="K192" s="114" t="b">
        <v>0</v>
      </c>
      <c r="L192" s="114" t="b">
        <v>0</v>
      </c>
      <c r="M192" s="114" t="b">
        <v>0</v>
      </c>
      <c r="N192" s="114" t="b">
        <v>0</v>
      </c>
      <c r="O192" s="114" t="b">
        <v>0</v>
      </c>
      <c r="P192" s="114" t="b">
        <v>0</v>
      </c>
      <c r="Q192" s="114" t="b">
        <v>0</v>
      </c>
      <c r="R192" s="114" t="b">
        <v>0</v>
      </c>
      <c r="S192" s="114" t="b">
        <v>0</v>
      </c>
      <c r="T192" s="114" t="b">
        <v>0</v>
      </c>
      <c r="U192" s="114" t="b">
        <v>0</v>
      </c>
      <c r="V192" s="114" t="b">
        <v>0</v>
      </c>
      <c r="W192" s="114" t="b">
        <v>0</v>
      </c>
      <c r="X192" s="114" t="b">
        <v>0</v>
      </c>
      <c r="Y192" s="114" t="b">
        <v>0</v>
      </c>
      <c r="Z192" s="114" t="b">
        <v>0</v>
      </c>
      <c r="AA192" s="114" t="b">
        <v>0</v>
      </c>
      <c r="AB192" s="114" t="b">
        <v>0</v>
      </c>
      <c r="AC192" s="114" t="b">
        <v>0</v>
      </c>
      <c r="AD192" s="114" t="b">
        <v>0</v>
      </c>
      <c r="AE192" s="114" t="b">
        <v>0</v>
      </c>
      <c r="AF192" s="114" t="b">
        <v>0</v>
      </c>
      <c r="AG192" s="114" t="b">
        <v>0</v>
      </c>
      <c r="AH192" s="114" t="b">
        <v>0</v>
      </c>
      <c r="AI192" s="114" t="b">
        <v>0</v>
      </c>
      <c r="AJ192" s="114" t="b">
        <v>0</v>
      </c>
      <c r="AK192" s="114" t="b">
        <v>0</v>
      </c>
      <c r="AL192" s="115" t="str">
        <f t="shared" si="1"/>
        <v>0 dari 31 (0%)</v>
      </c>
    </row>
    <row r="193" ht="22.5" customHeight="1">
      <c r="A193" s="2">
        <v>192.0</v>
      </c>
      <c r="B193" s="11"/>
      <c r="C193" s="140"/>
      <c r="D193" s="138"/>
      <c r="E193" s="138"/>
      <c r="F193" s="13"/>
      <c r="G193" s="114" t="b">
        <v>0</v>
      </c>
      <c r="H193" s="114" t="b">
        <v>0</v>
      </c>
      <c r="I193" s="114" t="b">
        <v>0</v>
      </c>
      <c r="J193" s="114" t="b">
        <v>0</v>
      </c>
      <c r="K193" s="114" t="b">
        <v>0</v>
      </c>
      <c r="L193" s="114" t="b">
        <v>0</v>
      </c>
      <c r="M193" s="114" t="b">
        <v>0</v>
      </c>
      <c r="N193" s="114" t="b">
        <v>0</v>
      </c>
      <c r="O193" s="114" t="b">
        <v>0</v>
      </c>
      <c r="P193" s="114" t="b">
        <v>0</v>
      </c>
      <c r="Q193" s="114" t="b">
        <v>0</v>
      </c>
      <c r="R193" s="114" t="b">
        <v>0</v>
      </c>
      <c r="S193" s="114" t="b">
        <v>0</v>
      </c>
      <c r="T193" s="114" t="b">
        <v>0</v>
      </c>
      <c r="U193" s="114" t="b">
        <v>0</v>
      </c>
      <c r="V193" s="114" t="b">
        <v>0</v>
      </c>
      <c r="W193" s="114" t="b">
        <v>0</v>
      </c>
      <c r="X193" s="114" t="b">
        <v>0</v>
      </c>
      <c r="Y193" s="114" t="b">
        <v>0</v>
      </c>
      <c r="Z193" s="114" t="b">
        <v>0</v>
      </c>
      <c r="AA193" s="114" t="b">
        <v>0</v>
      </c>
      <c r="AB193" s="114" t="b">
        <v>0</v>
      </c>
      <c r="AC193" s="114" t="b">
        <v>0</v>
      </c>
      <c r="AD193" s="114" t="b">
        <v>0</v>
      </c>
      <c r="AE193" s="114" t="b">
        <v>0</v>
      </c>
      <c r="AF193" s="114" t="b">
        <v>0</v>
      </c>
      <c r="AG193" s="114" t="b">
        <v>0</v>
      </c>
      <c r="AH193" s="114" t="b">
        <v>0</v>
      </c>
      <c r="AI193" s="114" t="b">
        <v>0</v>
      </c>
      <c r="AJ193" s="114" t="b">
        <v>0</v>
      </c>
      <c r="AK193" s="114" t="b">
        <v>0</v>
      </c>
      <c r="AL193" s="115" t="str">
        <f t="shared" si="1"/>
        <v>0 dari 31 (0%)</v>
      </c>
    </row>
    <row r="194" ht="22.5" customHeight="1">
      <c r="A194" s="10">
        <v>193.0</v>
      </c>
      <c r="B194" s="11"/>
      <c r="C194" s="140"/>
      <c r="D194" s="138"/>
      <c r="E194" s="138"/>
      <c r="F194" s="13"/>
      <c r="G194" s="114" t="b">
        <v>0</v>
      </c>
      <c r="H194" s="114" t="b">
        <v>0</v>
      </c>
      <c r="I194" s="114" t="b">
        <v>0</v>
      </c>
      <c r="J194" s="114" t="b">
        <v>0</v>
      </c>
      <c r="K194" s="114" t="b">
        <v>0</v>
      </c>
      <c r="L194" s="114" t="b">
        <v>0</v>
      </c>
      <c r="M194" s="114" t="b">
        <v>0</v>
      </c>
      <c r="N194" s="114" t="b">
        <v>0</v>
      </c>
      <c r="O194" s="114" t="b">
        <v>0</v>
      </c>
      <c r="P194" s="114" t="b">
        <v>0</v>
      </c>
      <c r="Q194" s="114" t="b">
        <v>0</v>
      </c>
      <c r="R194" s="114" t="b">
        <v>0</v>
      </c>
      <c r="S194" s="114" t="b">
        <v>0</v>
      </c>
      <c r="T194" s="114" t="b">
        <v>0</v>
      </c>
      <c r="U194" s="114" t="b">
        <v>0</v>
      </c>
      <c r="V194" s="114" t="b">
        <v>0</v>
      </c>
      <c r="W194" s="114" t="b">
        <v>0</v>
      </c>
      <c r="X194" s="114" t="b">
        <v>0</v>
      </c>
      <c r="Y194" s="114" t="b">
        <v>0</v>
      </c>
      <c r="Z194" s="114" t="b">
        <v>0</v>
      </c>
      <c r="AA194" s="114" t="b">
        <v>0</v>
      </c>
      <c r="AB194" s="114" t="b">
        <v>0</v>
      </c>
      <c r="AC194" s="114" t="b">
        <v>0</v>
      </c>
      <c r="AD194" s="114" t="b">
        <v>0</v>
      </c>
      <c r="AE194" s="114" t="b">
        <v>0</v>
      </c>
      <c r="AF194" s="114" t="b">
        <v>0</v>
      </c>
      <c r="AG194" s="114" t="b">
        <v>0</v>
      </c>
      <c r="AH194" s="114" t="b">
        <v>0</v>
      </c>
      <c r="AI194" s="114" t="b">
        <v>0</v>
      </c>
      <c r="AJ194" s="114" t="b">
        <v>0</v>
      </c>
      <c r="AK194" s="114" t="b">
        <v>0</v>
      </c>
      <c r="AL194" s="115" t="str">
        <f t="shared" si="1"/>
        <v>0 dari 31 (0%)</v>
      </c>
    </row>
    <row r="195" ht="22.5" customHeight="1">
      <c r="A195" s="10">
        <v>194.0</v>
      </c>
      <c r="B195" s="11"/>
      <c r="C195" s="140"/>
      <c r="D195" s="138"/>
      <c r="E195" s="138"/>
      <c r="F195" s="13"/>
      <c r="G195" s="114" t="b">
        <v>0</v>
      </c>
      <c r="H195" s="114" t="b">
        <v>0</v>
      </c>
      <c r="I195" s="114" t="b">
        <v>0</v>
      </c>
      <c r="J195" s="114" t="b">
        <v>0</v>
      </c>
      <c r="K195" s="114" t="b">
        <v>0</v>
      </c>
      <c r="L195" s="114" t="b">
        <v>0</v>
      </c>
      <c r="M195" s="114" t="b">
        <v>0</v>
      </c>
      <c r="N195" s="114" t="b">
        <v>0</v>
      </c>
      <c r="O195" s="114" t="b">
        <v>0</v>
      </c>
      <c r="P195" s="114" t="b">
        <v>0</v>
      </c>
      <c r="Q195" s="114" t="b">
        <v>0</v>
      </c>
      <c r="R195" s="114" t="b">
        <v>0</v>
      </c>
      <c r="S195" s="114" t="b">
        <v>0</v>
      </c>
      <c r="T195" s="114" t="b">
        <v>0</v>
      </c>
      <c r="U195" s="114" t="b">
        <v>0</v>
      </c>
      <c r="V195" s="114" t="b">
        <v>0</v>
      </c>
      <c r="W195" s="114" t="b">
        <v>0</v>
      </c>
      <c r="X195" s="114" t="b">
        <v>0</v>
      </c>
      <c r="Y195" s="114" t="b">
        <v>0</v>
      </c>
      <c r="Z195" s="114" t="b">
        <v>0</v>
      </c>
      <c r="AA195" s="114" t="b">
        <v>0</v>
      </c>
      <c r="AB195" s="114" t="b">
        <v>0</v>
      </c>
      <c r="AC195" s="114" t="b">
        <v>0</v>
      </c>
      <c r="AD195" s="114" t="b">
        <v>0</v>
      </c>
      <c r="AE195" s="114" t="b">
        <v>0</v>
      </c>
      <c r="AF195" s="114" t="b">
        <v>0</v>
      </c>
      <c r="AG195" s="114" t="b">
        <v>0</v>
      </c>
      <c r="AH195" s="114" t="b">
        <v>0</v>
      </c>
      <c r="AI195" s="114" t="b">
        <v>0</v>
      </c>
      <c r="AJ195" s="114" t="b">
        <v>0</v>
      </c>
      <c r="AK195" s="114" t="b">
        <v>0</v>
      </c>
      <c r="AL195" s="115" t="str">
        <f t="shared" si="1"/>
        <v>0 dari 31 (0%)</v>
      </c>
    </row>
    <row r="196" ht="22.5" customHeight="1">
      <c r="A196" s="2">
        <v>195.0</v>
      </c>
      <c r="B196" s="11"/>
      <c r="C196" s="140"/>
      <c r="D196" s="138"/>
      <c r="E196" s="138"/>
      <c r="F196" s="13"/>
      <c r="G196" s="114" t="b">
        <v>0</v>
      </c>
      <c r="H196" s="114" t="b">
        <v>0</v>
      </c>
      <c r="I196" s="114" t="b">
        <v>0</v>
      </c>
      <c r="J196" s="114" t="b">
        <v>0</v>
      </c>
      <c r="K196" s="114" t="b">
        <v>0</v>
      </c>
      <c r="L196" s="114" t="b">
        <v>0</v>
      </c>
      <c r="M196" s="114" t="b">
        <v>0</v>
      </c>
      <c r="N196" s="114" t="b">
        <v>0</v>
      </c>
      <c r="O196" s="114" t="b">
        <v>0</v>
      </c>
      <c r="P196" s="114" t="b">
        <v>0</v>
      </c>
      <c r="Q196" s="114" t="b">
        <v>0</v>
      </c>
      <c r="R196" s="114" t="b">
        <v>0</v>
      </c>
      <c r="S196" s="114" t="b">
        <v>0</v>
      </c>
      <c r="T196" s="114" t="b">
        <v>0</v>
      </c>
      <c r="U196" s="114" t="b">
        <v>0</v>
      </c>
      <c r="V196" s="114" t="b">
        <v>0</v>
      </c>
      <c r="W196" s="114" t="b">
        <v>0</v>
      </c>
      <c r="X196" s="114" t="b">
        <v>0</v>
      </c>
      <c r="Y196" s="114" t="b">
        <v>0</v>
      </c>
      <c r="Z196" s="114" t="b">
        <v>0</v>
      </c>
      <c r="AA196" s="114" t="b">
        <v>0</v>
      </c>
      <c r="AB196" s="114" t="b">
        <v>0</v>
      </c>
      <c r="AC196" s="114" t="b">
        <v>0</v>
      </c>
      <c r="AD196" s="114" t="b">
        <v>0</v>
      </c>
      <c r="AE196" s="114" t="b">
        <v>0</v>
      </c>
      <c r="AF196" s="114" t="b">
        <v>0</v>
      </c>
      <c r="AG196" s="114" t="b">
        <v>0</v>
      </c>
      <c r="AH196" s="114" t="b">
        <v>0</v>
      </c>
      <c r="AI196" s="114" t="b">
        <v>0</v>
      </c>
      <c r="AJ196" s="114" t="b">
        <v>0</v>
      </c>
      <c r="AK196" s="114" t="b">
        <v>0</v>
      </c>
      <c r="AL196" s="115" t="str">
        <f t="shared" si="1"/>
        <v>0 dari 31 (0%)</v>
      </c>
    </row>
    <row r="197" ht="22.5" customHeight="1">
      <c r="A197" s="10">
        <v>196.0</v>
      </c>
      <c r="B197" s="11"/>
      <c r="C197" s="140"/>
      <c r="D197" s="138"/>
      <c r="E197" s="138"/>
      <c r="F197" s="13"/>
      <c r="G197" s="114" t="b">
        <v>0</v>
      </c>
      <c r="H197" s="114" t="b">
        <v>0</v>
      </c>
      <c r="I197" s="114" t="b">
        <v>0</v>
      </c>
      <c r="J197" s="114" t="b">
        <v>0</v>
      </c>
      <c r="K197" s="114" t="b">
        <v>0</v>
      </c>
      <c r="L197" s="114" t="b">
        <v>0</v>
      </c>
      <c r="M197" s="114" t="b">
        <v>0</v>
      </c>
      <c r="N197" s="114" t="b">
        <v>0</v>
      </c>
      <c r="O197" s="114" t="b">
        <v>0</v>
      </c>
      <c r="P197" s="114" t="b">
        <v>0</v>
      </c>
      <c r="Q197" s="114" t="b">
        <v>0</v>
      </c>
      <c r="R197" s="114" t="b">
        <v>0</v>
      </c>
      <c r="S197" s="114" t="b">
        <v>0</v>
      </c>
      <c r="T197" s="114" t="b">
        <v>0</v>
      </c>
      <c r="U197" s="114" t="b">
        <v>0</v>
      </c>
      <c r="V197" s="114" t="b">
        <v>0</v>
      </c>
      <c r="W197" s="114" t="b">
        <v>0</v>
      </c>
      <c r="X197" s="114" t="b">
        <v>0</v>
      </c>
      <c r="Y197" s="114" t="b">
        <v>0</v>
      </c>
      <c r="Z197" s="114" t="b">
        <v>0</v>
      </c>
      <c r="AA197" s="114" t="b">
        <v>0</v>
      </c>
      <c r="AB197" s="114" t="b">
        <v>0</v>
      </c>
      <c r="AC197" s="114" t="b">
        <v>0</v>
      </c>
      <c r="AD197" s="114" t="b">
        <v>0</v>
      </c>
      <c r="AE197" s="114" t="b">
        <v>0</v>
      </c>
      <c r="AF197" s="114" t="b">
        <v>0</v>
      </c>
      <c r="AG197" s="114" t="b">
        <v>0</v>
      </c>
      <c r="AH197" s="114" t="b">
        <v>0</v>
      </c>
      <c r="AI197" s="114" t="b">
        <v>0</v>
      </c>
      <c r="AJ197" s="114" t="b">
        <v>0</v>
      </c>
      <c r="AK197" s="114" t="b">
        <v>0</v>
      </c>
      <c r="AL197" s="115" t="str">
        <f t="shared" si="1"/>
        <v>0 dari 31 (0%)</v>
      </c>
    </row>
    <row r="198" ht="22.5" customHeight="1">
      <c r="A198" s="2">
        <v>197.0</v>
      </c>
      <c r="B198" s="11"/>
      <c r="C198" s="140"/>
      <c r="D198" s="138"/>
      <c r="E198" s="138"/>
      <c r="F198" s="13"/>
      <c r="G198" s="114" t="b">
        <v>0</v>
      </c>
      <c r="H198" s="114" t="b">
        <v>0</v>
      </c>
      <c r="I198" s="114" t="b">
        <v>0</v>
      </c>
      <c r="J198" s="114" t="b">
        <v>0</v>
      </c>
      <c r="K198" s="114" t="b">
        <v>0</v>
      </c>
      <c r="L198" s="114" t="b">
        <v>0</v>
      </c>
      <c r="M198" s="114" t="b">
        <v>0</v>
      </c>
      <c r="N198" s="114" t="b">
        <v>0</v>
      </c>
      <c r="O198" s="114" t="b">
        <v>0</v>
      </c>
      <c r="P198" s="114" t="b">
        <v>0</v>
      </c>
      <c r="Q198" s="114" t="b">
        <v>0</v>
      </c>
      <c r="R198" s="114" t="b">
        <v>0</v>
      </c>
      <c r="S198" s="114" t="b">
        <v>0</v>
      </c>
      <c r="T198" s="114" t="b">
        <v>0</v>
      </c>
      <c r="U198" s="114" t="b">
        <v>0</v>
      </c>
      <c r="V198" s="114" t="b">
        <v>0</v>
      </c>
      <c r="W198" s="114" t="b">
        <v>0</v>
      </c>
      <c r="X198" s="114" t="b">
        <v>0</v>
      </c>
      <c r="Y198" s="114" t="b">
        <v>0</v>
      </c>
      <c r="Z198" s="114" t="b">
        <v>0</v>
      </c>
      <c r="AA198" s="114" t="b">
        <v>0</v>
      </c>
      <c r="AB198" s="114" t="b">
        <v>0</v>
      </c>
      <c r="AC198" s="114" t="b">
        <v>0</v>
      </c>
      <c r="AD198" s="114" t="b">
        <v>0</v>
      </c>
      <c r="AE198" s="114" t="b">
        <v>0</v>
      </c>
      <c r="AF198" s="114" t="b">
        <v>0</v>
      </c>
      <c r="AG198" s="114" t="b">
        <v>0</v>
      </c>
      <c r="AH198" s="114" t="b">
        <v>0</v>
      </c>
      <c r="AI198" s="114" t="b">
        <v>0</v>
      </c>
      <c r="AJ198" s="114" t="b">
        <v>0</v>
      </c>
      <c r="AK198" s="114" t="b">
        <v>0</v>
      </c>
      <c r="AL198" s="115" t="str">
        <f t="shared" si="1"/>
        <v>0 dari 31 (0%)</v>
      </c>
    </row>
    <row r="199" ht="22.5" customHeight="1">
      <c r="A199" s="10">
        <v>198.0</v>
      </c>
      <c r="B199" s="11"/>
      <c r="C199" s="140"/>
      <c r="D199" s="138"/>
      <c r="E199" s="138"/>
      <c r="F199" s="13"/>
      <c r="G199" s="114" t="b">
        <v>0</v>
      </c>
      <c r="H199" s="114" t="b">
        <v>0</v>
      </c>
      <c r="I199" s="114" t="b">
        <v>0</v>
      </c>
      <c r="J199" s="114" t="b">
        <v>0</v>
      </c>
      <c r="K199" s="114" t="b">
        <v>0</v>
      </c>
      <c r="L199" s="114" t="b">
        <v>0</v>
      </c>
      <c r="M199" s="114" t="b">
        <v>0</v>
      </c>
      <c r="N199" s="114" t="b">
        <v>0</v>
      </c>
      <c r="O199" s="114" t="b">
        <v>0</v>
      </c>
      <c r="P199" s="114" t="b">
        <v>0</v>
      </c>
      <c r="Q199" s="114" t="b">
        <v>0</v>
      </c>
      <c r="R199" s="114" t="b">
        <v>0</v>
      </c>
      <c r="S199" s="114" t="b">
        <v>0</v>
      </c>
      <c r="T199" s="114" t="b">
        <v>0</v>
      </c>
      <c r="U199" s="114" t="b">
        <v>0</v>
      </c>
      <c r="V199" s="114" t="b">
        <v>0</v>
      </c>
      <c r="W199" s="114" t="b">
        <v>0</v>
      </c>
      <c r="X199" s="114" t="b">
        <v>0</v>
      </c>
      <c r="Y199" s="114" t="b">
        <v>0</v>
      </c>
      <c r="Z199" s="114" t="b">
        <v>0</v>
      </c>
      <c r="AA199" s="114" t="b">
        <v>0</v>
      </c>
      <c r="AB199" s="114" t="b">
        <v>0</v>
      </c>
      <c r="AC199" s="114" t="b">
        <v>0</v>
      </c>
      <c r="AD199" s="114" t="b">
        <v>0</v>
      </c>
      <c r="AE199" s="114" t="b">
        <v>0</v>
      </c>
      <c r="AF199" s="114" t="b">
        <v>0</v>
      </c>
      <c r="AG199" s="114" t="b">
        <v>0</v>
      </c>
      <c r="AH199" s="114" t="b">
        <v>0</v>
      </c>
      <c r="AI199" s="114" t="b">
        <v>0</v>
      </c>
      <c r="AJ199" s="114" t="b">
        <v>0</v>
      </c>
      <c r="AK199" s="114" t="b">
        <v>0</v>
      </c>
      <c r="AL199" s="115" t="str">
        <f t="shared" si="1"/>
        <v>0 dari 31 (0%)</v>
      </c>
    </row>
    <row r="200" ht="22.5" customHeight="1">
      <c r="A200" s="10">
        <v>199.0</v>
      </c>
      <c r="B200" s="11"/>
      <c r="C200" s="140"/>
      <c r="D200" s="138"/>
      <c r="E200" s="138"/>
      <c r="F200" s="13"/>
      <c r="G200" s="114" t="b">
        <v>0</v>
      </c>
      <c r="H200" s="114" t="b">
        <v>0</v>
      </c>
      <c r="I200" s="114" t="b">
        <v>0</v>
      </c>
      <c r="J200" s="114" t="b">
        <v>0</v>
      </c>
      <c r="K200" s="114" t="b">
        <v>0</v>
      </c>
      <c r="L200" s="114" t="b">
        <v>0</v>
      </c>
      <c r="M200" s="114" t="b">
        <v>0</v>
      </c>
      <c r="N200" s="114" t="b">
        <v>0</v>
      </c>
      <c r="O200" s="114" t="b">
        <v>0</v>
      </c>
      <c r="P200" s="114" t="b">
        <v>0</v>
      </c>
      <c r="Q200" s="114" t="b">
        <v>0</v>
      </c>
      <c r="R200" s="114" t="b">
        <v>0</v>
      </c>
      <c r="S200" s="114" t="b">
        <v>0</v>
      </c>
      <c r="T200" s="114" t="b">
        <v>0</v>
      </c>
      <c r="U200" s="114" t="b">
        <v>0</v>
      </c>
      <c r="V200" s="114" t="b">
        <v>0</v>
      </c>
      <c r="W200" s="114" t="b">
        <v>0</v>
      </c>
      <c r="X200" s="114" t="b">
        <v>0</v>
      </c>
      <c r="Y200" s="114" t="b">
        <v>0</v>
      </c>
      <c r="Z200" s="114" t="b">
        <v>0</v>
      </c>
      <c r="AA200" s="114" t="b">
        <v>0</v>
      </c>
      <c r="AB200" s="114" t="b">
        <v>0</v>
      </c>
      <c r="AC200" s="114" t="b">
        <v>0</v>
      </c>
      <c r="AD200" s="114" t="b">
        <v>0</v>
      </c>
      <c r="AE200" s="114" t="b">
        <v>0</v>
      </c>
      <c r="AF200" s="114" t="b">
        <v>0</v>
      </c>
      <c r="AG200" s="114" t="b">
        <v>0</v>
      </c>
      <c r="AH200" s="114" t="b">
        <v>0</v>
      </c>
      <c r="AI200" s="114" t="b">
        <v>0</v>
      </c>
      <c r="AJ200" s="114" t="b">
        <v>0</v>
      </c>
      <c r="AK200" s="114" t="b">
        <v>0</v>
      </c>
      <c r="AL200" s="115" t="str">
        <f t="shared" si="1"/>
        <v>0 dari 31 (0%)</v>
      </c>
    </row>
    <row r="201" ht="22.5" customHeight="1">
      <c r="A201" s="2">
        <v>200.0</v>
      </c>
      <c r="B201" s="11"/>
      <c r="C201" s="140"/>
      <c r="D201" s="138"/>
      <c r="E201" s="138"/>
      <c r="F201" s="13"/>
      <c r="G201" s="114" t="b">
        <v>0</v>
      </c>
      <c r="H201" s="114" t="b">
        <v>0</v>
      </c>
      <c r="I201" s="114" t="b">
        <v>0</v>
      </c>
      <c r="J201" s="114" t="b">
        <v>0</v>
      </c>
      <c r="K201" s="114" t="b">
        <v>0</v>
      </c>
      <c r="L201" s="114" t="b">
        <v>0</v>
      </c>
      <c r="M201" s="114" t="b">
        <v>0</v>
      </c>
      <c r="N201" s="114" t="b">
        <v>0</v>
      </c>
      <c r="O201" s="114" t="b">
        <v>0</v>
      </c>
      <c r="P201" s="114" t="b">
        <v>0</v>
      </c>
      <c r="Q201" s="114" t="b">
        <v>0</v>
      </c>
      <c r="R201" s="114" t="b">
        <v>0</v>
      </c>
      <c r="S201" s="114" t="b">
        <v>0</v>
      </c>
      <c r="T201" s="114" t="b">
        <v>0</v>
      </c>
      <c r="U201" s="114" t="b">
        <v>0</v>
      </c>
      <c r="V201" s="114" t="b">
        <v>0</v>
      </c>
      <c r="W201" s="114" t="b">
        <v>0</v>
      </c>
      <c r="X201" s="114" t="b">
        <v>0</v>
      </c>
      <c r="Y201" s="114" t="b">
        <v>0</v>
      </c>
      <c r="Z201" s="114" t="b">
        <v>0</v>
      </c>
      <c r="AA201" s="114" t="b">
        <v>0</v>
      </c>
      <c r="AB201" s="114" t="b">
        <v>0</v>
      </c>
      <c r="AC201" s="114" t="b">
        <v>0</v>
      </c>
      <c r="AD201" s="114" t="b">
        <v>0</v>
      </c>
      <c r="AE201" s="114" t="b">
        <v>0</v>
      </c>
      <c r="AF201" s="114" t="b">
        <v>0</v>
      </c>
      <c r="AG201" s="114" t="b">
        <v>0</v>
      </c>
      <c r="AH201" s="114" t="b">
        <v>0</v>
      </c>
      <c r="AI201" s="114" t="b">
        <v>0</v>
      </c>
      <c r="AJ201" s="114" t="b">
        <v>0</v>
      </c>
      <c r="AK201" s="114" t="b">
        <v>0</v>
      </c>
      <c r="AL201" s="115" t="str">
        <f t="shared" si="1"/>
        <v>0 dari 31 (0%)</v>
      </c>
    </row>
    <row r="202" ht="22.5" customHeight="1">
      <c r="A202" s="10">
        <v>201.0</v>
      </c>
      <c r="B202" s="11"/>
      <c r="C202" s="140"/>
      <c r="D202" s="138"/>
      <c r="E202" s="138"/>
      <c r="F202" s="13"/>
      <c r="G202" s="114" t="b">
        <v>0</v>
      </c>
      <c r="H202" s="114" t="b">
        <v>0</v>
      </c>
      <c r="I202" s="114" t="b">
        <v>0</v>
      </c>
      <c r="J202" s="114" t="b">
        <v>0</v>
      </c>
      <c r="K202" s="114" t="b">
        <v>0</v>
      </c>
      <c r="L202" s="114" t="b">
        <v>0</v>
      </c>
      <c r="M202" s="114" t="b">
        <v>0</v>
      </c>
      <c r="N202" s="114" t="b">
        <v>0</v>
      </c>
      <c r="O202" s="114" t="b">
        <v>0</v>
      </c>
      <c r="P202" s="114" t="b">
        <v>0</v>
      </c>
      <c r="Q202" s="114" t="b">
        <v>0</v>
      </c>
      <c r="R202" s="114" t="b">
        <v>0</v>
      </c>
      <c r="S202" s="114" t="b">
        <v>0</v>
      </c>
      <c r="T202" s="114" t="b">
        <v>0</v>
      </c>
      <c r="U202" s="114" t="b">
        <v>0</v>
      </c>
      <c r="V202" s="114" t="b">
        <v>0</v>
      </c>
      <c r="W202" s="114" t="b">
        <v>0</v>
      </c>
      <c r="X202" s="114" t="b">
        <v>0</v>
      </c>
      <c r="Y202" s="114" t="b">
        <v>0</v>
      </c>
      <c r="Z202" s="114" t="b">
        <v>0</v>
      </c>
      <c r="AA202" s="114" t="b">
        <v>0</v>
      </c>
      <c r="AB202" s="114" t="b">
        <v>0</v>
      </c>
      <c r="AC202" s="114" t="b">
        <v>0</v>
      </c>
      <c r="AD202" s="114" t="b">
        <v>0</v>
      </c>
      <c r="AE202" s="114" t="b">
        <v>0</v>
      </c>
      <c r="AF202" s="114" t="b">
        <v>0</v>
      </c>
      <c r="AG202" s="114" t="b">
        <v>0</v>
      </c>
      <c r="AH202" s="114" t="b">
        <v>0</v>
      </c>
      <c r="AI202" s="114" t="b">
        <v>0</v>
      </c>
      <c r="AJ202" s="114" t="b">
        <v>0</v>
      </c>
      <c r="AK202" s="114" t="b">
        <v>0</v>
      </c>
      <c r="AL202" s="115" t="str">
        <f t="shared" si="1"/>
        <v>0 dari 31 (0%)</v>
      </c>
    </row>
    <row r="203" ht="22.5" customHeight="1">
      <c r="A203" s="2">
        <v>202.0</v>
      </c>
      <c r="B203" s="11"/>
      <c r="C203" s="140"/>
      <c r="D203" s="138"/>
      <c r="E203" s="138"/>
      <c r="F203" s="13"/>
      <c r="G203" s="114" t="b">
        <v>0</v>
      </c>
      <c r="H203" s="114" t="b">
        <v>0</v>
      </c>
      <c r="I203" s="114" t="b">
        <v>0</v>
      </c>
      <c r="J203" s="114" t="b">
        <v>0</v>
      </c>
      <c r="K203" s="114" t="b">
        <v>0</v>
      </c>
      <c r="L203" s="114" t="b">
        <v>0</v>
      </c>
      <c r="M203" s="114" t="b">
        <v>0</v>
      </c>
      <c r="N203" s="114" t="b">
        <v>0</v>
      </c>
      <c r="O203" s="114" t="b">
        <v>0</v>
      </c>
      <c r="P203" s="114" t="b">
        <v>0</v>
      </c>
      <c r="Q203" s="114" t="b">
        <v>0</v>
      </c>
      <c r="R203" s="114" t="b">
        <v>0</v>
      </c>
      <c r="S203" s="114" t="b">
        <v>0</v>
      </c>
      <c r="T203" s="114" t="b">
        <v>0</v>
      </c>
      <c r="U203" s="114" t="b">
        <v>0</v>
      </c>
      <c r="V203" s="114" t="b">
        <v>0</v>
      </c>
      <c r="W203" s="114" t="b">
        <v>0</v>
      </c>
      <c r="X203" s="114" t="b">
        <v>0</v>
      </c>
      <c r="Y203" s="114" t="b">
        <v>0</v>
      </c>
      <c r="Z203" s="114" t="b">
        <v>0</v>
      </c>
      <c r="AA203" s="114" t="b">
        <v>0</v>
      </c>
      <c r="AB203" s="114" t="b">
        <v>0</v>
      </c>
      <c r="AC203" s="114" t="b">
        <v>0</v>
      </c>
      <c r="AD203" s="114" t="b">
        <v>0</v>
      </c>
      <c r="AE203" s="114" t="b">
        <v>0</v>
      </c>
      <c r="AF203" s="114" t="b">
        <v>0</v>
      </c>
      <c r="AG203" s="114" t="b">
        <v>0</v>
      </c>
      <c r="AH203" s="114" t="b">
        <v>0</v>
      </c>
      <c r="AI203" s="114" t="b">
        <v>0</v>
      </c>
      <c r="AJ203" s="114" t="b">
        <v>0</v>
      </c>
      <c r="AK203" s="114" t="b">
        <v>0</v>
      </c>
      <c r="AL203" s="115" t="str">
        <f t="shared" si="1"/>
        <v>0 dari 31 (0%)</v>
      </c>
    </row>
    <row r="204" ht="22.5" customHeight="1">
      <c r="A204" s="10">
        <v>203.0</v>
      </c>
      <c r="B204" s="11"/>
      <c r="C204" s="140"/>
      <c r="D204" s="138"/>
      <c r="E204" s="138"/>
      <c r="F204" s="13"/>
      <c r="G204" s="114" t="b">
        <v>0</v>
      </c>
      <c r="H204" s="114" t="b">
        <v>0</v>
      </c>
      <c r="I204" s="114" t="b">
        <v>0</v>
      </c>
      <c r="J204" s="114" t="b">
        <v>0</v>
      </c>
      <c r="K204" s="114" t="b">
        <v>0</v>
      </c>
      <c r="L204" s="114" t="b">
        <v>0</v>
      </c>
      <c r="M204" s="114" t="b">
        <v>0</v>
      </c>
      <c r="N204" s="114" t="b">
        <v>0</v>
      </c>
      <c r="O204" s="114" t="b">
        <v>0</v>
      </c>
      <c r="P204" s="114" t="b">
        <v>0</v>
      </c>
      <c r="Q204" s="114" t="b">
        <v>0</v>
      </c>
      <c r="R204" s="114" t="b">
        <v>0</v>
      </c>
      <c r="S204" s="114" t="b">
        <v>0</v>
      </c>
      <c r="T204" s="114" t="b">
        <v>0</v>
      </c>
      <c r="U204" s="114" t="b">
        <v>0</v>
      </c>
      <c r="V204" s="114" t="b">
        <v>0</v>
      </c>
      <c r="W204" s="114" t="b">
        <v>0</v>
      </c>
      <c r="X204" s="114" t="b">
        <v>0</v>
      </c>
      <c r="Y204" s="114" t="b">
        <v>0</v>
      </c>
      <c r="Z204" s="114" t="b">
        <v>0</v>
      </c>
      <c r="AA204" s="114" t="b">
        <v>0</v>
      </c>
      <c r="AB204" s="114" t="b">
        <v>0</v>
      </c>
      <c r="AC204" s="114" t="b">
        <v>0</v>
      </c>
      <c r="AD204" s="114" t="b">
        <v>0</v>
      </c>
      <c r="AE204" s="114" t="b">
        <v>0</v>
      </c>
      <c r="AF204" s="114" t="b">
        <v>0</v>
      </c>
      <c r="AG204" s="114" t="b">
        <v>0</v>
      </c>
      <c r="AH204" s="114" t="b">
        <v>0</v>
      </c>
      <c r="AI204" s="114" t="b">
        <v>0</v>
      </c>
      <c r="AJ204" s="114" t="b">
        <v>0</v>
      </c>
      <c r="AK204" s="114" t="b">
        <v>0</v>
      </c>
      <c r="AL204" s="115" t="str">
        <f t="shared" si="1"/>
        <v>0 dari 31 (0%)</v>
      </c>
    </row>
    <row r="205" ht="22.5" customHeight="1">
      <c r="A205" s="10">
        <v>204.0</v>
      </c>
      <c r="B205" s="11"/>
      <c r="C205" s="140"/>
      <c r="D205" s="138"/>
      <c r="E205" s="138"/>
      <c r="F205" s="13"/>
      <c r="G205" s="114" t="b">
        <v>0</v>
      </c>
      <c r="H205" s="114" t="b">
        <v>0</v>
      </c>
      <c r="I205" s="114" t="b">
        <v>0</v>
      </c>
      <c r="J205" s="114" t="b">
        <v>0</v>
      </c>
      <c r="K205" s="114" t="b">
        <v>0</v>
      </c>
      <c r="L205" s="114" t="b">
        <v>0</v>
      </c>
      <c r="M205" s="114" t="b">
        <v>0</v>
      </c>
      <c r="N205" s="114" t="b">
        <v>0</v>
      </c>
      <c r="O205" s="114" t="b">
        <v>0</v>
      </c>
      <c r="P205" s="114" t="b">
        <v>0</v>
      </c>
      <c r="Q205" s="114" t="b">
        <v>0</v>
      </c>
      <c r="R205" s="114" t="b">
        <v>0</v>
      </c>
      <c r="S205" s="114" t="b">
        <v>0</v>
      </c>
      <c r="T205" s="114" t="b">
        <v>0</v>
      </c>
      <c r="U205" s="114" t="b">
        <v>0</v>
      </c>
      <c r="V205" s="114" t="b">
        <v>0</v>
      </c>
      <c r="W205" s="114" t="b">
        <v>0</v>
      </c>
      <c r="X205" s="114" t="b">
        <v>0</v>
      </c>
      <c r="Y205" s="114" t="b">
        <v>0</v>
      </c>
      <c r="Z205" s="114" t="b">
        <v>0</v>
      </c>
      <c r="AA205" s="114" t="b">
        <v>0</v>
      </c>
      <c r="AB205" s="114" t="b">
        <v>0</v>
      </c>
      <c r="AC205" s="114" t="b">
        <v>0</v>
      </c>
      <c r="AD205" s="114" t="b">
        <v>0</v>
      </c>
      <c r="AE205" s="114" t="b">
        <v>0</v>
      </c>
      <c r="AF205" s="114" t="b">
        <v>0</v>
      </c>
      <c r="AG205" s="114" t="b">
        <v>0</v>
      </c>
      <c r="AH205" s="114" t="b">
        <v>0</v>
      </c>
      <c r="AI205" s="114" t="b">
        <v>0</v>
      </c>
      <c r="AJ205" s="114" t="b">
        <v>0</v>
      </c>
      <c r="AK205" s="114" t="b">
        <v>0</v>
      </c>
      <c r="AL205" s="115" t="str">
        <f t="shared" si="1"/>
        <v>0 dari 31 (0%)</v>
      </c>
    </row>
    <row r="206" ht="22.5" customHeight="1">
      <c r="A206" s="2">
        <v>205.0</v>
      </c>
      <c r="B206" s="11"/>
      <c r="C206" s="140"/>
      <c r="D206" s="138"/>
      <c r="E206" s="138"/>
      <c r="F206" s="13"/>
      <c r="G206" s="114" t="b">
        <v>0</v>
      </c>
      <c r="H206" s="114" t="b">
        <v>0</v>
      </c>
      <c r="I206" s="114" t="b">
        <v>0</v>
      </c>
      <c r="J206" s="114" t="b">
        <v>0</v>
      </c>
      <c r="K206" s="114" t="b">
        <v>0</v>
      </c>
      <c r="L206" s="114" t="b">
        <v>0</v>
      </c>
      <c r="M206" s="114" t="b">
        <v>0</v>
      </c>
      <c r="N206" s="114" t="b">
        <v>0</v>
      </c>
      <c r="O206" s="114" t="b">
        <v>0</v>
      </c>
      <c r="P206" s="114" t="b">
        <v>0</v>
      </c>
      <c r="Q206" s="114" t="b">
        <v>0</v>
      </c>
      <c r="R206" s="114" t="b">
        <v>0</v>
      </c>
      <c r="S206" s="114" t="b">
        <v>0</v>
      </c>
      <c r="T206" s="114" t="b">
        <v>0</v>
      </c>
      <c r="U206" s="114" t="b">
        <v>0</v>
      </c>
      <c r="V206" s="114" t="b">
        <v>0</v>
      </c>
      <c r="W206" s="114" t="b">
        <v>0</v>
      </c>
      <c r="X206" s="114" t="b">
        <v>0</v>
      </c>
      <c r="Y206" s="114" t="b">
        <v>0</v>
      </c>
      <c r="Z206" s="114" t="b">
        <v>0</v>
      </c>
      <c r="AA206" s="114" t="b">
        <v>0</v>
      </c>
      <c r="AB206" s="114" t="b">
        <v>0</v>
      </c>
      <c r="AC206" s="114" t="b">
        <v>0</v>
      </c>
      <c r="AD206" s="114" t="b">
        <v>0</v>
      </c>
      <c r="AE206" s="114" t="b">
        <v>0</v>
      </c>
      <c r="AF206" s="114" t="b">
        <v>0</v>
      </c>
      <c r="AG206" s="114" t="b">
        <v>0</v>
      </c>
      <c r="AH206" s="114" t="b">
        <v>0</v>
      </c>
      <c r="AI206" s="114" t="b">
        <v>0</v>
      </c>
      <c r="AJ206" s="114" t="b">
        <v>0</v>
      </c>
      <c r="AK206" s="114" t="b">
        <v>0</v>
      </c>
      <c r="AL206" s="115" t="str">
        <f t="shared" si="1"/>
        <v>0 dari 31 (0%)</v>
      </c>
    </row>
    <row r="207" ht="22.5" customHeight="1">
      <c r="A207" s="10">
        <v>206.0</v>
      </c>
      <c r="B207" s="11"/>
      <c r="C207" s="140"/>
      <c r="D207" s="138"/>
      <c r="E207" s="138"/>
      <c r="F207" s="13"/>
      <c r="G207" s="114" t="b">
        <v>0</v>
      </c>
      <c r="H207" s="114" t="b">
        <v>0</v>
      </c>
      <c r="I207" s="114" t="b">
        <v>0</v>
      </c>
      <c r="J207" s="114" t="b">
        <v>0</v>
      </c>
      <c r="K207" s="114" t="b">
        <v>0</v>
      </c>
      <c r="L207" s="114" t="b">
        <v>0</v>
      </c>
      <c r="M207" s="114" t="b">
        <v>0</v>
      </c>
      <c r="N207" s="114" t="b">
        <v>0</v>
      </c>
      <c r="O207" s="114" t="b">
        <v>0</v>
      </c>
      <c r="P207" s="114" t="b">
        <v>0</v>
      </c>
      <c r="Q207" s="114" t="b">
        <v>0</v>
      </c>
      <c r="R207" s="114" t="b">
        <v>0</v>
      </c>
      <c r="S207" s="114" t="b">
        <v>0</v>
      </c>
      <c r="T207" s="114" t="b">
        <v>0</v>
      </c>
      <c r="U207" s="114" t="b">
        <v>0</v>
      </c>
      <c r="V207" s="114" t="b">
        <v>0</v>
      </c>
      <c r="W207" s="114" t="b">
        <v>0</v>
      </c>
      <c r="X207" s="114" t="b">
        <v>0</v>
      </c>
      <c r="Y207" s="114" t="b">
        <v>0</v>
      </c>
      <c r="Z207" s="114" t="b">
        <v>0</v>
      </c>
      <c r="AA207" s="114" t="b">
        <v>0</v>
      </c>
      <c r="AB207" s="114" t="b">
        <v>0</v>
      </c>
      <c r="AC207" s="114" t="b">
        <v>0</v>
      </c>
      <c r="AD207" s="114" t="b">
        <v>0</v>
      </c>
      <c r="AE207" s="114" t="b">
        <v>0</v>
      </c>
      <c r="AF207" s="114" t="b">
        <v>0</v>
      </c>
      <c r="AG207" s="114" t="b">
        <v>0</v>
      </c>
      <c r="AH207" s="114" t="b">
        <v>0</v>
      </c>
      <c r="AI207" s="114" t="b">
        <v>0</v>
      </c>
      <c r="AJ207" s="114" t="b">
        <v>0</v>
      </c>
      <c r="AK207" s="114" t="b">
        <v>0</v>
      </c>
      <c r="AL207" s="115" t="str">
        <f t="shared" si="1"/>
        <v>0 dari 31 (0%)</v>
      </c>
    </row>
    <row r="208" ht="22.5" customHeight="1">
      <c r="A208" s="2">
        <v>207.0</v>
      </c>
      <c r="B208" s="11"/>
      <c r="C208" s="140"/>
      <c r="D208" s="138"/>
      <c r="E208" s="138"/>
      <c r="F208" s="13"/>
      <c r="G208" s="114" t="b">
        <v>0</v>
      </c>
      <c r="H208" s="114" t="b">
        <v>0</v>
      </c>
      <c r="I208" s="114" t="b">
        <v>0</v>
      </c>
      <c r="J208" s="114" t="b">
        <v>0</v>
      </c>
      <c r="K208" s="114" t="b">
        <v>0</v>
      </c>
      <c r="L208" s="114" t="b">
        <v>0</v>
      </c>
      <c r="M208" s="114" t="b">
        <v>0</v>
      </c>
      <c r="N208" s="114" t="b">
        <v>0</v>
      </c>
      <c r="O208" s="114" t="b">
        <v>0</v>
      </c>
      <c r="P208" s="114" t="b">
        <v>0</v>
      </c>
      <c r="Q208" s="114" t="b">
        <v>0</v>
      </c>
      <c r="R208" s="114" t="b">
        <v>0</v>
      </c>
      <c r="S208" s="114" t="b">
        <v>0</v>
      </c>
      <c r="T208" s="114" t="b">
        <v>0</v>
      </c>
      <c r="U208" s="114" t="b">
        <v>0</v>
      </c>
      <c r="V208" s="114" t="b">
        <v>0</v>
      </c>
      <c r="W208" s="114" t="b">
        <v>0</v>
      </c>
      <c r="X208" s="114" t="b">
        <v>0</v>
      </c>
      <c r="Y208" s="114" t="b">
        <v>0</v>
      </c>
      <c r="Z208" s="114" t="b">
        <v>0</v>
      </c>
      <c r="AA208" s="114" t="b">
        <v>0</v>
      </c>
      <c r="AB208" s="114" t="b">
        <v>0</v>
      </c>
      <c r="AC208" s="114" t="b">
        <v>0</v>
      </c>
      <c r="AD208" s="114" t="b">
        <v>0</v>
      </c>
      <c r="AE208" s="114" t="b">
        <v>0</v>
      </c>
      <c r="AF208" s="114" t="b">
        <v>0</v>
      </c>
      <c r="AG208" s="114" t="b">
        <v>0</v>
      </c>
      <c r="AH208" s="114" t="b">
        <v>0</v>
      </c>
      <c r="AI208" s="114" t="b">
        <v>0</v>
      </c>
      <c r="AJ208" s="114" t="b">
        <v>0</v>
      </c>
      <c r="AK208" s="114" t="b">
        <v>0</v>
      </c>
      <c r="AL208" s="115" t="str">
        <f t="shared" si="1"/>
        <v>0 dari 31 (0%)</v>
      </c>
    </row>
    <row r="209" ht="22.5" customHeight="1">
      <c r="A209" s="10">
        <v>208.0</v>
      </c>
      <c r="B209" s="11"/>
      <c r="C209" s="140"/>
      <c r="D209" s="138"/>
      <c r="E209" s="138"/>
      <c r="F209" s="13"/>
      <c r="G209" s="114" t="b">
        <v>0</v>
      </c>
      <c r="H209" s="114" t="b">
        <v>0</v>
      </c>
      <c r="I209" s="114" t="b">
        <v>0</v>
      </c>
      <c r="J209" s="114" t="b">
        <v>0</v>
      </c>
      <c r="K209" s="114" t="b">
        <v>0</v>
      </c>
      <c r="L209" s="114" t="b">
        <v>0</v>
      </c>
      <c r="M209" s="114" t="b">
        <v>0</v>
      </c>
      <c r="N209" s="114" t="b">
        <v>0</v>
      </c>
      <c r="O209" s="114" t="b">
        <v>0</v>
      </c>
      <c r="P209" s="114" t="b">
        <v>0</v>
      </c>
      <c r="Q209" s="114" t="b">
        <v>0</v>
      </c>
      <c r="R209" s="114" t="b">
        <v>0</v>
      </c>
      <c r="S209" s="114" t="b">
        <v>0</v>
      </c>
      <c r="T209" s="114" t="b">
        <v>0</v>
      </c>
      <c r="U209" s="114" t="b">
        <v>0</v>
      </c>
      <c r="V209" s="114" t="b">
        <v>0</v>
      </c>
      <c r="W209" s="114" t="b">
        <v>0</v>
      </c>
      <c r="X209" s="114" t="b">
        <v>0</v>
      </c>
      <c r="Y209" s="114" t="b">
        <v>0</v>
      </c>
      <c r="Z209" s="114" t="b">
        <v>0</v>
      </c>
      <c r="AA209" s="114" t="b">
        <v>0</v>
      </c>
      <c r="AB209" s="114" t="b">
        <v>0</v>
      </c>
      <c r="AC209" s="114" t="b">
        <v>0</v>
      </c>
      <c r="AD209" s="114" t="b">
        <v>0</v>
      </c>
      <c r="AE209" s="114" t="b">
        <v>0</v>
      </c>
      <c r="AF209" s="114" t="b">
        <v>0</v>
      </c>
      <c r="AG209" s="114" t="b">
        <v>0</v>
      </c>
      <c r="AH209" s="114" t="b">
        <v>0</v>
      </c>
      <c r="AI209" s="114" t="b">
        <v>0</v>
      </c>
      <c r="AJ209" s="114" t="b">
        <v>0</v>
      </c>
      <c r="AK209" s="114" t="b">
        <v>0</v>
      </c>
      <c r="AL209" s="115" t="str">
        <f t="shared" si="1"/>
        <v>0 dari 31 (0%)</v>
      </c>
    </row>
    <row r="210" ht="22.5" customHeight="1">
      <c r="A210" s="10">
        <v>209.0</v>
      </c>
      <c r="B210" s="11"/>
      <c r="C210" s="140"/>
      <c r="D210" s="138"/>
      <c r="E210" s="138"/>
      <c r="F210" s="13"/>
      <c r="G210" s="114" t="b">
        <v>0</v>
      </c>
      <c r="H210" s="114" t="b">
        <v>0</v>
      </c>
      <c r="I210" s="114" t="b">
        <v>0</v>
      </c>
      <c r="J210" s="114" t="b">
        <v>0</v>
      </c>
      <c r="K210" s="114" t="b">
        <v>0</v>
      </c>
      <c r="L210" s="114" t="b">
        <v>0</v>
      </c>
      <c r="M210" s="114" t="b">
        <v>0</v>
      </c>
      <c r="N210" s="114" t="b">
        <v>0</v>
      </c>
      <c r="O210" s="114" t="b">
        <v>0</v>
      </c>
      <c r="P210" s="114" t="b">
        <v>0</v>
      </c>
      <c r="Q210" s="114" t="b">
        <v>0</v>
      </c>
      <c r="R210" s="114" t="b">
        <v>0</v>
      </c>
      <c r="S210" s="114" t="b">
        <v>0</v>
      </c>
      <c r="T210" s="114" t="b">
        <v>0</v>
      </c>
      <c r="U210" s="114" t="b">
        <v>0</v>
      </c>
      <c r="V210" s="114" t="b">
        <v>0</v>
      </c>
      <c r="W210" s="114" t="b">
        <v>0</v>
      </c>
      <c r="X210" s="114" t="b">
        <v>0</v>
      </c>
      <c r="Y210" s="114" t="b">
        <v>0</v>
      </c>
      <c r="Z210" s="114" t="b">
        <v>0</v>
      </c>
      <c r="AA210" s="114" t="b">
        <v>0</v>
      </c>
      <c r="AB210" s="114" t="b">
        <v>0</v>
      </c>
      <c r="AC210" s="114" t="b">
        <v>0</v>
      </c>
      <c r="AD210" s="114" t="b">
        <v>0</v>
      </c>
      <c r="AE210" s="114" t="b">
        <v>0</v>
      </c>
      <c r="AF210" s="114" t="b">
        <v>0</v>
      </c>
      <c r="AG210" s="114" t="b">
        <v>0</v>
      </c>
      <c r="AH210" s="114" t="b">
        <v>0</v>
      </c>
      <c r="AI210" s="114" t="b">
        <v>0</v>
      </c>
      <c r="AJ210" s="114" t="b">
        <v>0</v>
      </c>
      <c r="AK210" s="114" t="b">
        <v>0</v>
      </c>
      <c r="AL210" s="115" t="str">
        <f t="shared" si="1"/>
        <v>0 dari 31 (0%)</v>
      </c>
    </row>
    <row r="211" ht="22.5" customHeight="1">
      <c r="A211" s="2">
        <v>210.0</v>
      </c>
      <c r="B211" s="11"/>
      <c r="C211" s="140"/>
      <c r="D211" s="138"/>
      <c r="E211" s="138"/>
      <c r="F211" s="13"/>
      <c r="G211" s="114" t="b">
        <v>0</v>
      </c>
      <c r="H211" s="114" t="b">
        <v>0</v>
      </c>
      <c r="I211" s="114" t="b">
        <v>0</v>
      </c>
      <c r="J211" s="114" t="b">
        <v>0</v>
      </c>
      <c r="K211" s="114" t="b">
        <v>0</v>
      </c>
      <c r="L211" s="114" t="b">
        <v>0</v>
      </c>
      <c r="M211" s="114" t="b">
        <v>0</v>
      </c>
      <c r="N211" s="114" t="b">
        <v>0</v>
      </c>
      <c r="O211" s="114" t="b">
        <v>0</v>
      </c>
      <c r="P211" s="114" t="b">
        <v>0</v>
      </c>
      <c r="Q211" s="114" t="b">
        <v>0</v>
      </c>
      <c r="R211" s="114" t="b">
        <v>0</v>
      </c>
      <c r="S211" s="114" t="b">
        <v>0</v>
      </c>
      <c r="T211" s="114" t="b">
        <v>0</v>
      </c>
      <c r="U211" s="114" t="b">
        <v>0</v>
      </c>
      <c r="V211" s="114" t="b">
        <v>0</v>
      </c>
      <c r="W211" s="114" t="b">
        <v>0</v>
      </c>
      <c r="X211" s="114" t="b">
        <v>0</v>
      </c>
      <c r="Y211" s="114" t="b">
        <v>0</v>
      </c>
      <c r="Z211" s="114" t="b">
        <v>0</v>
      </c>
      <c r="AA211" s="114" t="b">
        <v>0</v>
      </c>
      <c r="AB211" s="114" t="b">
        <v>0</v>
      </c>
      <c r="AC211" s="114" t="b">
        <v>0</v>
      </c>
      <c r="AD211" s="114" t="b">
        <v>0</v>
      </c>
      <c r="AE211" s="114" t="b">
        <v>0</v>
      </c>
      <c r="AF211" s="114" t="b">
        <v>0</v>
      </c>
      <c r="AG211" s="114" t="b">
        <v>0</v>
      </c>
      <c r="AH211" s="114" t="b">
        <v>0</v>
      </c>
      <c r="AI211" s="114" t="b">
        <v>0</v>
      </c>
      <c r="AJ211" s="114" t="b">
        <v>0</v>
      </c>
      <c r="AK211" s="114" t="b">
        <v>0</v>
      </c>
      <c r="AL211" s="115" t="str">
        <f t="shared" si="1"/>
        <v>0 dari 31 (0%)</v>
      </c>
    </row>
    <row r="212" ht="22.5" customHeight="1">
      <c r="A212" s="10">
        <v>211.0</v>
      </c>
      <c r="B212" s="11"/>
      <c r="C212" s="140"/>
      <c r="D212" s="138"/>
      <c r="E212" s="138"/>
      <c r="F212" s="13"/>
      <c r="G212" s="114" t="b">
        <v>0</v>
      </c>
      <c r="H212" s="114" t="b">
        <v>0</v>
      </c>
      <c r="I212" s="114" t="b">
        <v>0</v>
      </c>
      <c r="J212" s="114" t="b">
        <v>0</v>
      </c>
      <c r="K212" s="114" t="b">
        <v>0</v>
      </c>
      <c r="L212" s="114" t="b">
        <v>0</v>
      </c>
      <c r="M212" s="114" t="b">
        <v>0</v>
      </c>
      <c r="N212" s="114" t="b">
        <v>0</v>
      </c>
      <c r="O212" s="114" t="b">
        <v>0</v>
      </c>
      <c r="P212" s="114" t="b">
        <v>0</v>
      </c>
      <c r="Q212" s="114" t="b">
        <v>0</v>
      </c>
      <c r="R212" s="114" t="b">
        <v>0</v>
      </c>
      <c r="S212" s="114" t="b">
        <v>0</v>
      </c>
      <c r="T212" s="114" t="b">
        <v>0</v>
      </c>
      <c r="U212" s="114" t="b">
        <v>0</v>
      </c>
      <c r="V212" s="114" t="b">
        <v>0</v>
      </c>
      <c r="W212" s="114" t="b">
        <v>0</v>
      </c>
      <c r="X212" s="114" t="b">
        <v>0</v>
      </c>
      <c r="Y212" s="114" t="b">
        <v>0</v>
      </c>
      <c r="Z212" s="114" t="b">
        <v>0</v>
      </c>
      <c r="AA212" s="114" t="b">
        <v>0</v>
      </c>
      <c r="AB212" s="114" t="b">
        <v>0</v>
      </c>
      <c r="AC212" s="114" t="b">
        <v>0</v>
      </c>
      <c r="AD212" s="114" t="b">
        <v>0</v>
      </c>
      <c r="AE212" s="114" t="b">
        <v>0</v>
      </c>
      <c r="AF212" s="114" t="b">
        <v>0</v>
      </c>
      <c r="AG212" s="114" t="b">
        <v>0</v>
      </c>
      <c r="AH212" s="114" t="b">
        <v>0</v>
      </c>
      <c r="AI212" s="114" t="b">
        <v>0</v>
      </c>
      <c r="AJ212" s="114" t="b">
        <v>0</v>
      </c>
      <c r="AK212" s="114" t="b">
        <v>0</v>
      </c>
      <c r="AL212" s="115" t="str">
        <f t="shared" si="1"/>
        <v>0 dari 31 (0%)</v>
      </c>
    </row>
    <row r="213" ht="22.5" customHeight="1">
      <c r="A213" s="2">
        <v>212.0</v>
      </c>
      <c r="B213" s="11"/>
      <c r="C213" s="140"/>
      <c r="D213" s="138"/>
      <c r="E213" s="138"/>
      <c r="F213" s="13"/>
      <c r="G213" s="114" t="b">
        <v>0</v>
      </c>
      <c r="H213" s="114" t="b">
        <v>0</v>
      </c>
      <c r="I213" s="114" t="b">
        <v>0</v>
      </c>
      <c r="J213" s="114" t="b">
        <v>0</v>
      </c>
      <c r="K213" s="114" t="b">
        <v>0</v>
      </c>
      <c r="L213" s="114" t="b">
        <v>0</v>
      </c>
      <c r="M213" s="114" t="b">
        <v>0</v>
      </c>
      <c r="N213" s="114" t="b">
        <v>0</v>
      </c>
      <c r="O213" s="114" t="b">
        <v>0</v>
      </c>
      <c r="P213" s="114" t="b">
        <v>0</v>
      </c>
      <c r="Q213" s="114" t="b">
        <v>0</v>
      </c>
      <c r="R213" s="114" t="b">
        <v>0</v>
      </c>
      <c r="S213" s="114" t="b">
        <v>0</v>
      </c>
      <c r="T213" s="114" t="b">
        <v>0</v>
      </c>
      <c r="U213" s="114" t="b">
        <v>0</v>
      </c>
      <c r="V213" s="114" t="b">
        <v>0</v>
      </c>
      <c r="W213" s="114" t="b">
        <v>0</v>
      </c>
      <c r="X213" s="114" t="b">
        <v>0</v>
      </c>
      <c r="Y213" s="114" t="b">
        <v>0</v>
      </c>
      <c r="Z213" s="114" t="b">
        <v>0</v>
      </c>
      <c r="AA213" s="114" t="b">
        <v>0</v>
      </c>
      <c r="AB213" s="114" t="b">
        <v>0</v>
      </c>
      <c r="AC213" s="114" t="b">
        <v>0</v>
      </c>
      <c r="AD213" s="114" t="b">
        <v>0</v>
      </c>
      <c r="AE213" s="114" t="b">
        <v>0</v>
      </c>
      <c r="AF213" s="114" t="b">
        <v>0</v>
      </c>
      <c r="AG213" s="114" t="b">
        <v>0</v>
      </c>
      <c r="AH213" s="114" t="b">
        <v>0</v>
      </c>
      <c r="AI213" s="114" t="b">
        <v>0</v>
      </c>
      <c r="AJ213" s="114" t="b">
        <v>0</v>
      </c>
      <c r="AK213" s="114" t="b">
        <v>0</v>
      </c>
      <c r="AL213" s="115" t="str">
        <f t="shared" si="1"/>
        <v>0 dari 31 (0%)</v>
      </c>
    </row>
    <row r="214" ht="22.5" customHeight="1">
      <c r="A214" s="10">
        <v>213.0</v>
      </c>
      <c r="B214" s="11"/>
      <c r="C214" s="140"/>
      <c r="D214" s="138"/>
      <c r="E214" s="138"/>
      <c r="F214" s="13"/>
      <c r="G214" s="114" t="b">
        <v>0</v>
      </c>
      <c r="H214" s="114" t="b">
        <v>0</v>
      </c>
      <c r="I214" s="114" t="b">
        <v>0</v>
      </c>
      <c r="J214" s="114" t="b">
        <v>0</v>
      </c>
      <c r="K214" s="114" t="b">
        <v>0</v>
      </c>
      <c r="L214" s="114" t="b">
        <v>0</v>
      </c>
      <c r="M214" s="114" t="b">
        <v>0</v>
      </c>
      <c r="N214" s="114" t="b">
        <v>0</v>
      </c>
      <c r="O214" s="114" t="b">
        <v>0</v>
      </c>
      <c r="P214" s="114" t="b">
        <v>0</v>
      </c>
      <c r="Q214" s="114" t="b">
        <v>0</v>
      </c>
      <c r="R214" s="114" t="b">
        <v>0</v>
      </c>
      <c r="S214" s="114" t="b">
        <v>0</v>
      </c>
      <c r="T214" s="114" t="b">
        <v>0</v>
      </c>
      <c r="U214" s="114" t="b">
        <v>0</v>
      </c>
      <c r="V214" s="114" t="b">
        <v>0</v>
      </c>
      <c r="W214" s="114" t="b">
        <v>0</v>
      </c>
      <c r="X214" s="114" t="b">
        <v>0</v>
      </c>
      <c r="Y214" s="114" t="b">
        <v>0</v>
      </c>
      <c r="Z214" s="114" t="b">
        <v>0</v>
      </c>
      <c r="AA214" s="114" t="b">
        <v>0</v>
      </c>
      <c r="AB214" s="114" t="b">
        <v>0</v>
      </c>
      <c r="AC214" s="114" t="b">
        <v>0</v>
      </c>
      <c r="AD214" s="114" t="b">
        <v>0</v>
      </c>
      <c r="AE214" s="114" t="b">
        <v>0</v>
      </c>
      <c r="AF214" s="114" t="b">
        <v>0</v>
      </c>
      <c r="AG214" s="114" t="b">
        <v>0</v>
      </c>
      <c r="AH214" s="114" t="b">
        <v>0</v>
      </c>
      <c r="AI214" s="114" t="b">
        <v>0</v>
      </c>
      <c r="AJ214" s="114" t="b">
        <v>0</v>
      </c>
      <c r="AK214" s="114" t="b">
        <v>0</v>
      </c>
      <c r="AL214" s="115" t="str">
        <f t="shared" si="1"/>
        <v>0 dari 31 (0%)</v>
      </c>
    </row>
    <row r="215" ht="22.5" customHeight="1">
      <c r="A215" s="10">
        <v>214.0</v>
      </c>
      <c r="B215" s="11"/>
      <c r="C215" s="140"/>
      <c r="D215" s="138"/>
      <c r="E215" s="138"/>
      <c r="F215" s="13"/>
      <c r="G215" s="114" t="b">
        <v>0</v>
      </c>
      <c r="H215" s="114" t="b">
        <v>0</v>
      </c>
      <c r="I215" s="114" t="b">
        <v>0</v>
      </c>
      <c r="J215" s="114" t="b">
        <v>0</v>
      </c>
      <c r="K215" s="114" t="b">
        <v>0</v>
      </c>
      <c r="L215" s="114" t="b">
        <v>0</v>
      </c>
      <c r="M215" s="114" t="b">
        <v>0</v>
      </c>
      <c r="N215" s="114" t="b">
        <v>0</v>
      </c>
      <c r="O215" s="114" t="b">
        <v>0</v>
      </c>
      <c r="P215" s="114" t="b">
        <v>0</v>
      </c>
      <c r="Q215" s="114" t="b">
        <v>0</v>
      </c>
      <c r="R215" s="114" t="b">
        <v>0</v>
      </c>
      <c r="S215" s="114" t="b">
        <v>0</v>
      </c>
      <c r="T215" s="114" t="b">
        <v>0</v>
      </c>
      <c r="U215" s="114" t="b">
        <v>0</v>
      </c>
      <c r="V215" s="114" t="b">
        <v>0</v>
      </c>
      <c r="W215" s="114" t="b">
        <v>0</v>
      </c>
      <c r="X215" s="114" t="b">
        <v>0</v>
      </c>
      <c r="Y215" s="114" t="b">
        <v>0</v>
      </c>
      <c r="Z215" s="114" t="b">
        <v>0</v>
      </c>
      <c r="AA215" s="114" t="b">
        <v>0</v>
      </c>
      <c r="AB215" s="114" t="b">
        <v>0</v>
      </c>
      <c r="AC215" s="114" t="b">
        <v>0</v>
      </c>
      <c r="AD215" s="114" t="b">
        <v>0</v>
      </c>
      <c r="AE215" s="114" t="b">
        <v>0</v>
      </c>
      <c r="AF215" s="114" t="b">
        <v>0</v>
      </c>
      <c r="AG215" s="114" t="b">
        <v>0</v>
      </c>
      <c r="AH215" s="114" t="b">
        <v>0</v>
      </c>
      <c r="AI215" s="114" t="b">
        <v>0</v>
      </c>
      <c r="AJ215" s="114" t="b">
        <v>0</v>
      </c>
      <c r="AK215" s="114" t="b">
        <v>0</v>
      </c>
      <c r="AL215" s="115" t="str">
        <f t="shared" si="1"/>
        <v>0 dari 31 (0%)</v>
      </c>
    </row>
    <row r="216" ht="22.5" customHeight="1">
      <c r="A216" s="2">
        <v>215.0</v>
      </c>
      <c r="B216" s="11"/>
      <c r="C216" s="140"/>
      <c r="D216" s="138"/>
      <c r="E216" s="138"/>
      <c r="F216" s="13"/>
      <c r="G216" s="114" t="b">
        <v>0</v>
      </c>
      <c r="H216" s="114" t="b">
        <v>0</v>
      </c>
      <c r="I216" s="114" t="b">
        <v>0</v>
      </c>
      <c r="J216" s="114" t="b">
        <v>0</v>
      </c>
      <c r="K216" s="114" t="b">
        <v>0</v>
      </c>
      <c r="L216" s="114" t="b">
        <v>0</v>
      </c>
      <c r="M216" s="114" t="b">
        <v>0</v>
      </c>
      <c r="N216" s="114" t="b">
        <v>0</v>
      </c>
      <c r="O216" s="114" t="b">
        <v>0</v>
      </c>
      <c r="P216" s="114" t="b">
        <v>0</v>
      </c>
      <c r="Q216" s="114" t="b">
        <v>0</v>
      </c>
      <c r="R216" s="114" t="b">
        <v>0</v>
      </c>
      <c r="S216" s="114" t="b">
        <v>0</v>
      </c>
      <c r="T216" s="114" t="b">
        <v>0</v>
      </c>
      <c r="U216" s="114" t="b">
        <v>0</v>
      </c>
      <c r="V216" s="114" t="b">
        <v>0</v>
      </c>
      <c r="W216" s="114" t="b">
        <v>0</v>
      </c>
      <c r="X216" s="114" t="b">
        <v>0</v>
      </c>
      <c r="Y216" s="114" t="b">
        <v>0</v>
      </c>
      <c r="Z216" s="114" t="b">
        <v>0</v>
      </c>
      <c r="AA216" s="114" t="b">
        <v>0</v>
      </c>
      <c r="AB216" s="114" t="b">
        <v>0</v>
      </c>
      <c r="AC216" s="114" t="b">
        <v>0</v>
      </c>
      <c r="AD216" s="114" t="b">
        <v>0</v>
      </c>
      <c r="AE216" s="114" t="b">
        <v>0</v>
      </c>
      <c r="AF216" s="114" t="b">
        <v>0</v>
      </c>
      <c r="AG216" s="114" t="b">
        <v>0</v>
      </c>
      <c r="AH216" s="114" t="b">
        <v>0</v>
      </c>
      <c r="AI216" s="114" t="b">
        <v>0</v>
      </c>
      <c r="AJ216" s="114" t="b">
        <v>0</v>
      </c>
      <c r="AK216" s="114" t="b">
        <v>0</v>
      </c>
      <c r="AL216" s="115" t="str">
        <f t="shared" si="1"/>
        <v>0 dari 31 (0%)</v>
      </c>
    </row>
    <row r="217" ht="22.5" customHeight="1">
      <c r="A217" s="10">
        <v>216.0</v>
      </c>
      <c r="B217" s="11"/>
      <c r="C217" s="140"/>
      <c r="D217" s="138"/>
      <c r="E217" s="138"/>
      <c r="F217" s="13"/>
      <c r="G217" s="114" t="b">
        <v>0</v>
      </c>
      <c r="H217" s="114" t="b">
        <v>0</v>
      </c>
      <c r="I217" s="114" t="b">
        <v>0</v>
      </c>
      <c r="J217" s="114" t="b">
        <v>0</v>
      </c>
      <c r="K217" s="114" t="b">
        <v>0</v>
      </c>
      <c r="L217" s="114" t="b">
        <v>0</v>
      </c>
      <c r="M217" s="114" t="b">
        <v>0</v>
      </c>
      <c r="N217" s="114" t="b">
        <v>0</v>
      </c>
      <c r="O217" s="114" t="b">
        <v>0</v>
      </c>
      <c r="P217" s="114" t="b">
        <v>0</v>
      </c>
      <c r="Q217" s="114" t="b">
        <v>0</v>
      </c>
      <c r="R217" s="114" t="b">
        <v>0</v>
      </c>
      <c r="S217" s="114" t="b">
        <v>0</v>
      </c>
      <c r="T217" s="114" t="b">
        <v>0</v>
      </c>
      <c r="U217" s="114" t="b">
        <v>0</v>
      </c>
      <c r="V217" s="114" t="b">
        <v>0</v>
      </c>
      <c r="W217" s="114" t="b">
        <v>0</v>
      </c>
      <c r="X217" s="114" t="b">
        <v>0</v>
      </c>
      <c r="Y217" s="114" t="b">
        <v>0</v>
      </c>
      <c r="Z217" s="114" t="b">
        <v>0</v>
      </c>
      <c r="AA217" s="114" t="b">
        <v>0</v>
      </c>
      <c r="AB217" s="114" t="b">
        <v>0</v>
      </c>
      <c r="AC217" s="114" t="b">
        <v>0</v>
      </c>
      <c r="AD217" s="114" t="b">
        <v>0</v>
      </c>
      <c r="AE217" s="114" t="b">
        <v>0</v>
      </c>
      <c r="AF217" s="114" t="b">
        <v>0</v>
      </c>
      <c r="AG217" s="114" t="b">
        <v>0</v>
      </c>
      <c r="AH217" s="114" t="b">
        <v>0</v>
      </c>
      <c r="AI217" s="114" t="b">
        <v>0</v>
      </c>
      <c r="AJ217" s="114" t="b">
        <v>0</v>
      </c>
      <c r="AK217" s="114" t="b">
        <v>0</v>
      </c>
      <c r="AL217" s="115" t="str">
        <f t="shared" si="1"/>
        <v>0 dari 31 (0%)</v>
      </c>
    </row>
    <row r="218" ht="22.5" customHeight="1">
      <c r="A218" s="2">
        <v>217.0</v>
      </c>
      <c r="B218" s="11"/>
      <c r="C218" s="140"/>
      <c r="D218" s="138"/>
      <c r="E218" s="138"/>
      <c r="F218" s="13"/>
      <c r="G218" s="114" t="b">
        <v>0</v>
      </c>
      <c r="H218" s="114" t="b">
        <v>0</v>
      </c>
      <c r="I218" s="114" t="b">
        <v>0</v>
      </c>
      <c r="J218" s="114" t="b">
        <v>0</v>
      </c>
      <c r="K218" s="114" t="b">
        <v>0</v>
      </c>
      <c r="L218" s="114" t="b">
        <v>0</v>
      </c>
      <c r="M218" s="114" t="b">
        <v>0</v>
      </c>
      <c r="N218" s="114" t="b">
        <v>0</v>
      </c>
      <c r="O218" s="114" t="b">
        <v>0</v>
      </c>
      <c r="P218" s="114" t="b">
        <v>0</v>
      </c>
      <c r="Q218" s="114" t="b">
        <v>0</v>
      </c>
      <c r="R218" s="114" t="b">
        <v>0</v>
      </c>
      <c r="S218" s="114" t="b">
        <v>0</v>
      </c>
      <c r="T218" s="114" t="b">
        <v>0</v>
      </c>
      <c r="U218" s="114" t="b">
        <v>0</v>
      </c>
      <c r="V218" s="114" t="b">
        <v>0</v>
      </c>
      <c r="W218" s="114" t="b">
        <v>0</v>
      </c>
      <c r="X218" s="114" t="b">
        <v>0</v>
      </c>
      <c r="Y218" s="114" t="b">
        <v>0</v>
      </c>
      <c r="Z218" s="114" t="b">
        <v>0</v>
      </c>
      <c r="AA218" s="114" t="b">
        <v>0</v>
      </c>
      <c r="AB218" s="114" t="b">
        <v>0</v>
      </c>
      <c r="AC218" s="114" t="b">
        <v>0</v>
      </c>
      <c r="AD218" s="114" t="b">
        <v>0</v>
      </c>
      <c r="AE218" s="114" t="b">
        <v>0</v>
      </c>
      <c r="AF218" s="114" t="b">
        <v>0</v>
      </c>
      <c r="AG218" s="114" t="b">
        <v>0</v>
      </c>
      <c r="AH218" s="114" t="b">
        <v>0</v>
      </c>
      <c r="AI218" s="114" t="b">
        <v>0</v>
      </c>
      <c r="AJ218" s="114" t="b">
        <v>0</v>
      </c>
      <c r="AK218" s="114" t="b">
        <v>0</v>
      </c>
      <c r="AL218" s="115" t="str">
        <f t="shared" si="1"/>
        <v>0 dari 31 (0%)</v>
      </c>
    </row>
    <row r="219" ht="22.5" customHeight="1">
      <c r="A219" s="10">
        <v>218.0</v>
      </c>
      <c r="B219" s="11"/>
      <c r="C219" s="140"/>
      <c r="D219" s="138"/>
      <c r="E219" s="138"/>
      <c r="F219" s="13"/>
      <c r="G219" s="114" t="b">
        <v>0</v>
      </c>
      <c r="H219" s="114" t="b">
        <v>0</v>
      </c>
      <c r="I219" s="114" t="b">
        <v>0</v>
      </c>
      <c r="J219" s="114" t="b">
        <v>0</v>
      </c>
      <c r="K219" s="114" t="b">
        <v>0</v>
      </c>
      <c r="L219" s="114" t="b">
        <v>0</v>
      </c>
      <c r="M219" s="114" t="b">
        <v>0</v>
      </c>
      <c r="N219" s="114" t="b">
        <v>0</v>
      </c>
      <c r="O219" s="114" t="b">
        <v>0</v>
      </c>
      <c r="P219" s="114" t="b">
        <v>0</v>
      </c>
      <c r="Q219" s="114" t="b">
        <v>0</v>
      </c>
      <c r="R219" s="114" t="b">
        <v>0</v>
      </c>
      <c r="S219" s="114" t="b">
        <v>0</v>
      </c>
      <c r="T219" s="114" t="b">
        <v>0</v>
      </c>
      <c r="U219" s="114" t="b">
        <v>0</v>
      </c>
      <c r="V219" s="114" t="b">
        <v>0</v>
      </c>
      <c r="W219" s="114" t="b">
        <v>0</v>
      </c>
      <c r="X219" s="114" t="b">
        <v>0</v>
      </c>
      <c r="Y219" s="114" t="b">
        <v>0</v>
      </c>
      <c r="Z219" s="114" t="b">
        <v>0</v>
      </c>
      <c r="AA219" s="114" t="b">
        <v>0</v>
      </c>
      <c r="AB219" s="114" t="b">
        <v>0</v>
      </c>
      <c r="AC219" s="114" t="b">
        <v>0</v>
      </c>
      <c r="AD219" s="114" t="b">
        <v>0</v>
      </c>
      <c r="AE219" s="114" t="b">
        <v>0</v>
      </c>
      <c r="AF219" s="114" t="b">
        <v>0</v>
      </c>
      <c r="AG219" s="114" t="b">
        <v>0</v>
      </c>
      <c r="AH219" s="114" t="b">
        <v>0</v>
      </c>
      <c r="AI219" s="114" t="b">
        <v>0</v>
      </c>
      <c r="AJ219" s="114" t="b">
        <v>0</v>
      </c>
      <c r="AK219" s="114" t="b">
        <v>0</v>
      </c>
      <c r="AL219" s="115" t="str">
        <f t="shared" si="1"/>
        <v>0 dari 31 (0%)</v>
      </c>
    </row>
    <row r="220" ht="22.5" customHeight="1">
      <c r="A220" s="10">
        <v>219.0</v>
      </c>
      <c r="B220" s="11"/>
      <c r="C220" s="140"/>
      <c r="D220" s="138"/>
      <c r="E220" s="138"/>
      <c r="F220" s="13"/>
      <c r="G220" s="114" t="b">
        <v>0</v>
      </c>
      <c r="H220" s="114" t="b">
        <v>0</v>
      </c>
      <c r="I220" s="114" t="b">
        <v>0</v>
      </c>
      <c r="J220" s="114" t="b">
        <v>0</v>
      </c>
      <c r="K220" s="114" t="b">
        <v>0</v>
      </c>
      <c r="L220" s="114" t="b">
        <v>0</v>
      </c>
      <c r="M220" s="114" t="b">
        <v>0</v>
      </c>
      <c r="N220" s="114" t="b">
        <v>0</v>
      </c>
      <c r="O220" s="114" t="b">
        <v>0</v>
      </c>
      <c r="P220" s="114" t="b">
        <v>0</v>
      </c>
      <c r="Q220" s="114" t="b">
        <v>0</v>
      </c>
      <c r="R220" s="114" t="b">
        <v>0</v>
      </c>
      <c r="S220" s="114" t="b">
        <v>0</v>
      </c>
      <c r="T220" s="114" t="b">
        <v>0</v>
      </c>
      <c r="U220" s="114" t="b">
        <v>0</v>
      </c>
      <c r="V220" s="114" t="b">
        <v>0</v>
      </c>
      <c r="W220" s="114" t="b">
        <v>0</v>
      </c>
      <c r="X220" s="114" t="b">
        <v>0</v>
      </c>
      <c r="Y220" s="114" t="b">
        <v>0</v>
      </c>
      <c r="Z220" s="114" t="b">
        <v>0</v>
      </c>
      <c r="AA220" s="114" t="b">
        <v>0</v>
      </c>
      <c r="AB220" s="114" t="b">
        <v>0</v>
      </c>
      <c r="AC220" s="114" t="b">
        <v>0</v>
      </c>
      <c r="AD220" s="114" t="b">
        <v>0</v>
      </c>
      <c r="AE220" s="114" t="b">
        <v>0</v>
      </c>
      <c r="AF220" s="114" t="b">
        <v>0</v>
      </c>
      <c r="AG220" s="114" t="b">
        <v>0</v>
      </c>
      <c r="AH220" s="114" t="b">
        <v>0</v>
      </c>
      <c r="AI220" s="114" t="b">
        <v>0</v>
      </c>
      <c r="AJ220" s="114" t="b">
        <v>0</v>
      </c>
      <c r="AK220" s="114" t="b">
        <v>0</v>
      </c>
      <c r="AL220" s="115" t="str">
        <f t="shared" si="1"/>
        <v>0 dari 31 (0%)</v>
      </c>
    </row>
    <row r="221" ht="22.5" customHeight="1">
      <c r="A221" s="2">
        <v>220.0</v>
      </c>
      <c r="B221" s="11"/>
      <c r="C221" s="140"/>
      <c r="D221" s="138"/>
      <c r="E221" s="138"/>
      <c r="F221" s="13"/>
      <c r="G221" s="114" t="b">
        <v>0</v>
      </c>
      <c r="H221" s="114" t="b">
        <v>0</v>
      </c>
      <c r="I221" s="114" t="b">
        <v>0</v>
      </c>
      <c r="J221" s="114" t="b">
        <v>0</v>
      </c>
      <c r="K221" s="114" t="b">
        <v>0</v>
      </c>
      <c r="L221" s="114" t="b">
        <v>0</v>
      </c>
      <c r="M221" s="114" t="b">
        <v>0</v>
      </c>
      <c r="N221" s="114" t="b">
        <v>0</v>
      </c>
      <c r="O221" s="114" t="b">
        <v>0</v>
      </c>
      <c r="P221" s="114" t="b">
        <v>0</v>
      </c>
      <c r="Q221" s="114" t="b">
        <v>0</v>
      </c>
      <c r="R221" s="114" t="b">
        <v>0</v>
      </c>
      <c r="S221" s="114" t="b">
        <v>0</v>
      </c>
      <c r="T221" s="114" t="b">
        <v>0</v>
      </c>
      <c r="U221" s="114" t="b">
        <v>0</v>
      </c>
      <c r="V221" s="114" t="b">
        <v>0</v>
      </c>
      <c r="W221" s="114" t="b">
        <v>0</v>
      </c>
      <c r="X221" s="114" t="b">
        <v>0</v>
      </c>
      <c r="Y221" s="114" t="b">
        <v>0</v>
      </c>
      <c r="Z221" s="114" t="b">
        <v>0</v>
      </c>
      <c r="AA221" s="114" t="b">
        <v>0</v>
      </c>
      <c r="AB221" s="114" t="b">
        <v>0</v>
      </c>
      <c r="AC221" s="114" t="b">
        <v>0</v>
      </c>
      <c r="AD221" s="114" t="b">
        <v>0</v>
      </c>
      <c r="AE221" s="114" t="b">
        <v>0</v>
      </c>
      <c r="AF221" s="114" t="b">
        <v>0</v>
      </c>
      <c r="AG221" s="114" t="b">
        <v>0</v>
      </c>
      <c r="AH221" s="114" t="b">
        <v>0</v>
      </c>
      <c r="AI221" s="114" t="b">
        <v>0</v>
      </c>
      <c r="AJ221" s="114" t="b">
        <v>0</v>
      </c>
      <c r="AK221" s="114" t="b">
        <v>0</v>
      </c>
      <c r="AL221" s="115" t="str">
        <f t="shared" si="1"/>
        <v>0 dari 31 (0%)</v>
      </c>
    </row>
    <row r="222" ht="22.5" customHeight="1">
      <c r="A222" s="10">
        <v>221.0</v>
      </c>
      <c r="B222" s="11"/>
      <c r="C222" s="140"/>
      <c r="D222" s="138"/>
      <c r="E222" s="138"/>
      <c r="F222" s="13"/>
      <c r="G222" s="114" t="b">
        <v>0</v>
      </c>
      <c r="H222" s="114" t="b">
        <v>0</v>
      </c>
      <c r="I222" s="114" t="b">
        <v>0</v>
      </c>
      <c r="J222" s="114" t="b">
        <v>0</v>
      </c>
      <c r="K222" s="114" t="b">
        <v>0</v>
      </c>
      <c r="L222" s="114" t="b">
        <v>0</v>
      </c>
      <c r="M222" s="114" t="b">
        <v>0</v>
      </c>
      <c r="N222" s="114" t="b">
        <v>0</v>
      </c>
      <c r="O222" s="114" t="b">
        <v>0</v>
      </c>
      <c r="P222" s="114" t="b">
        <v>0</v>
      </c>
      <c r="Q222" s="114" t="b">
        <v>0</v>
      </c>
      <c r="R222" s="114" t="b">
        <v>0</v>
      </c>
      <c r="S222" s="114" t="b">
        <v>0</v>
      </c>
      <c r="T222" s="114" t="b">
        <v>0</v>
      </c>
      <c r="U222" s="114" t="b">
        <v>0</v>
      </c>
      <c r="V222" s="114" t="b">
        <v>0</v>
      </c>
      <c r="W222" s="114" t="b">
        <v>0</v>
      </c>
      <c r="X222" s="114" t="b">
        <v>0</v>
      </c>
      <c r="Y222" s="114" t="b">
        <v>0</v>
      </c>
      <c r="Z222" s="114" t="b">
        <v>0</v>
      </c>
      <c r="AA222" s="114" t="b">
        <v>0</v>
      </c>
      <c r="AB222" s="114" t="b">
        <v>0</v>
      </c>
      <c r="AC222" s="114" t="b">
        <v>0</v>
      </c>
      <c r="AD222" s="114" t="b">
        <v>0</v>
      </c>
      <c r="AE222" s="114" t="b">
        <v>0</v>
      </c>
      <c r="AF222" s="114" t="b">
        <v>0</v>
      </c>
      <c r="AG222" s="114" t="b">
        <v>0</v>
      </c>
      <c r="AH222" s="114" t="b">
        <v>0</v>
      </c>
      <c r="AI222" s="114" t="b">
        <v>0</v>
      </c>
      <c r="AJ222" s="114" t="b">
        <v>0</v>
      </c>
      <c r="AK222" s="114" t="b">
        <v>0</v>
      </c>
      <c r="AL222" s="115" t="str">
        <f t="shared" si="1"/>
        <v>0 dari 31 (0%)</v>
      </c>
    </row>
    <row r="223" ht="22.5" customHeight="1">
      <c r="A223" s="2">
        <v>222.0</v>
      </c>
      <c r="B223" s="11"/>
      <c r="C223" s="140"/>
      <c r="D223" s="138"/>
      <c r="E223" s="138"/>
      <c r="F223" s="13"/>
      <c r="G223" s="114" t="b">
        <v>0</v>
      </c>
      <c r="H223" s="114" t="b">
        <v>0</v>
      </c>
      <c r="I223" s="114" t="b">
        <v>0</v>
      </c>
      <c r="J223" s="114" t="b">
        <v>0</v>
      </c>
      <c r="K223" s="114" t="b">
        <v>0</v>
      </c>
      <c r="L223" s="114" t="b">
        <v>0</v>
      </c>
      <c r="M223" s="114" t="b">
        <v>0</v>
      </c>
      <c r="N223" s="114" t="b">
        <v>0</v>
      </c>
      <c r="O223" s="114" t="b">
        <v>0</v>
      </c>
      <c r="P223" s="114" t="b">
        <v>0</v>
      </c>
      <c r="Q223" s="114" t="b">
        <v>0</v>
      </c>
      <c r="R223" s="114" t="b">
        <v>0</v>
      </c>
      <c r="S223" s="114" t="b">
        <v>0</v>
      </c>
      <c r="T223" s="114" t="b">
        <v>0</v>
      </c>
      <c r="U223" s="114" t="b">
        <v>0</v>
      </c>
      <c r="V223" s="114" t="b">
        <v>0</v>
      </c>
      <c r="W223" s="114" t="b">
        <v>0</v>
      </c>
      <c r="X223" s="114" t="b">
        <v>0</v>
      </c>
      <c r="Y223" s="114" t="b">
        <v>0</v>
      </c>
      <c r="Z223" s="114" t="b">
        <v>0</v>
      </c>
      <c r="AA223" s="114" t="b">
        <v>0</v>
      </c>
      <c r="AB223" s="114" t="b">
        <v>0</v>
      </c>
      <c r="AC223" s="114" t="b">
        <v>0</v>
      </c>
      <c r="AD223" s="114" t="b">
        <v>0</v>
      </c>
      <c r="AE223" s="114" t="b">
        <v>0</v>
      </c>
      <c r="AF223" s="114" t="b">
        <v>0</v>
      </c>
      <c r="AG223" s="114" t="b">
        <v>0</v>
      </c>
      <c r="AH223" s="114" t="b">
        <v>0</v>
      </c>
      <c r="AI223" s="114" t="b">
        <v>0</v>
      </c>
      <c r="AJ223" s="114" t="b">
        <v>0</v>
      </c>
      <c r="AK223" s="114" t="b">
        <v>0</v>
      </c>
      <c r="AL223" s="115" t="str">
        <f t="shared" si="1"/>
        <v>0 dari 31 (0%)</v>
      </c>
    </row>
    <row r="224" ht="22.5" customHeight="1">
      <c r="A224" s="10">
        <v>223.0</v>
      </c>
      <c r="B224" s="11"/>
      <c r="C224" s="140"/>
      <c r="D224" s="138"/>
      <c r="E224" s="138"/>
      <c r="F224" s="13"/>
      <c r="G224" s="114" t="b">
        <v>0</v>
      </c>
      <c r="H224" s="114" t="b">
        <v>0</v>
      </c>
      <c r="I224" s="114" t="b">
        <v>0</v>
      </c>
      <c r="J224" s="114" t="b">
        <v>0</v>
      </c>
      <c r="K224" s="114" t="b">
        <v>0</v>
      </c>
      <c r="L224" s="114" t="b">
        <v>0</v>
      </c>
      <c r="M224" s="114" t="b">
        <v>0</v>
      </c>
      <c r="N224" s="114" t="b">
        <v>0</v>
      </c>
      <c r="O224" s="114" t="b">
        <v>0</v>
      </c>
      <c r="P224" s="114" t="b">
        <v>0</v>
      </c>
      <c r="Q224" s="114" t="b">
        <v>0</v>
      </c>
      <c r="R224" s="114" t="b">
        <v>0</v>
      </c>
      <c r="S224" s="114" t="b">
        <v>0</v>
      </c>
      <c r="T224" s="114" t="b">
        <v>0</v>
      </c>
      <c r="U224" s="114" t="b">
        <v>0</v>
      </c>
      <c r="V224" s="114" t="b">
        <v>0</v>
      </c>
      <c r="W224" s="114" t="b">
        <v>0</v>
      </c>
      <c r="X224" s="114" t="b">
        <v>0</v>
      </c>
      <c r="Y224" s="114" t="b">
        <v>0</v>
      </c>
      <c r="Z224" s="114" t="b">
        <v>0</v>
      </c>
      <c r="AA224" s="114" t="b">
        <v>0</v>
      </c>
      <c r="AB224" s="114" t="b">
        <v>0</v>
      </c>
      <c r="AC224" s="114" t="b">
        <v>0</v>
      </c>
      <c r="AD224" s="114" t="b">
        <v>0</v>
      </c>
      <c r="AE224" s="114" t="b">
        <v>0</v>
      </c>
      <c r="AF224" s="114" t="b">
        <v>0</v>
      </c>
      <c r="AG224" s="114" t="b">
        <v>0</v>
      </c>
      <c r="AH224" s="114" t="b">
        <v>0</v>
      </c>
      <c r="AI224" s="114" t="b">
        <v>0</v>
      </c>
      <c r="AJ224" s="114" t="b">
        <v>0</v>
      </c>
      <c r="AK224" s="114" t="b">
        <v>0</v>
      </c>
      <c r="AL224" s="115" t="str">
        <f t="shared" si="1"/>
        <v>0 dari 31 (0%)</v>
      </c>
    </row>
    <row r="225" ht="22.5" customHeight="1">
      <c r="A225" s="10">
        <v>224.0</v>
      </c>
      <c r="B225" s="11"/>
      <c r="C225" s="140"/>
      <c r="D225" s="138"/>
      <c r="E225" s="138"/>
      <c r="F225" s="13"/>
      <c r="G225" s="114" t="b">
        <v>0</v>
      </c>
      <c r="H225" s="114" t="b">
        <v>0</v>
      </c>
      <c r="I225" s="114" t="b">
        <v>0</v>
      </c>
      <c r="J225" s="114" t="b">
        <v>0</v>
      </c>
      <c r="K225" s="114" t="b">
        <v>0</v>
      </c>
      <c r="L225" s="114" t="b">
        <v>0</v>
      </c>
      <c r="M225" s="114" t="b">
        <v>0</v>
      </c>
      <c r="N225" s="114" t="b">
        <v>0</v>
      </c>
      <c r="O225" s="114" t="b">
        <v>0</v>
      </c>
      <c r="P225" s="114" t="b">
        <v>0</v>
      </c>
      <c r="Q225" s="114" t="b">
        <v>0</v>
      </c>
      <c r="R225" s="114" t="b">
        <v>0</v>
      </c>
      <c r="S225" s="114" t="b">
        <v>0</v>
      </c>
      <c r="T225" s="114" t="b">
        <v>0</v>
      </c>
      <c r="U225" s="114" t="b">
        <v>0</v>
      </c>
      <c r="V225" s="114" t="b">
        <v>0</v>
      </c>
      <c r="W225" s="114" t="b">
        <v>0</v>
      </c>
      <c r="X225" s="114" t="b">
        <v>0</v>
      </c>
      <c r="Y225" s="114" t="b">
        <v>0</v>
      </c>
      <c r="Z225" s="114" t="b">
        <v>0</v>
      </c>
      <c r="AA225" s="114" t="b">
        <v>0</v>
      </c>
      <c r="AB225" s="114" t="b">
        <v>0</v>
      </c>
      <c r="AC225" s="114" t="b">
        <v>0</v>
      </c>
      <c r="AD225" s="114" t="b">
        <v>0</v>
      </c>
      <c r="AE225" s="114" t="b">
        <v>0</v>
      </c>
      <c r="AF225" s="114" t="b">
        <v>0</v>
      </c>
      <c r="AG225" s="114" t="b">
        <v>0</v>
      </c>
      <c r="AH225" s="114" t="b">
        <v>0</v>
      </c>
      <c r="AI225" s="114" t="b">
        <v>0</v>
      </c>
      <c r="AJ225" s="114" t="b">
        <v>0</v>
      </c>
      <c r="AK225" s="114" t="b">
        <v>0</v>
      </c>
      <c r="AL225" s="115" t="str">
        <f t="shared" si="1"/>
        <v>0 dari 31 (0%)</v>
      </c>
    </row>
    <row r="226" ht="22.5" customHeight="1">
      <c r="A226" s="2">
        <v>225.0</v>
      </c>
      <c r="B226" s="11"/>
      <c r="C226" s="140"/>
      <c r="D226" s="138"/>
      <c r="E226" s="138"/>
      <c r="F226" s="13"/>
      <c r="G226" s="114" t="b">
        <v>0</v>
      </c>
      <c r="H226" s="114" t="b">
        <v>0</v>
      </c>
      <c r="I226" s="114" t="b">
        <v>0</v>
      </c>
      <c r="J226" s="114" t="b">
        <v>0</v>
      </c>
      <c r="K226" s="114" t="b">
        <v>0</v>
      </c>
      <c r="L226" s="114" t="b">
        <v>0</v>
      </c>
      <c r="M226" s="114" t="b">
        <v>0</v>
      </c>
      <c r="N226" s="114" t="b">
        <v>0</v>
      </c>
      <c r="O226" s="114" t="b">
        <v>0</v>
      </c>
      <c r="P226" s="114" t="b">
        <v>0</v>
      </c>
      <c r="Q226" s="114" t="b">
        <v>0</v>
      </c>
      <c r="R226" s="114" t="b">
        <v>0</v>
      </c>
      <c r="S226" s="114" t="b">
        <v>0</v>
      </c>
      <c r="T226" s="114" t="b">
        <v>0</v>
      </c>
      <c r="U226" s="114" t="b">
        <v>0</v>
      </c>
      <c r="V226" s="114" t="b">
        <v>0</v>
      </c>
      <c r="W226" s="114" t="b">
        <v>0</v>
      </c>
      <c r="X226" s="114" t="b">
        <v>0</v>
      </c>
      <c r="Y226" s="114" t="b">
        <v>0</v>
      </c>
      <c r="Z226" s="114" t="b">
        <v>0</v>
      </c>
      <c r="AA226" s="114" t="b">
        <v>0</v>
      </c>
      <c r="AB226" s="114" t="b">
        <v>0</v>
      </c>
      <c r="AC226" s="114" t="b">
        <v>0</v>
      </c>
      <c r="AD226" s="114" t="b">
        <v>0</v>
      </c>
      <c r="AE226" s="114" t="b">
        <v>0</v>
      </c>
      <c r="AF226" s="114" t="b">
        <v>0</v>
      </c>
      <c r="AG226" s="114" t="b">
        <v>0</v>
      </c>
      <c r="AH226" s="114" t="b">
        <v>0</v>
      </c>
      <c r="AI226" s="114" t="b">
        <v>0</v>
      </c>
      <c r="AJ226" s="114" t="b">
        <v>0</v>
      </c>
      <c r="AK226" s="114" t="b">
        <v>0</v>
      </c>
      <c r="AL226" s="115" t="str">
        <f t="shared" si="1"/>
        <v>0 dari 31 (0%)</v>
      </c>
    </row>
    <row r="227" ht="22.5" customHeight="1">
      <c r="A227" s="10">
        <v>226.0</v>
      </c>
      <c r="B227" s="11"/>
      <c r="C227" s="140"/>
      <c r="D227" s="138"/>
      <c r="E227" s="138"/>
      <c r="F227" s="13"/>
      <c r="G227" s="114" t="b">
        <v>0</v>
      </c>
      <c r="H227" s="114" t="b">
        <v>0</v>
      </c>
      <c r="I227" s="114" t="b">
        <v>0</v>
      </c>
      <c r="J227" s="114" t="b">
        <v>0</v>
      </c>
      <c r="K227" s="114" t="b">
        <v>0</v>
      </c>
      <c r="L227" s="114" t="b">
        <v>0</v>
      </c>
      <c r="M227" s="114" t="b">
        <v>0</v>
      </c>
      <c r="N227" s="114" t="b">
        <v>0</v>
      </c>
      <c r="O227" s="114" t="b">
        <v>0</v>
      </c>
      <c r="P227" s="114" t="b">
        <v>0</v>
      </c>
      <c r="Q227" s="114" t="b">
        <v>0</v>
      </c>
      <c r="R227" s="114" t="b">
        <v>0</v>
      </c>
      <c r="S227" s="114" t="b">
        <v>0</v>
      </c>
      <c r="T227" s="114" t="b">
        <v>0</v>
      </c>
      <c r="U227" s="114" t="b">
        <v>0</v>
      </c>
      <c r="V227" s="114" t="b">
        <v>0</v>
      </c>
      <c r="W227" s="114" t="b">
        <v>0</v>
      </c>
      <c r="X227" s="114" t="b">
        <v>0</v>
      </c>
      <c r="Y227" s="114" t="b">
        <v>0</v>
      </c>
      <c r="Z227" s="114" t="b">
        <v>0</v>
      </c>
      <c r="AA227" s="114" t="b">
        <v>0</v>
      </c>
      <c r="AB227" s="114" t="b">
        <v>0</v>
      </c>
      <c r="AC227" s="114" t="b">
        <v>0</v>
      </c>
      <c r="AD227" s="114" t="b">
        <v>0</v>
      </c>
      <c r="AE227" s="114" t="b">
        <v>0</v>
      </c>
      <c r="AF227" s="114" t="b">
        <v>0</v>
      </c>
      <c r="AG227" s="114" t="b">
        <v>0</v>
      </c>
      <c r="AH227" s="114" t="b">
        <v>0</v>
      </c>
      <c r="AI227" s="114" t="b">
        <v>0</v>
      </c>
      <c r="AJ227" s="114" t="b">
        <v>0</v>
      </c>
      <c r="AK227" s="114" t="b">
        <v>0</v>
      </c>
      <c r="AL227" s="115" t="str">
        <f t="shared" si="1"/>
        <v>0 dari 31 (0%)</v>
      </c>
    </row>
    <row r="228" ht="22.5" customHeight="1">
      <c r="A228" s="2">
        <v>227.0</v>
      </c>
      <c r="B228" s="11"/>
      <c r="C228" s="140"/>
      <c r="D228" s="138"/>
      <c r="E228" s="138"/>
      <c r="F228" s="13"/>
      <c r="G228" s="114" t="b">
        <v>0</v>
      </c>
      <c r="H228" s="114" t="b">
        <v>0</v>
      </c>
      <c r="I228" s="114" t="b">
        <v>0</v>
      </c>
      <c r="J228" s="114" t="b">
        <v>0</v>
      </c>
      <c r="K228" s="114" t="b">
        <v>0</v>
      </c>
      <c r="L228" s="114" t="b">
        <v>0</v>
      </c>
      <c r="M228" s="114" t="b">
        <v>0</v>
      </c>
      <c r="N228" s="114" t="b">
        <v>0</v>
      </c>
      <c r="O228" s="114" t="b">
        <v>0</v>
      </c>
      <c r="P228" s="114" t="b">
        <v>0</v>
      </c>
      <c r="Q228" s="114" t="b">
        <v>0</v>
      </c>
      <c r="R228" s="114" t="b">
        <v>0</v>
      </c>
      <c r="S228" s="114" t="b">
        <v>0</v>
      </c>
      <c r="T228" s="114" t="b">
        <v>0</v>
      </c>
      <c r="U228" s="114" t="b">
        <v>0</v>
      </c>
      <c r="V228" s="114" t="b">
        <v>0</v>
      </c>
      <c r="W228" s="114" t="b">
        <v>0</v>
      </c>
      <c r="X228" s="114" t="b">
        <v>0</v>
      </c>
      <c r="Y228" s="114" t="b">
        <v>0</v>
      </c>
      <c r="Z228" s="114" t="b">
        <v>0</v>
      </c>
      <c r="AA228" s="114" t="b">
        <v>0</v>
      </c>
      <c r="AB228" s="114" t="b">
        <v>0</v>
      </c>
      <c r="AC228" s="114" t="b">
        <v>0</v>
      </c>
      <c r="AD228" s="114" t="b">
        <v>0</v>
      </c>
      <c r="AE228" s="114" t="b">
        <v>0</v>
      </c>
      <c r="AF228" s="114" t="b">
        <v>0</v>
      </c>
      <c r="AG228" s="114" t="b">
        <v>0</v>
      </c>
      <c r="AH228" s="114" t="b">
        <v>0</v>
      </c>
      <c r="AI228" s="114" t="b">
        <v>0</v>
      </c>
      <c r="AJ228" s="114" t="b">
        <v>0</v>
      </c>
      <c r="AK228" s="114" t="b">
        <v>0</v>
      </c>
      <c r="AL228" s="115" t="str">
        <f t="shared" si="1"/>
        <v>0 dari 31 (0%)</v>
      </c>
    </row>
    <row r="229" ht="22.5" customHeight="1">
      <c r="A229" s="10">
        <v>228.0</v>
      </c>
      <c r="B229" s="11"/>
      <c r="C229" s="140"/>
      <c r="D229" s="138"/>
      <c r="E229" s="138"/>
      <c r="F229" s="13"/>
      <c r="G229" s="114" t="b">
        <v>0</v>
      </c>
      <c r="H229" s="114" t="b">
        <v>0</v>
      </c>
      <c r="I229" s="114" t="b">
        <v>0</v>
      </c>
      <c r="J229" s="114" t="b">
        <v>0</v>
      </c>
      <c r="K229" s="114" t="b">
        <v>0</v>
      </c>
      <c r="L229" s="114" t="b">
        <v>0</v>
      </c>
      <c r="M229" s="114" t="b">
        <v>0</v>
      </c>
      <c r="N229" s="114" t="b">
        <v>0</v>
      </c>
      <c r="O229" s="114" t="b">
        <v>0</v>
      </c>
      <c r="P229" s="114" t="b">
        <v>0</v>
      </c>
      <c r="Q229" s="114" t="b">
        <v>0</v>
      </c>
      <c r="R229" s="114" t="b">
        <v>0</v>
      </c>
      <c r="S229" s="114" t="b">
        <v>0</v>
      </c>
      <c r="T229" s="114" t="b">
        <v>0</v>
      </c>
      <c r="U229" s="114" t="b">
        <v>0</v>
      </c>
      <c r="V229" s="114" t="b">
        <v>0</v>
      </c>
      <c r="W229" s="114" t="b">
        <v>0</v>
      </c>
      <c r="X229" s="114" t="b">
        <v>0</v>
      </c>
      <c r="Y229" s="114" t="b">
        <v>0</v>
      </c>
      <c r="Z229" s="114" t="b">
        <v>0</v>
      </c>
      <c r="AA229" s="114" t="b">
        <v>0</v>
      </c>
      <c r="AB229" s="114" t="b">
        <v>0</v>
      </c>
      <c r="AC229" s="114" t="b">
        <v>0</v>
      </c>
      <c r="AD229" s="114" t="b">
        <v>0</v>
      </c>
      <c r="AE229" s="114" t="b">
        <v>0</v>
      </c>
      <c r="AF229" s="114" t="b">
        <v>0</v>
      </c>
      <c r="AG229" s="114" t="b">
        <v>0</v>
      </c>
      <c r="AH229" s="114" t="b">
        <v>0</v>
      </c>
      <c r="AI229" s="114" t="b">
        <v>0</v>
      </c>
      <c r="AJ229" s="114" t="b">
        <v>0</v>
      </c>
      <c r="AK229" s="114" t="b">
        <v>0</v>
      </c>
      <c r="AL229" s="115" t="str">
        <f t="shared" si="1"/>
        <v>0 dari 31 (0%)</v>
      </c>
    </row>
    <row r="230" ht="22.5" customHeight="1">
      <c r="A230" s="10">
        <v>229.0</v>
      </c>
      <c r="B230" s="11"/>
      <c r="C230" s="140"/>
      <c r="D230" s="138"/>
      <c r="E230" s="138"/>
      <c r="F230" s="13"/>
      <c r="G230" s="114" t="b">
        <v>0</v>
      </c>
      <c r="H230" s="114" t="b">
        <v>0</v>
      </c>
      <c r="I230" s="114" t="b">
        <v>0</v>
      </c>
      <c r="J230" s="114" t="b">
        <v>0</v>
      </c>
      <c r="K230" s="114" t="b">
        <v>0</v>
      </c>
      <c r="L230" s="114" t="b">
        <v>0</v>
      </c>
      <c r="M230" s="114" t="b">
        <v>0</v>
      </c>
      <c r="N230" s="114" t="b">
        <v>0</v>
      </c>
      <c r="O230" s="114" t="b">
        <v>0</v>
      </c>
      <c r="P230" s="114" t="b">
        <v>0</v>
      </c>
      <c r="Q230" s="114" t="b">
        <v>0</v>
      </c>
      <c r="R230" s="114" t="b">
        <v>0</v>
      </c>
      <c r="S230" s="114" t="b">
        <v>0</v>
      </c>
      <c r="T230" s="114" t="b">
        <v>0</v>
      </c>
      <c r="U230" s="114" t="b">
        <v>0</v>
      </c>
      <c r="V230" s="114" t="b">
        <v>0</v>
      </c>
      <c r="W230" s="114" t="b">
        <v>0</v>
      </c>
      <c r="X230" s="114" t="b">
        <v>0</v>
      </c>
      <c r="Y230" s="114" t="b">
        <v>0</v>
      </c>
      <c r="Z230" s="114" t="b">
        <v>0</v>
      </c>
      <c r="AA230" s="114" t="b">
        <v>0</v>
      </c>
      <c r="AB230" s="114" t="b">
        <v>0</v>
      </c>
      <c r="AC230" s="114" t="b">
        <v>0</v>
      </c>
      <c r="AD230" s="114" t="b">
        <v>0</v>
      </c>
      <c r="AE230" s="114" t="b">
        <v>0</v>
      </c>
      <c r="AF230" s="114" t="b">
        <v>0</v>
      </c>
      <c r="AG230" s="114" t="b">
        <v>0</v>
      </c>
      <c r="AH230" s="114" t="b">
        <v>0</v>
      </c>
      <c r="AI230" s="114" t="b">
        <v>0</v>
      </c>
      <c r="AJ230" s="114" t="b">
        <v>0</v>
      </c>
      <c r="AK230" s="114" t="b">
        <v>0</v>
      </c>
      <c r="AL230" s="115" t="str">
        <f t="shared" si="1"/>
        <v>0 dari 31 (0%)</v>
      </c>
    </row>
    <row r="231" ht="22.5" customHeight="1">
      <c r="A231" s="2">
        <v>230.0</v>
      </c>
      <c r="B231" s="11"/>
      <c r="C231" s="140"/>
      <c r="D231" s="138"/>
      <c r="E231" s="138"/>
      <c r="F231" s="13"/>
      <c r="G231" s="114" t="b">
        <v>0</v>
      </c>
      <c r="H231" s="114" t="b">
        <v>0</v>
      </c>
      <c r="I231" s="114" t="b">
        <v>0</v>
      </c>
      <c r="J231" s="114" t="b">
        <v>0</v>
      </c>
      <c r="K231" s="114" t="b">
        <v>0</v>
      </c>
      <c r="L231" s="114" t="b">
        <v>0</v>
      </c>
      <c r="M231" s="114" t="b">
        <v>0</v>
      </c>
      <c r="N231" s="114" t="b">
        <v>0</v>
      </c>
      <c r="O231" s="114" t="b">
        <v>0</v>
      </c>
      <c r="P231" s="114" t="b">
        <v>0</v>
      </c>
      <c r="Q231" s="114" t="b">
        <v>0</v>
      </c>
      <c r="R231" s="114" t="b">
        <v>0</v>
      </c>
      <c r="S231" s="114" t="b">
        <v>0</v>
      </c>
      <c r="T231" s="114" t="b">
        <v>0</v>
      </c>
      <c r="U231" s="114" t="b">
        <v>0</v>
      </c>
      <c r="V231" s="114" t="b">
        <v>0</v>
      </c>
      <c r="W231" s="114" t="b">
        <v>0</v>
      </c>
      <c r="X231" s="114" t="b">
        <v>0</v>
      </c>
      <c r="Y231" s="114" t="b">
        <v>0</v>
      </c>
      <c r="Z231" s="114" t="b">
        <v>0</v>
      </c>
      <c r="AA231" s="114" t="b">
        <v>0</v>
      </c>
      <c r="AB231" s="114" t="b">
        <v>0</v>
      </c>
      <c r="AC231" s="114" t="b">
        <v>0</v>
      </c>
      <c r="AD231" s="114" t="b">
        <v>0</v>
      </c>
      <c r="AE231" s="114" t="b">
        <v>0</v>
      </c>
      <c r="AF231" s="114" t="b">
        <v>0</v>
      </c>
      <c r="AG231" s="114" t="b">
        <v>0</v>
      </c>
      <c r="AH231" s="114" t="b">
        <v>0</v>
      </c>
      <c r="AI231" s="114" t="b">
        <v>0</v>
      </c>
      <c r="AJ231" s="114" t="b">
        <v>0</v>
      </c>
      <c r="AK231" s="114" t="b">
        <v>0</v>
      </c>
      <c r="AL231" s="115" t="str">
        <f t="shared" si="1"/>
        <v>0 dari 31 (0%)</v>
      </c>
    </row>
    <row r="232" ht="22.5" customHeight="1">
      <c r="A232" s="10">
        <v>231.0</v>
      </c>
      <c r="B232" s="11"/>
      <c r="C232" s="140"/>
      <c r="D232" s="138"/>
      <c r="E232" s="138"/>
      <c r="F232" s="13"/>
      <c r="G232" s="114" t="b">
        <v>0</v>
      </c>
      <c r="H232" s="114" t="b">
        <v>0</v>
      </c>
      <c r="I232" s="114" t="b">
        <v>0</v>
      </c>
      <c r="J232" s="114" t="b">
        <v>0</v>
      </c>
      <c r="K232" s="114" t="b">
        <v>0</v>
      </c>
      <c r="L232" s="114" t="b">
        <v>0</v>
      </c>
      <c r="M232" s="114" t="b">
        <v>0</v>
      </c>
      <c r="N232" s="114" t="b">
        <v>0</v>
      </c>
      <c r="O232" s="114" t="b">
        <v>0</v>
      </c>
      <c r="P232" s="114" t="b">
        <v>0</v>
      </c>
      <c r="Q232" s="114" t="b">
        <v>0</v>
      </c>
      <c r="R232" s="114" t="b">
        <v>0</v>
      </c>
      <c r="S232" s="114" t="b">
        <v>0</v>
      </c>
      <c r="T232" s="114" t="b">
        <v>0</v>
      </c>
      <c r="U232" s="114" t="b">
        <v>0</v>
      </c>
      <c r="V232" s="114" t="b">
        <v>0</v>
      </c>
      <c r="W232" s="114" t="b">
        <v>0</v>
      </c>
      <c r="X232" s="114" t="b">
        <v>0</v>
      </c>
      <c r="Y232" s="114" t="b">
        <v>0</v>
      </c>
      <c r="Z232" s="114" t="b">
        <v>0</v>
      </c>
      <c r="AA232" s="114" t="b">
        <v>0</v>
      </c>
      <c r="AB232" s="114" t="b">
        <v>0</v>
      </c>
      <c r="AC232" s="114" t="b">
        <v>0</v>
      </c>
      <c r="AD232" s="114" t="b">
        <v>0</v>
      </c>
      <c r="AE232" s="114" t="b">
        <v>0</v>
      </c>
      <c r="AF232" s="114" t="b">
        <v>0</v>
      </c>
      <c r="AG232" s="114" t="b">
        <v>0</v>
      </c>
      <c r="AH232" s="114" t="b">
        <v>0</v>
      </c>
      <c r="AI232" s="114" t="b">
        <v>0</v>
      </c>
      <c r="AJ232" s="114" t="b">
        <v>0</v>
      </c>
      <c r="AK232" s="114" t="b">
        <v>0</v>
      </c>
      <c r="AL232" s="115" t="str">
        <f t="shared" si="1"/>
        <v>0 dari 31 (0%)</v>
      </c>
    </row>
    <row r="233" ht="22.5" customHeight="1">
      <c r="A233" s="2">
        <v>232.0</v>
      </c>
      <c r="B233" s="11"/>
      <c r="C233" s="140"/>
      <c r="D233" s="138"/>
      <c r="E233" s="138"/>
      <c r="F233" s="13"/>
      <c r="G233" s="114" t="b">
        <v>0</v>
      </c>
      <c r="H233" s="114" t="b">
        <v>0</v>
      </c>
      <c r="I233" s="114" t="b">
        <v>0</v>
      </c>
      <c r="J233" s="114" t="b">
        <v>0</v>
      </c>
      <c r="K233" s="114" t="b">
        <v>0</v>
      </c>
      <c r="L233" s="114" t="b">
        <v>0</v>
      </c>
      <c r="M233" s="114" t="b">
        <v>0</v>
      </c>
      <c r="N233" s="114" t="b">
        <v>0</v>
      </c>
      <c r="O233" s="114" t="b">
        <v>0</v>
      </c>
      <c r="P233" s="114" t="b">
        <v>0</v>
      </c>
      <c r="Q233" s="114" t="b">
        <v>0</v>
      </c>
      <c r="R233" s="114" t="b">
        <v>0</v>
      </c>
      <c r="S233" s="114" t="b">
        <v>0</v>
      </c>
      <c r="T233" s="114" t="b">
        <v>0</v>
      </c>
      <c r="U233" s="114" t="b">
        <v>0</v>
      </c>
      <c r="V233" s="114" t="b">
        <v>0</v>
      </c>
      <c r="W233" s="114" t="b">
        <v>0</v>
      </c>
      <c r="X233" s="114" t="b">
        <v>0</v>
      </c>
      <c r="Y233" s="114" t="b">
        <v>0</v>
      </c>
      <c r="Z233" s="114" t="b">
        <v>0</v>
      </c>
      <c r="AA233" s="114" t="b">
        <v>0</v>
      </c>
      <c r="AB233" s="114" t="b">
        <v>0</v>
      </c>
      <c r="AC233" s="114" t="b">
        <v>0</v>
      </c>
      <c r="AD233" s="114" t="b">
        <v>0</v>
      </c>
      <c r="AE233" s="114" t="b">
        <v>0</v>
      </c>
      <c r="AF233" s="114" t="b">
        <v>0</v>
      </c>
      <c r="AG233" s="114" t="b">
        <v>0</v>
      </c>
      <c r="AH233" s="114" t="b">
        <v>0</v>
      </c>
      <c r="AI233" s="114" t="b">
        <v>0</v>
      </c>
      <c r="AJ233" s="114" t="b">
        <v>0</v>
      </c>
      <c r="AK233" s="114" t="b">
        <v>0</v>
      </c>
      <c r="AL233" s="115" t="str">
        <f t="shared" si="1"/>
        <v>0 dari 31 (0%)</v>
      </c>
    </row>
    <row r="234" ht="22.5" customHeight="1">
      <c r="A234" s="10">
        <v>233.0</v>
      </c>
      <c r="B234" s="11"/>
      <c r="C234" s="140"/>
      <c r="D234" s="138"/>
      <c r="E234" s="138"/>
      <c r="F234" s="13"/>
      <c r="G234" s="114" t="b">
        <v>0</v>
      </c>
      <c r="H234" s="114" t="b">
        <v>0</v>
      </c>
      <c r="I234" s="114" t="b">
        <v>0</v>
      </c>
      <c r="J234" s="114" t="b">
        <v>0</v>
      </c>
      <c r="K234" s="114" t="b">
        <v>0</v>
      </c>
      <c r="L234" s="114" t="b">
        <v>0</v>
      </c>
      <c r="M234" s="114" t="b">
        <v>0</v>
      </c>
      <c r="N234" s="114" t="b">
        <v>0</v>
      </c>
      <c r="O234" s="114" t="b">
        <v>0</v>
      </c>
      <c r="P234" s="114" t="b">
        <v>0</v>
      </c>
      <c r="Q234" s="114" t="b">
        <v>0</v>
      </c>
      <c r="R234" s="114" t="b">
        <v>0</v>
      </c>
      <c r="S234" s="114" t="b">
        <v>0</v>
      </c>
      <c r="T234" s="114" t="b">
        <v>0</v>
      </c>
      <c r="U234" s="114" t="b">
        <v>0</v>
      </c>
      <c r="V234" s="114" t="b">
        <v>0</v>
      </c>
      <c r="W234" s="114" t="b">
        <v>0</v>
      </c>
      <c r="X234" s="114" t="b">
        <v>0</v>
      </c>
      <c r="Y234" s="114" t="b">
        <v>0</v>
      </c>
      <c r="Z234" s="114" t="b">
        <v>0</v>
      </c>
      <c r="AA234" s="114" t="b">
        <v>0</v>
      </c>
      <c r="AB234" s="114" t="b">
        <v>0</v>
      </c>
      <c r="AC234" s="114" t="b">
        <v>0</v>
      </c>
      <c r="AD234" s="114" t="b">
        <v>0</v>
      </c>
      <c r="AE234" s="114" t="b">
        <v>0</v>
      </c>
      <c r="AF234" s="114" t="b">
        <v>0</v>
      </c>
      <c r="AG234" s="114" t="b">
        <v>0</v>
      </c>
      <c r="AH234" s="114" t="b">
        <v>0</v>
      </c>
      <c r="AI234" s="114" t="b">
        <v>0</v>
      </c>
      <c r="AJ234" s="114" t="b">
        <v>0</v>
      </c>
      <c r="AK234" s="114" t="b">
        <v>0</v>
      </c>
      <c r="AL234" s="115" t="str">
        <f t="shared" si="1"/>
        <v>0 dari 31 (0%)</v>
      </c>
    </row>
    <row r="235" ht="22.5" customHeight="1">
      <c r="A235" s="10">
        <v>234.0</v>
      </c>
      <c r="B235" s="11"/>
      <c r="C235" s="140"/>
      <c r="D235" s="138"/>
      <c r="E235" s="138"/>
      <c r="F235" s="13"/>
      <c r="G235" s="114" t="b">
        <v>0</v>
      </c>
      <c r="H235" s="114" t="b">
        <v>0</v>
      </c>
      <c r="I235" s="114" t="b">
        <v>0</v>
      </c>
      <c r="J235" s="114" t="b">
        <v>0</v>
      </c>
      <c r="K235" s="114" t="b">
        <v>0</v>
      </c>
      <c r="L235" s="114" t="b">
        <v>0</v>
      </c>
      <c r="M235" s="114" t="b">
        <v>0</v>
      </c>
      <c r="N235" s="114" t="b">
        <v>0</v>
      </c>
      <c r="O235" s="114" t="b">
        <v>0</v>
      </c>
      <c r="P235" s="114" t="b">
        <v>0</v>
      </c>
      <c r="Q235" s="114" t="b">
        <v>0</v>
      </c>
      <c r="R235" s="114" t="b">
        <v>0</v>
      </c>
      <c r="S235" s="114" t="b">
        <v>0</v>
      </c>
      <c r="T235" s="114" t="b">
        <v>0</v>
      </c>
      <c r="U235" s="114" t="b">
        <v>0</v>
      </c>
      <c r="V235" s="114" t="b">
        <v>0</v>
      </c>
      <c r="W235" s="114" t="b">
        <v>0</v>
      </c>
      <c r="X235" s="114" t="b">
        <v>0</v>
      </c>
      <c r="Y235" s="114" t="b">
        <v>0</v>
      </c>
      <c r="Z235" s="114" t="b">
        <v>0</v>
      </c>
      <c r="AA235" s="114" t="b">
        <v>0</v>
      </c>
      <c r="AB235" s="114" t="b">
        <v>0</v>
      </c>
      <c r="AC235" s="114" t="b">
        <v>0</v>
      </c>
      <c r="AD235" s="114" t="b">
        <v>0</v>
      </c>
      <c r="AE235" s="114" t="b">
        <v>0</v>
      </c>
      <c r="AF235" s="114" t="b">
        <v>0</v>
      </c>
      <c r="AG235" s="114" t="b">
        <v>0</v>
      </c>
      <c r="AH235" s="114" t="b">
        <v>0</v>
      </c>
      <c r="AI235" s="114" t="b">
        <v>0</v>
      </c>
      <c r="AJ235" s="114" t="b">
        <v>0</v>
      </c>
      <c r="AK235" s="114" t="b">
        <v>0</v>
      </c>
      <c r="AL235" s="115" t="str">
        <f t="shared" si="1"/>
        <v>0 dari 31 (0%)</v>
      </c>
    </row>
    <row r="236" ht="22.5" customHeight="1">
      <c r="A236" s="2">
        <v>235.0</v>
      </c>
      <c r="B236" s="11"/>
      <c r="C236" s="140"/>
      <c r="D236" s="138"/>
      <c r="E236" s="138"/>
      <c r="F236" s="13"/>
      <c r="G236" s="114" t="b">
        <v>0</v>
      </c>
      <c r="H236" s="114" t="b">
        <v>0</v>
      </c>
      <c r="I236" s="114" t="b">
        <v>0</v>
      </c>
      <c r="J236" s="114" t="b">
        <v>0</v>
      </c>
      <c r="K236" s="114" t="b">
        <v>0</v>
      </c>
      <c r="L236" s="114" t="b">
        <v>0</v>
      </c>
      <c r="M236" s="114" t="b">
        <v>0</v>
      </c>
      <c r="N236" s="114" t="b">
        <v>0</v>
      </c>
      <c r="O236" s="114" t="b">
        <v>0</v>
      </c>
      <c r="P236" s="114" t="b">
        <v>0</v>
      </c>
      <c r="Q236" s="114" t="b">
        <v>0</v>
      </c>
      <c r="R236" s="114" t="b">
        <v>0</v>
      </c>
      <c r="S236" s="114" t="b">
        <v>0</v>
      </c>
      <c r="T236" s="114" t="b">
        <v>0</v>
      </c>
      <c r="U236" s="114" t="b">
        <v>0</v>
      </c>
      <c r="V236" s="114" t="b">
        <v>0</v>
      </c>
      <c r="W236" s="114" t="b">
        <v>0</v>
      </c>
      <c r="X236" s="114" t="b">
        <v>0</v>
      </c>
      <c r="Y236" s="114" t="b">
        <v>0</v>
      </c>
      <c r="Z236" s="114" t="b">
        <v>0</v>
      </c>
      <c r="AA236" s="114" t="b">
        <v>0</v>
      </c>
      <c r="AB236" s="114" t="b">
        <v>0</v>
      </c>
      <c r="AC236" s="114" t="b">
        <v>0</v>
      </c>
      <c r="AD236" s="114" t="b">
        <v>0</v>
      </c>
      <c r="AE236" s="114" t="b">
        <v>0</v>
      </c>
      <c r="AF236" s="114" t="b">
        <v>0</v>
      </c>
      <c r="AG236" s="114" t="b">
        <v>0</v>
      </c>
      <c r="AH236" s="114" t="b">
        <v>0</v>
      </c>
      <c r="AI236" s="114" t="b">
        <v>0</v>
      </c>
      <c r="AJ236" s="114" t="b">
        <v>0</v>
      </c>
      <c r="AK236" s="114" t="b">
        <v>0</v>
      </c>
      <c r="AL236" s="115" t="str">
        <f t="shared" si="1"/>
        <v>0 dari 31 (0%)</v>
      </c>
    </row>
    <row r="237" ht="22.5" customHeight="1">
      <c r="A237" s="10">
        <v>236.0</v>
      </c>
      <c r="B237" s="11"/>
      <c r="C237" s="140"/>
      <c r="D237" s="138"/>
      <c r="E237" s="138"/>
      <c r="F237" s="13"/>
      <c r="G237" s="114" t="b">
        <v>0</v>
      </c>
      <c r="H237" s="114" t="b">
        <v>0</v>
      </c>
      <c r="I237" s="114" t="b">
        <v>0</v>
      </c>
      <c r="J237" s="114" t="b">
        <v>0</v>
      </c>
      <c r="K237" s="114" t="b">
        <v>0</v>
      </c>
      <c r="L237" s="114" t="b">
        <v>0</v>
      </c>
      <c r="M237" s="114" t="b">
        <v>0</v>
      </c>
      <c r="N237" s="114" t="b">
        <v>0</v>
      </c>
      <c r="O237" s="114" t="b">
        <v>0</v>
      </c>
      <c r="P237" s="114" t="b">
        <v>0</v>
      </c>
      <c r="Q237" s="114" t="b">
        <v>0</v>
      </c>
      <c r="R237" s="114" t="b">
        <v>0</v>
      </c>
      <c r="S237" s="114" t="b">
        <v>0</v>
      </c>
      <c r="T237" s="114" t="b">
        <v>0</v>
      </c>
      <c r="U237" s="114" t="b">
        <v>0</v>
      </c>
      <c r="V237" s="114" t="b">
        <v>0</v>
      </c>
      <c r="W237" s="114" t="b">
        <v>0</v>
      </c>
      <c r="X237" s="114" t="b">
        <v>0</v>
      </c>
      <c r="Y237" s="114" t="b">
        <v>0</v>
      </c>
      <c r="Z237" s="114" t="b">
        <v>0</v>
      </c>
      <c r="AA237" s="114" t="b">
        <v>0</v>
      </c>
      <c r="AB237" s="114" t="b">
        <v>0</v>
      </c>
      <c r="AC237" s="114" t="b">
        <v>0</v>
      </c>
      <c r="AD237" s="114" t="b">
        <v>0</v>
      </c>
      <c r="AE237" s="114" t="b">
        <v>0</v>
      </c>
      <c r="AF237" s="114" t="b">
        <v>0</v>
      </c>
      <c r="AG237" s="114" t="b">
        <v>0</v>
      </c>
      <c r="AH237" s="114" t="b">
        <v>0</v>
      </c>
      <c r="AI237" s="114" t="b">
        <v>0</v>
      </c>
      <c r="AJ237" s="114" t="b">
        <v>0</v>
      </c>
      <c r="AK237" s="114" t="b">
        <v>0</v>
      </c>
      <c r="AL237" s="115" t="str">
        <f t="shared" si="1"/>
        <v>0 dari 31 (0%)</v>
      </c>
    </row>
    <row r="238" ht="22.5" customHeight="1">
      <c r="A238" s="2">
        <v>237.0</v>
      </c>
      <c r="B238" s="11"/>
      <c r="C238" s="140"/>
      <c r="D238" s="138"/>
      <c r="E238" s="138"/>
      <c r="F238" s="13"/>
      <c r="G238" s="114" t="b">
        <v>0</v>
      </c>
      <c r="H238" s="114" t="b">
        <v>0</v>
      </c>
      <c r="I238" s="114" t="b">
        <v>0</v>
      </c>
      <c r="J238" s="114" t="b">
        <v>0</v>
      </c>
      <c r="K238" s="114" t="b">
        <v>0</v>
      </c>
      <c r="L238" s="114" t="b">
        <v>0</v>
      </c>
      <c r="M238" s="114" t="b">
        <v>0</v>
      </c>
      <c r="N238" s="114" t="b">
        <v>0</v>
      </c>
      <c r="O238" s="114" t="b">
        <v>0</v>
      </c>
      <c r="P238" s="114" t="b">
        <v>0</v>
      </c>
      <c r="Q238" s="114" t="b">
        <v>0</v>
      </c>
      <c r="R238" s="114" t="b">
        <v>0</v>
      </c>
      <c r="S238" s="114" t="b">
        <v>0</v>
      </c>
      <c r="T238" s="114" t="b">
        <v>0</v>
      </c>
      <c r="U238" s="114" t="b">
        <v>0</v>
      </c>
      <c r="V238" s="114" t="b">
        <v>0</v>
      </c>
      <c r="W238" s="114" t="b">
        <v>0</v>
      </c>
      <c r="X238" s="114" t="b">
        <v>0</v>
      </c>
      <c r="Y238" s="114" t="b">
        <v>0</v>
      </c>
      <c r="Z238" s="114" t="b">
        <v>0</v>
      </c>
      <c r="AA238" s="114" t="b">
        <v>0</v>
      </c>
      <c r="AB238" s="114" t="b">
        <v>0</v>
      </c>
      <c r="AC238" s="114" t="b">
        <v>0</v>
      </c>
      <c r="AD238" s="114" t="b">
        <v>0</v>
      </c>
      <c r="AE238" s="114" t="b">
        <v>0</v>
      </c>
      <c r="AF238" s="114" t="b">
        <v>0</v>
      </c>
      <c r="AG238" s="114" t="b">
        <v>0</v>
      </c>
      <c r="AH238" s="114" t="b">
        <v>0</v>
      </c>
      <c r="AI238" s="114" t="b">
        <v>0</v>
      </c>
      <c r="AJ238" s="114" t="b">
        <v>0</v>
      </c>
      <c r="AK238" s="114" t="b">
        <v>0</v>
      </c>
      <c r="AL238" s="115" t="str">
        <f t="shared" si="1"/>
        <v>0 dari 31 (0%)</v>
      </c>
    </row>
    <row r="239" ht="22.5" customHeight="1">
      <c r="A239" s="10">
        <v>238.0</v>
      </c>
      <c r="B239" s="11"/>
      <c r="C239" s="140"/>
      <c r="D239" s="138"/>
      <c r="E239" s="138"/>
      <c r="F239" s="13"/>
      <c r="G239" s="114" t="b">
        <v>0</v>
      </c>
      <c r="H239" s="114" t="b">
        <v>0</v>
      </c>
      <c r="I239" s="114" t="b">
        <v>0</v>
      </c>
      <c r="J239" s="114" t="b">
        <v>0</v>
      </c>
      <c r="K239" s="114" t="b">
        <v>0</v>
      </c>
      <c r="L239" s="114" t="b">
        <v>0</v>
      </c>
      <c r="M239" s="114" t="b">
        <v>0</v>
      </c>
      <c r="N239" s="114" t="b">
        <v>0</v>
      </c>
      <c r="O239" s="114" t="b">
        <v>0</v>
      </c>
      <c r="P239" s="114" t="b">
        <v>0</v>
      </c>
      <c r="Q239" s="114" t="b">
        <v>0</v>
      </c>
      <c r="R239" s="114" t="b">
        <v>0</v>
      </c>
      <c r="S239" s="114" t="b">
        <v>0</v>
      </c>
      <c r="T239" s="114" t="b">
        <v>0</v>
      </c>
      <c r="U239" s="114" t="b">
        <v>0</v>
      </c>
      <c r="V239" s="114" t="b">
        <v>0</v>
      </c>
      <c r="W239" s="114" t="b">
        <v>0</v>
      </c>
      <c r="X239" s="114" t="b">
        <v>0</v>
      </c>
      <c r="Y239" s="114" t="b">
        <v>0</v>
      </c>
      <c r="Z239" s="114" t="b">
        <v>0</v>
      </c>
      <c r="AA239" s="114" t="b">
        <v>0</v>
      </c>
      <c r="AB239" s="114" t="b">
        <v>0</v>
      </c>
      <c r="AC239" s="114" t="b">
        <v>0</v>
      </c>
      <c r="AD239" s="114" t="b">
        <v>0</v>
      </c>
      <c r="AE239" s="114" t="b">
        <v>0</v>
      </c>
      <c r="AF239" s="114" t="b">
        <v>0</v>
      </c>
      <c r="AG239" s="114" t="b">
        <v>0</v>
      </c>
      <c r="AH239" s="114" t="b">
        <v>0</v>
      </c>
      <c r="AI239" s="114" t="b">
        <v>0</v>
      </c>
      <c r="AJ239" s="114" t="b">
        <v>0</v>
      </c>
      <c r="AK239" s="114" t="b">
        <v>0</v>
      </c>
      <c r="AL239" s="115" t="str">
        <f t="shared" si="1"/>
        <v>0 dari 31 (0%)</v>
      </c>
    </row>
    <row r="240" ht="22.5" customHeight="1">
      <c r="A240" s="10">
        <v>239.0</v>
      </c>
      <c r="B240" s="11"/>
      <c r="C240" s="140"/>
      <c r="D240" s="138"/>
      <c r="E240" s="138"/>
      <c r="F240" s="13"/>
      <c r="G240" s="114" t="b">
        <v>0</v>
      </c>
      <c r="H240" s="114" t="b">
        <v>0</v>
      </c>
      <c r="I240" s="114" t="b">
        <v>0</v>
      </c>
      <c r="J240" s="114" t="b">
        <v>0</v>
      </c>
      <c r="K240" s="114" t="b">
        <v>0</v>
      </c>
      <c r="L240" s="114" t="b">
        <v>0</v>
      </c>
      <c r="M240" s="114" t="b">
        <v>0</v>
      </c>
      <c r="N240" s="114" t="b">
        <v>0</v>
      </c>
      <c r="O240" s="114" t="b">
        <v>0</v>
      </c>
      <c r="P240" s="114" t="b">
        <v>0</v>
      </c>
      <c r="Q240" s="114" t="b">
        <v>0</v>
      </c>
      <c r="R240" s="114" t="b">
        <v>0</v>
      </c>
      <c r="S240" s="114" t="b">
        <v>0</v>
      </c>
      <c r="T240" s="114" t="b">
        <v>0</v>
      </c>
      <c r="U240" s="114" t="b">
        <v>0</v>
      </c>
      <c r="V240" s="114" t="b">
        <v>0</v>
      </c>
      <c r="W240" s="114" t="b">
        <v>0</v>
      </c>
      <c r="X240" s="114" t="b">
        <v>0</v>
      </c>
      <c r="Y240" s="114" t="b">
        <v>0</v>
      </c>
      <c r="Z240" s="114" t="b">
        <v>0</v>
      </c>
      <c r="AA240" s="114" t="b">
        <v>0</v>
      </c>
      <c r="AB240" s="114" t="b">
        <v>0</v>
      </c>
      <c r="AC240" s="114" t="b">
        <v>0</v>
      </c>
      <c r="AD240" s="114" t="b">
        <v>0</v>
      </c>
      <c r="AE240" s="114" t="b">
        <v>0</v>
      </c>
      <c r="AF240" s="114" t="b">
        <v>0</v>
      </c>
      <c r="AG240" s="114" t="b">
        <v>0</v>
      </c>
      <c r="AH240" s="114" t="b">
        <v>0</v>
      </c>
      <c r="AI240" s="114" t="b">
        <v>0</v>
      </c>
      <c r="AJ240" s="114" t="b">
        <v>0</v>
      </c>
      <c r="AK240" s="114" t="b">
        <v>0</v>
      </c>
      <c r="AL240" s="115" t="str">
        <f t="shared" si="1"/>
        <v>0 dari 31 (0%)</v>
      </c>
    </row>
    <row r="241" ht="22.5" customHeight="1">
      <c r="A241" s="2">
        <v>240.0</v>
      </c>
      <c r="B241" s="11"/>
      <c r="C241" s="140"/>
      <c r="D241" s="138"/>
      <c r="E241" s="138"/>
      <c r="F241" s="13"/>
      <c r="G241" s="114" t="b">
        <v>0</v>
      </c>
      <c r="H241" s="114" t="b">
        <v>0</v>
      </c>
      <c r="I241" s="114" t="b">
        <v>0</v>
      </c>
      <c r="J241" s="114" t="b">
        <v>0</v>
      </c>
      <c r="K241" s="114" t="b">
        <v>0</v>
      </c>
      <c r="L241" s="114" t="b">
        <v>0</v>
      </c>
      <c r="M241" s="114" t="b">
        <v>0</v>
      </c>
      <c r="N241" s="114" t="b">
        <v>0</v>
      </c>
      <c r="O241" s="114" t="b">
        <v>0</v>
      </c>
      <c r="P241" s="114" t="b">
        <v>0</v>
      </c>
      <c r="Q241" s="114" t="b">
        <v>0</v>
      </c>
      <c r="R241" s="114" t="b">
        <v>0</v>
      </c>
      <c r="S241" s="114" t="b">
        <v>0</v>
      </c>
      <c r="T241" s="114" t="b">
        <v>0</v>
      </c>
      <c r="U241" s="114" t="b">
        <v>0</v>
      </c>
      <c r="V241" s="114" t="b">
        <v>0</v>
      </c>
      <c r="W241" s="114" t="b">
        <v>0</v>
      </c>
      <c r="X241" s="114" t="b">
        <v>0</v>
      </c>
      <c r="Y241" s="114" t="b">
        <v>0</v>
      </c>
      <c r="Z241" s="114" t="b">
        <v>0</v>
      </c>
      <c r="AA241" s="114" t="b">
        <v>0</v>
      </c>
      <c r="AB241" s="114" t="b">
        <v>0</v>
      </c>
      <c r="AC241" s="114" t="b">
        <v>0</v>
      </c>
      <c r="AD241" s="114" t="b">
        <v>0</v>
      </c>
      <c r="AE241" s="114" t="b">
        <v>0</v>
      </c>
      <c r="AF241" s="114" t="b">
        <v>0</v>
      </c>
      <c r="AG241" s="114" t="b">
        <v>0</v>
      </c>
      <c r="AH241" s="114" t="b">
        <v>0</v>
      </c>
      <c r="AI241" s="114" t="b">
        <v>0</v>
      </c>
      <c r="AJ241" s="114" t="b">
        <v>0</v>
      </c>
      <c r="AK241" s="114" t="b">
        <v>0</v>
      </c>
      <c r="AL241" s="115" t="str">
        <f t="shared" si="1"/>
        <v>0 dari 31 (0%)</v>
      </c>
    </row>
    <row r="242" ht="22.5" customHeight="1">
      <c r="A242" s="10">
        <v>241.0</v>
      </c>
      <c r="B242" s="11"/>
      <c r="C242" s="140"/>
      <c r="D242" s="138"/>
      <c r="E242" s="138"/>
      <c r="F242" s="13"/>
      <c r="G242" s="114" t="b">
        <v>0</v>
      </c>
      <c r="H242" s="114" t="b">
        <v>0</v>
      </c>
      <c r="I242" s="114" t="b">
        <v>0</v>
      </c>
      <c r="J242" s="114" t="b">
        <v>0</v>
      </c>
      <c r="K242" s="114" t="b">
        <v>0</v>
      </c>
      <c r="L242" s="114" t="b">
        <v>0</v>
      </c>
      <c r="M242" s="114" t="b">
        <v>0</v>
      </c>
      <c r="N242" s="114" t="b">
        <v>0</v>
      </c>
      <c r="O242" s="114" t="b">
        <v>0</v>
      </c>
      <c r="P242" s="114" t="b">
        <v>0</v>
      </c>
      <c r="Q242" s="114" t="b">
        <v>0</v>
      </c>
      <c r="R242" s="114" t="b">
        <v>0</v>
      </c>
      <c r="S242" s="114" t="b">
        <v>0</v>
      </c>
      <c r="T242" s="114" t="b">
        <v>0</v>
      </c>
      <c r="U242" s="114" t="b">
        <v>0</v>
      </c>
      <c r="V242" s="114" t="b">
        <v>0</v>
      </c>
      <c r="W242" s="114" t="b">
        <v>0</v>
      </c>
      <c r="X242" s="114" t="b">
        <v>0</v>
      </c>
      <c r="Y242" s="114" t="b">
        <v>0</v>
      </c>
      <c r="Z242" s="114" t="b">
        <v>0</v>
      </c>
      <c r="AA242" s="114" t="b">
        <v>0</v>
      </c>
      <c r="AB242" s="114" t="b">
        <v>0</v>
      </c>
      <c r="AC242" s="114" t="b">
        <v>0</v>
      </c>
      <c r="AD242" s="114" t="b">
        <v>0</v>
      </c>
      <c r="AE242" s="114" t="b">
        <v>0</v>
      </c>
      <c r="AF242" s="114" t="b">
        <v>0</v>
      </c>
      <c r="AG242" s="114" t="b">
        <v>0</v>
      </c>
      <c r="AH242" s="114" t="b">
        <v>0</v>
      </c>
      <c r="AI242" s="114" t="b">
        <v>0</v>
      </c>
      <c r="AJ242" s="114" t="b">
        <v>0</v>
      </c>
      <c r="AK242" s="114" t="b">
        <v>0</v>
      </c>
      <c r="AL242" s="115" t="str">
        <f t="shared" si="1"/>
        <v>0 dari 31 (0%)</v>
      </c>
    </row>
    <row r="243" ht="22.5" customHeight="1">
      <c r="A243" s="2">
        <v>242.0</v>
      </c>
      <c r="B243" s="11"/>
      <c r="C243" s="140"/>
      <c r="D243" s="138"/>
      <c r="E243" s="138"/>
      <c r="F243" s="13"/>
      <c r="G243" s="114" t="b">
        <v>0</v>
      </c>
      <c r="H243" s="114" t="b">
        <v>0</v>
      </c>
      <c r="I243" s="114" t="b">
        <v>0</v>
      </c>
      <c r="J243" s="114" t="b">
        <v>0</v>
      </c>
      <c r="K243" s="114" t="b">
        <v>0</v>
      </c>
      <c r="L243" s="114" t="b">
        <v>0</v>
      </c>
      <c r="M243" s="114" t="b">
        <v>0</v>
      </c>
      <c r="N243" s="114" t="b">
        <v>0</v>
      </c>
      <c r="O243" s="114" t="b">
        <v>0</v>
      </c>
      <c r="P243" s="114" t="b">
        <v>0</v>
      </c>
      <c r="Q243" s="114" t="b">
        <v>0</v>
      </c>
      <c r="R243" s="114" t="b">
        <v>0</v>
      </c>
      <c r="S243" s="114" t="b">
        <v>0</v>
      </c>
      <c r="T243" s="114" t="b">
        <v>0</v>
      </c>
      <c r="U243" s="114" t="b">
        <v>0</v>
      </c>
      <c r="V243" s="114" t="b">
        <v>0</v>
      </c>
      <c r="W243" s="114" t="b">
        <v>0</v>
      </c>
      <c r="X243" s="114" t="b">
        <v>0</v>
      </c>
      <c r="Y243" s="114" t="b">
        <v>0</v>
      </c>
      <c r="Z243" s="114" t="b">
        <v>0</v>
      </c>
      <c r="AA243" s="114" t="b">
        <v>0</v>
      </c>
      <c r="AB243" s="114" t="b">
        <v>0</v>
      </c>
      <c r="AC243" s="114" t="b">
        <v>0</v>
      </c>
      <c r="AD243" s="114" t="b">
        <v>0</v>
      </c>
      <c r="AE243" s="114" t="b">
        <v>0</v>
      </c>
      <c r="AF243" s="114" t="b">
        <v>0</v>
      </c>
      <c r="AG243" s="114" t="b">
        <v>0</v>
      </c>
      <c r="AH243" s="114" t="b">
        <v>0</v>
      </c>
      <c r="AI243" s="114" t="b">
        <v>0</v>
      </c>
      <c r="AJ243" s="114" t="b">
        <v>0</v>
      </c>
      <c r="AK243" s="114" t="b">
        <v>0</v>
      </c>
      <c r="AL243" s="115" t="str">
        <f t="shared" si="1"/>
        <v>0 dari 31 (0%)</v>
      </c>
    </row>
    <row r="244" ht="22.5" customHeight="1">
      <c r="A244" s="10">
        <v>243.0</v>
      </c>
      <c r="B244" s="11"/>
      <c r="C244" s="140"/>
      <c r="D244" s="138"/>
      <c r="E244" s="138"/>
      <c r="F244" s="13"/>
      <c r="G244" s="114" t="b">
        <v>0</v>
      </c>
      <c r="H244" s="114" t="b">
        <v>0</v>
      </c>
      <c r="I244" s="114" t="b">
        <v>0</v>
      </c>
      <c r="J244" s="114" t="b">
        <v>0</v>
      </c>
      <c r="K244" s="114" t="b">
        <v>0</v>
      </c>
      <c r="L244" s="114" t="b">
        <v>0</v>
      </c>
      <c r="M244" s="114" t="b">
        <v>0</v>
      </c>
      <c r="N244" s="114" t="b">
        <v>0</v>
      </c>
      <c r="O244" s="114" t="b">
        <v>0</v>
      </c>
      <c r="P244" s="114" t="b">
        <v>0</v>
      </c>
      <c r="Q244" s="114" t="b">
        <v>0</v>
      </c>
      <c r="R244" s="114" t="b">
        <v>0</v>
      </c>
      <c r="S244" s="114" t="b">
        <v>0</v>
      </c>
      <c r="T244" s="114" t="b">
        <v>0</v>
      </c>
      <c r="U244" s="114" t="b">
        <v>0</v>
      </c>
      <c r="V244" s="114" t="b">
        <v>0</v>
      </c>
      <c r="W244" s="114" t="b">
        <v>0</v>
      </c>
      <c r="X244" s="114" t="b">
        <v>0</v>
      </c>
      <c r="Y244" s="114" t="b">
        <v>0</v>
      </c>
      <c r="Z244" s="114" t="b">
        <v>0</v>
      </c>
      <c r="AA244" s="114" t="b">
        <v>0</v>
      </c>
      <c r="AB244" s="114" t="b">
        <v>0</v>
      </c>
      <c r="AC244" s="114" t="b">
        <v>0</v>
      </c>
      <c r="AD244" s="114" t="b">
        <v>0</v>
      </c>
      <c r="AE244" s="114" t="b">
        <v>0</v>
      </c>
      <c r="AF244" s="114" t="b">
        <v>0</v>
      </c>
      <c r="AG244" s="114" t="b">
        <v>0</v>
      </c>
      <c r="AH244" s="114" t="b">
        <v>0</v>
      </c>
      <c r="AI244" s="114" t="b">
        <v>0</v>
      </c>
      <c r="AJ244" s="114" t="b">
        <v>0</v>
      </c>
      <c r="AK244" s="114" t="b">
        <v>0</v>
      </c>
      <c r="AL244" s="115" t="str">
        <f t="shared" si="1"/>
        <v>0 dari 31 (0%)</v>
      </c>
    </row>
    <row r="245" ht="22.5" customHeight="1">
      <c r="A245" s="10">
        <v>244.0</v>
      </c>
      <c r="B245" s="11"/>
      <c r="C245" s="140"/>
      <c r="D245" s="138"/>
      <c r="E245" s="138"/>
      <c r="F245" s="13"/>
      <c r="G245" s="114" t="b">
        <v>0</v>
      </c>
      <c r="H245" s="114" t="b">
        <v>0</v>
      </c>
      <c r="I245" s="114" t="b">
        <v>0</v>
      </c>
      <c r="J245" s="114" t="b">
        <v>0</v>
      </c>
      <c r="K245" s="114" t="b">
        <v>0</v>
      </c>
      <c r="L245" s="114" t="b">
        <v>0</v>
      </c>
      <c r="M245" s="114" t="b">
        <v>0</v>
      </c>
      <c r="N245" s="114" t="b">
        <v>0</v>
      </c>
      <c r="O245" s="114" t="b">
        <v>0</v>
      </c>
      <c r="P245" s="114" t="b">
        <v>0</v>
      </c>
      <c r="Q245" s="114" t="b">
        <v>0</v>
      </c>
      <c r="R245" s="114" t="b">
        <v>0</v>
      </c>
      <c r="S245" s="114" t="b">
        <v>0</v>
      </c>
      <c r="T245" s="114" t="b">
        <v>0</v>
      </c>
      <c r="U245" s="114" t="b">
        <v>0</v>
      </c>
      <c r="V245" s="114" t="b">
        <v>0</v>
      </c>
      <c r="W245" s="114" t="b">
        <v>0</v>
      </c>
      <c r="X245" s="114" t="b">
        <v>0</v>
      </c>
      <c r="Y245" s="114" t="b">
        <v>0</v>
      </c>
      <c r="Z245" s="114" t="b">
        <v>0</v>
      </c>
      <c r="AA245" s="114" t="b">
        <v>0</v>
      </c>
      <c r="AB245" s="114" t="b">
        <v>0</v>
      </c>
      <c r="AC245" s="114" t="b">
        <v>0</v>
      </c>
      <c r="AD245" s="114" t="b">
        <v>0</v>
      </c>
      <c r="AE245" s="114" t="b">
        <v>0</v>
      </c>
      <c r="AF245" s="114" t="b">
        <v>0</v>
      </c>
      <c r="AG245" s="114" t="b">
        <v>0</v>
      </c>
      <c r="AH245" s="114" t="b">
        <v>0</v>
      </c>
      <c r="AI245" s="114" t="b">
        <v>0</v>
      </c>
      <c r="AJ245" s="114" t="b">
        <v>0</v>
      </c>
      <c r="AK245" s="114" t="b">
        <v>0</v>
      </c>
      <c r="AL245" s="115" t="str">
        <f t="shared" si="1"/>
        <v>0 dari 31 (0%)</v>
      </c>
    </row>
    <row r="246" ht="22.5" customHeight="1">
      <c r="A246" s="2">
        <v>245.0</v>
      </c>
      <c r="B246" s="11"/>
      <c r="C246" s="140"/>
      <c r="D246" s="138"/>
      <c r="E246" s="138"/>
      <c r="F246" s="13"/>
      <c r="G246" s="114" t="b">
        <v>0</v>
      </c>
      <c r="H246" s="114" t="b">
        <v>0</v>
      </c>
      <c r="I246" s="114" t="b">
        <v>0</v>
      </c>
      <c r="J246" s="114" t="b">
        <v>0</v>
      </c>
      <c r="K246" s="114" t="b">
        <v>0</v>
      </c>
      <c r="L246" s="114" t="b">
        <v>0</v>
      </c>
      <c r="M246" s="114" t="b">
        <v>0</v>
      </c>
      <c r="N246" s="114" t="b">
        <v>0</v>
      </c>
      <c r="O246" s="114" t="b">
        <v>0</v>
      </c>
      <c r="P246" s="114" t="b">
        <v>0</v>
      </c>
      <c r="Q246" s="114" t="b">
        <v>0</v>
      </c>
      <c r="R246" s="114" t="b">
        <v>0</v>
      </c>
      <c r="S246" s="114" t="b">
        <v>0</v>
      </c>
      <c r="T246" s="114" t="b">
        <v>0</v>
      </c>
      <c r="U246" s="114" t="b">
        <v>0</v>
      </c>
      <c r="V246" s="114" t="b">
        <v>0</v>
      </c>
      <c r="W246" s="114" t="b">
        <v>0</v>
      </c>
      <c r="X246" s="114" t="b">
        <v>0</v>
      </c>
      <c r="Y246" s="114" t="b">
        <v>0</v>
      </c>
      <c r="Z246" s="114" t="b">
        <v>0</v>
      </c>
      <c r="AA246" s="114" t="b">
        <v>0</v>
      </c>
      <c r="AB246" s="114" t="b">
        <v>0</v>
      </c>
      <c r="AC246" s="114" t="b">
        <v>0</v>
      </c>
      <c r="AD246" s="114" t="b">
        <v>0</v>
      </c>
      <c r="AE246" s="114" t="b">
        <v>0</v>
      </c>
      <c r="AF246" s="114" t="b">
        <v>0</v>
      </c>
      <c r="AG246" s="114" t="b">
        <v>0</v>
      </c>
      <c r="AH246" s="114" t="b">
        <v>0</v>
      </c>
      <c r="AI246" s="114" t="b">
        <v>0</v>
      </c>
      <c r="AJ246" s="114" t="b">
        <v>0</v>
      </c>
      <c r="AK246" s="114" t="b">
        <v>0</v>
      </c>
      <c r="AL246" s="115" t="str">
        <f t="shared" si="1"/>
        <v>0 dari 31 (0%)</v>
      </c>
    </row>
    <row r="247" ht="22.5" customHeight="1">
      <c r="A247" s="10">
        <v>246.0</v>
      </c>
      <c r="B247" s="11"/>
      <c r="C247" s="140"/>
      <c r="D247" s="138"/>
      <c r="E247" s="138"/>
      <c r="F247" s="13"/>
      <c r="G247" s="114" t="b">
        <v>0</v>
      </c>
      <c r="H247" s="114" t="b">
        <v>0</v>
      </c>
      <c r="I247" s="114" t="b">
        <v>0</v>
      </c>
      <c r="J247" s="114" t="b">
        <v>0</v>
      </c>
      <c r="K247" s="114" t="b">
        <v>0</v>
      </c>
      <c r="L247" s="114" t="b">
        <v>0</v>
      </c>
      <c r="M247" s="114" t="b">
        <v>0</v>
      </c>
      <c r="N247" s="114" t="b">
        <v>0</v>
      </c>
      <c r="O247" s="114" t="b">
        <v>0</v>
      </c>
      <c r="P247" s="114" t="b">
        <v>0</v>
      </c>
      <c r="Q247" s="114" t="b">
        <v>0</v>
      </c>
      <c r="R247" s="114" t="b">
        <v>0</v>
      </c>
      <c r="S247" s="114" t="b">
        <v>0</v>
      </c>
      <c r="T247" s="114" t="b">
        <v>0</v>
      </c>
      <c r="U247" s="114" t="b">
        <v>0</v>
      </c>
      <c r="V247" s="114" t="b">
        <v>0</v>
      </c>
      <c r="W247" s="114" t="b">
        <v>0</v>
      </c>
      <c r="X247" s="114" t="b">
        <v>0</v>
      </c>
      <c r="Y247" s="114" t="b">
        <v>0</v>
      </c>
      <c r="Z247" s="114" t="b">
        <v>0</v>
      </c>
      <c r="AA247" s="114" t="b">
        <v>0</v>
      </c>
      <c r="AB247" s="114" t="b">
        <v>0</v>
      </c>
      <c r="AC247" s="114" t="b">
        <v>0</v>
      </c>
      <c r="AD247" s="114" t="b">
        <v>0</v>
      </c>
      <c r="AE247" s="114" t="b">
        <v>0</v>
      </c>
      <c r="AF247" s="114" t="b">
        <v>0</v>
      </c>
      <c r="AG247" s="114" t="b">
        <v>0</v>
      </c>
      <c r="AH247" s="114" t="b">
        <v>0</v>
      </c>
      <c r="AI247" s="114" t="b">
        <v>0</v>
      </c>
      <c r="AJ247" s="114" t="b">
        <v>0</v>
      </c>
      <c r="AK247" s="114" t="b">
        <v>0</v>
      </c>
      <c r="AL247" s="115" t="str">
        <f t="shared" si="1"/>
        <v>0 dari 31 (0%)</v>
      </c>
    </row>
    <row r="248" ht="22.5" customHeight="1">
      <c r="A248" s="2">
        <v>247.0</v>
      </c>
      <c r="B248" s="11"/>
      <c r="C248" s="140"/>
      <c r="D248" s="138"/>
      <c r="E248" s="138"/>
      <c r="F248" s="13"/>
      <c r="G248" s="114" t="b">
        <v>0</v>
      </c>
      <c r="H248" s="114" t="b">
        <v>0</v>
      </c>
      <c r="I248" s="114" t="b">
        <v>0</v>
      </c>
      <c r="J248" s="114" t="b">
        <v>0</v>
      </c>
      <c r="K248" s="114" t="b">
        <v>0</v>
      </c>
      <c r="L248" s="114" t="b">
        <v>0</v>
      </c>
      <c r="M248" s="114" t="b">
        <v>0</v>
      </c>
      <c r="N248" s="114" t="b">
        <v>0</v>
      </c>
      <c r="O248" s="114" t="b">
        <v>0</v>
      </c>
      <c r="P248" s="114" t="b">
        <v>0</v>
      </c>
      <c r="Q248" s="114" t="b">
        <v>0</v>
      </c>
      <c r="R248" s="114" t="b">
        <v>0</v>
      </c>
      <c r="S248" s="114" t="b">
        <v>0</v>
      </c>
      <c r="T248" s="114" t="b">
        <v>0</v>
      </c>
      <c r="U248" s="114" t="b">
        <v>0</v>
      </c>
      <c r="V248" s="114" t="b">
        <v>0</v>
      </c>
      <c r="W248" s="114" t="b">
        <v>0</v>
      </c>
      <c r="X248" s="114" t="b">
        <v>0</v>
      </c>
      <c r="Y248" s="114" t="b">
        <v>0</v>
      </c>
      <c r="Z248" s="114" t="b">
        <v>0</v>
      </c>
      <c r="AA248" s="114" t="b">
        <v>0</v>
      </c>
      <c r="AB248" s="114" t="b">
        <v>0</v>
      </c>
      <c r="AC248" s="114" t="b">
        <v>0</v>
      </c>
      <c r="AD248" s="114" t="b">
        <v>0</v>
      </c>
      <c r="AE248" s="114" t="b">
        <v>0</v>
      </c>
      <c r="AF248" s="114" t="b">
        <v>0</v>
      </c>
      <c r="AG248" s="114" t="b">
        <v>0</v>
      </c>
      <c r="AH248" s="114" t="b">
        <v>0</v>
      </c>
      <c r="AI248" s="114" t="b">
        <v>0</v>
      </c>
      <c r="AJ248" s="114" t="b">
        <v>0</v>
      </c>
      <c r="AK248" s="114" t="b">
        <v>0</v>
      </c>
      <c r="AL248" s="115" t="str">
        <f t="shared" si="1"/>
        <v>0 dari 31 (0%)</v>
      </c>
    </row>
    <row r="249" ht="22.5" customHeight="1">
      <c r="A249" s="10">
        <v>248.0</v>
      </c>
      <c r="B249" s="11"/>
      <c r="C249" s="140"/>
      <c r="D249" s="138"/>
      <c r="E249" s="138"/>
      <c r="F249" s="13"/>
      <c r="G249" s="114" t="b">
        <v>0</v>
      </c>
      <c r="H249" s="114" t="b">
        <v>0</v>
      </c>
      <c r="I249" s="114" t="b">
        <v>0</v>
      </c>
      <c r="J249" s="114" t="b">
        <v>0</v>
      </c>
      <c r="K249" s="114" t="b">
        <v>0</v>
      </c>
      <c r="L249" s="114" t="b">
        <v>0</v>
      </c>
      <c r="M249" s="114" t="b">
        <v>0</v>
      </c>
      <c r="N249" s="114" t="b">
        <v>0</v>
      </c>
      <c r="O249" s="114" t="b">
        <v>0</v>
      </c>
      <c r="P249" s="114" t="b">
        <v>0</v>
      </c>
      <c r="Q249" s="114" t="b">
        <v>0</v>
      </c>
      <c r="R249" s="114" t="b">
        <v>0</v>
      </c>
      <c r="S249" s="114" t="b">
        <v>0</v>
      </c>
      <c r="T249" s="114" t="b">
        <v>0</v>
      </c>
      <c r="U249" s="114" t="b">
        <v>0</v>
      </c>
      <c r="V249" s="114" t="b">
        <v>0</v>
      </c>
      <c r="W249" s="114" t="b">
        <v>0</v>
      </c>
      <c r="X249" s="114" t="b">
        <v>0</v>
      </c>
      <c r="Y249" s="114" t="b">
        <v>0</v>
      </c>
      <c r="Z249" s="114" t="b">
        <v>0</v>
      </c>
      <c r="AA249" s="114" t="b">
        <v>0</v>
      </c>
      <c r="AB249" s="114" t="b">
        <v>0</v>
      </c>
      <c r="AC249" s="114" t="b">
        <v>0</v>
      </c>
      <c r="AD249" s="114" t="b">
        <v>0</v>
      </c>
      <c r="AE249" s="114" t="b">
        <v>0</v>
      </c>
      <c r="AF249" s="114" t="b">
        <v>0</v>
      </c>
      <c r="AG249" s="114" t="b">
        <v>0</v>
      </c>
      <c r="AH249" s="114" t="b">
        <v>0</v>
      </c>
      <c r="AI249" s="114" t="b">
        <v>0</v>
      </c>
      <c r="AJ249" s="114" t="b">
        <v>0</v>
      </c>
      <c r="AK249" s="114" t="b">
        <v>0</v>
      </c>
      <c r="AL249" s="115" t="str">
        <f t="shared" si="1"/>
        <v>0 dari 31 (0%)</v>
      </c>
    </row>
    <row r="250" ht="22.5" customHeight="1">
      <c r="A250" s="10">
        <v>249.0</v>
      </c>
      <c r="B250" s="11"/>
      <c r="C250" s="140"/>
      <c r="D250" s="138"/>
      <c r="E250" s="138"/>
      <c r="F250" s="13"/>
      <c r="G250" s="114" t="b">
        <v>0</v>
      </c>
      <c r="H250" s="114" t="b">
        <v>0</v>
      </c>
      <c r="I250" s="114" t="b">
        <v>0</v>
      </c>
      <c r="J250" s="114" t="b">
        <v>0</v>
      </c>
      <c r="K250" s="114" t="b">
        <v>0</v>
      </c>
      <c r="L250" s="114" t="b">
        <v>0</v>
      </c>
      <c r="M250" s="114" t="b">
        <v>0</v>
      </c>
      <c r="N250" s="114" t="b">
        <v>0</v>
      </c>
      <c r="O250" s="114" t="b">
        <v>0</v>
      </c>
      <c r="P250" s="114" t="b">
        <v>0</v>
      </c>
      <c r="Q250" s="114" t="b">
        <v>0</v>
      </c>
      <c r="R250" s="114" t="b">
        <v>0</v>
      </c>
      <c r="S250" s="114" t="b">
        <v>0</v>
      </c>
      <c r="T250" s="114" t="b">
        <v>0</v>
      </c>
      <c r="U250" s="114" t="b">
        <v>0</v>
      </c>
      <c r="V250" s="114" t="b">
        <v>0</v>
      </c>
      <c r="W250" s="114" t="b">
        <v>0</v>
      </c>
      <c r="X250" s="114" t="b">
        <v>0</v>
      </c>
      <c r="Y250" s="114" t="b">
        <v>0</v>
      </c>
      <c r="Z250" s="114" t="b">
        <v>0</v>
      </c>
      <c r="AA250" s="114" t="b">
        <v>0</v>
      </c>
      <c r="AB250" s="114" t="b">
        <v>0</v>
      </c>
      <c r="AC250" s="114" t="b">
        <v>0</v>
      </c>
      <c r="AD250" s="114" t="b">
        <v>0</v>
      </c>
      <c r="AE250" s="114" t="b">
        <v>0</v>
      </c>
      <c r="AF250" s="114" t="b">
        <v>0</v>
      </c>
      <c r="AG250" s="114" t="b">
        <v>0</v>
      </c>
      <c r="AH250" s="114" t="b">
        <v>0</v>
      </c>
      <c r="AI250" s="114" t="b">
        <v>0</v>
      </c>
      <c r="AJ250" s="114" t="b">
        <v>0</v>
      </c>
      <c r="AK250" s="114" t="b">
        <v>0</v>
      </c>
      <c r="AL250" s="115" t="str">
        <f t="shared" si="1"/>
        <v>0 dari 31 (0%)</v>
      </c>
    </row>
    <row r="251" ht="22.5" customHeight="1">
      <c r="A251" s="2">
        <v>250.0</v>
      </c>
      <c r="B251" s="11"/>
      <c r="C251" s="140"/>
      <c r="D251" s="138"/>
      <c r="E251" s="138"/>
      <c r="F251" s="13"/>
      <c r="G251" s="114" t="b">
        <v>0</v>
      </c>
      <c r="H251" s="114" t="b">
        <v>0</v>
      </c>
      <c r="I251" s="114" t="b">
        <v>0</v>
      </c>
      <c r="J251" s="114" t="b">
        <v>0</v>
      </c>
      <c r="K251" s="114" t="b">
        <v>0</v>
      </c>
      <c r="L251" s="114" t="b">
        <v>0</v>
      </c>
      <c r="M251" s="114" t="b">
        <v>0</v>
      </c>
      <c r="N251" s="114" t="b">
        <v>0</v>
      </c>
      <c r="O251" s="114" t="b">
        <v>0</v>
      </c>
      <c r="P251" s="114" t="b">
        <v>0</v>
      </c>
      <c r="Q251" s="114" t="b">
        <v>0</v>
      </c>
      <c r="R251" s="114" t="b">
        <v>0</v>
      </c>
      <c r="S251" s="114" t="b">
        <v>0</v>
      </c>
      <c r="T251" s="114" t="b">
        <v>0</v>
      </c>
      <c r="U251" s="114" t="b">
        <v>0</v>
      </c>
      <c r="V251" s="114" t="b">
        <v>0</v>
      </c>
      <c r="W251" s="114" t="b">
        <v>0</v>
      </c>
      <c r="X251" s="114" t="b">
        <v>0</v>
      </c>
      <c r="Y251" s="114" t="b">
        <v>0</v>
      </c>
      <c r="Z251" s="114" t="b">
        <v>0</v>
      </c>
      <c r="AA251" s="114" t="b">
        <v>0</v>
      </c>
      <c r="AB251" s="114" t="b">
        <v>0</v>
      </c>
      <c r="AC251" s="114" t="b">
        <v>0</v>
      </c>
      <c r="AD251" s="114" t="b">
        <v>0</v>
      </c>
      <c r="AE251" s="114" t="b">
        <v>0</v>
      </c>
      <c r="AF251" s="114" t="b">
        <v>0</v>
      </c>
      <c r="AG251" s="114" t="b">
        <v>0</v>
      </c>
      <c r="AH251" s="114" t="b">
        <v>0</v>
      </c>
      <c r="AI251" s="114" t="b">
        <v>0</v>
      </c>
      <c r="AJ251" s="114" t="b">
        <v>0</v>
      </c>
      <c r="AK251" s="114" t="b">
        <v>0</v>
      </c>
      <c r="AL251" s="115" t="str">
        <f t="shared" si="1"/>
        <v>0 dari 31 (0%)</v>
      </c>
    </row>
    <row r="252" ht="22.5" customHeight="1">
      <c r="A252" s="10">
        <v>251.0</v>
      </c>
      <c r="B252" s="11"/>
      <c r="C252" s="140"/>
      <c r="D252" s="138"/>
      <c r="E252" s="138"/>
      <c r="F252" s="13"/>
      <c r="G252" s="114" t="b">
        <v>0</v>
      </c>
      <c r="H252" s="114" t="b">
        <v>0</v>
      </c>
      <c r="I252" s="114" t="b">
        <v>0</v>
      </c>
      <c r="J252" s="114" t="b">
        <v>0</v>
      </c>
      <c r="K252" s="114" t="b">
        <v>0</v>
      </c>
      <c r="L252" s="114" t="b">
        <v>0</v>
      </c>
      <c r="M252" s="114" t="b">
        <v>0</v>
      </c>
      <c r="N252" s="114" t="b">
        <v>0</v>
      </c>
      <c r="O252" s="114" t="b">
        <v>0</v>
      </c>
      <c r="P252" s="114" t="b">
        <v>0</v>
      </c>
      <c r="Q252" s="114" t="b">
        <v>0</v>
      </c>
      <c r="R252" s="114" t="b">
        <v>0</v>
      </c>
      <c r="S252" s="114" t="b">
        <v>0</v>
      </c>
      <c r="T252" s="114" t="b">
        <v>0</v>
      </c>
      <c r="U252" s="114" t="b">
        <v>0</v>
      </c>
      <c r="V252" s="114" t="b">
        <v>0</v>
      </c>
      <c r="W252" s="114" t="b">
        <v>0</v>
      </c>
      <c r="X252" s="114" t="b">
        <v>0</v>
      </c>
      <c r="Y252" s="114" t="b">
        <v>0</v>
      </c>
      <c r="Z252" s="114" t="b">
        <v>0</v>
      </c>
      <c r="AA252" s="114" t="b">
        <v>0</v>
      </c>
      <c r="AB252" s="114" t="b">
        <v>0</v>
      </c>
      <c r="AC252" s="114" t="b">
        <v>0</v>
      </c>
      <c r="AD252" s="114" t="b">
        <v>0</v>
      </c>
      <c r="AE252" s="114" t="b">
        <v>0</v>
      </c>
      <c r="AF252" s="114" t="b">
        <v>0</v>
      </c>
      <c r="AG252" s="114" t="b">
        <v>0</v>
      </c>
      <c r="AH252" s="114" t="b">
        <v>0</v>
      </c>
      <c r="AI252" s="114" t="b">
        <v>0</v>
      </c>
      <c r="AJ252" s="114" t="b">
        <v>0</v>
      </c>
      <c r="AK252" s="114" t="b">
        <v>0</v>
      </c>
      <c r="AL252" s="115" t="str">
        <f t="shared" si="1"/>
        <v>0 dari 31 (0%)</v>
      </c>
    </row>
    <row r="253" ht="22.5" customHeight="1">
      <c r="A253" s="2">
        <v>252.0</v>
      </c>
      <c r="B253" s="11"/>
      <c r="C253" s="140"/>
      <c r="D253" s="138"/>
      <c r="E253" s="138"/>
      <c r="F253" s="13"/>
      <c r="G253" s="114" t="b">
        <v>0</v>
      </c>
      <c r="H253" s="114" t="b">
        <v>0</v>
      </c>
      <c r="I253" s="114" t="b">
        <v>0</v>
      </c>
      <c r="J253" s="114" t="b">
        <v>0</v>
      </c>
      <c r="K253" s="114" t="b">
        <v>0</v>
      </c>
      <c r="L253" s="114" t="b">
        <v>0</v>
      </c>
      <c r="M253" s="114" t="b">
        <v>0</v>
      </c>
      <c r="N253" s="114" t="b">
        <v>0</v>
      </c>
      <c r="O253" s="114" t="b">
        <v>0</v>
      </c>
      <c r="P253" s="114" t="b">
        <v>0</v>
      </c>
      <c r="Q253" s="114" t="b">
        <v>0</v>
      </c>
      <c r="R253" s="114" t="b">
        <v>0</v>
      </c>
      <c r="S253" s="114" t="b">
        <v>0</v>
      </c>
      <c r="T253" s="114" t="b">
        <v>0</v>
      </c>
      <c r="U253" s="114" t="b">
        <v>0</v>
      </c>
      <c r="V253" s="114" t="b">
        <v>0</v>
      </c>
      <c r="W253" s="114" t="b">
        <v>0</v>
      </c>
      <c r="X253" s="114" t="b">
        <v>0</v>
      </c>
      <c r="Y253" s="114" t="b">
        <v>0</v>
      </c>
      <c r="Z253" s="114" t="b">
        <v>0</v>
      </c>
      <c r="AA253" s="114" t="b">
        <v>0</v>
      </c>
      <c r="AB253" s="114" t="b">
        <v>0</v>
      </c>
      <c r="AC253" s="114" t="b">
        <v>0</v>
      </c>
      <c r="AD253" s="114" t="b">
        <v>0</v>
      </c>
      <c r="AE253" s="114" t="b">
        <v>0</v>
      </c>
      <c r="AF253" s="114" t="b">
        <v>0</v>
      </c>
      <c r="AG253" s="114" t="b">
        <v>0</v>
      </c>
      <c r="AH253" s="114" t="b">
        <v>0</v>
      </c>
      <c r="AI253" s="114" t="b">
        <v>0</v>
      </c>
      <c r="AJ253" s="114" t="b">
        <v>0</v>
      </c>
      <c r="AK253" s="114" t="b">
        <v>0</v>
      </c>
      <c r="AL253" s="115" t="str">
        <f t="shared" si="1"/>
        <v>0 dari 31 (0%)</v>
      </c>
    </row>
    <row r="254" ht="22.5" customHeight="1">
      <c r="A254" s="10">
        <v>253.0</v>
      </c>
      <c r="B254" s="11"/>
      <c r="C254" s="140"/>
      <c r="D254" s="138"/>
      <c r="E254" s="138"/>
      <c r="F254" s="13"/>
      <c r="G254" s="114" t="b">
        <v>0</v>
      </c>
      <c r="H254" s="114" t="b">
        <v>0</v>
      </c>
      <c r="I254" s="114" t="b">
        <v>0</v>
      </c>
      <c r="J254" s="114" t="b">
        <v>0</v>
      </c>
      <c r="K254" s="114" t="b">
        <v>0</v>
      </c>
      <c r="L254" s="114" t="b">
        <v>0</v>
      </c>
      <c r="M254" s="114" t="b">
        <v>0</v>
      </c>
      <c r="N254" s="114" t="b">
        <v>0</v>
      </c>
      <c r="O254" s="114" t="b">
        <v>0</v>
      </c>
      <c r="P254" s="114" t="b">
        <v>0</v>
      </c>
      <c r="Q254" s="114" t="b">
        <v>0</v>
      </c>
      <c r="R254" s="114" t="b">
        <v>0</v>
      </c>
      <c r="S254" s="114" t="b">
        <v>0</v>
      </c>
      <c r="T254" s="114" t="b">
        <v>0</v>
      </c>
      <c r="U254" s="114" t="b">
        <v>0</v>
      </c>
      <c r="V254" s="114" t="b">
        <v>0</v>
      </c>
      <c r="W254" s="114" t="b">
        <v>0</v>
      </c>
      <c r="X254" s="114" t="b">
        <v>0</v>
      </c>
      <c r="Y254" s="114" t="b">
        <v>0</v>
      </c>
      <c r="Z254" s="114" t="b">
        <v>0</v>
      </c>
      <c r="AA254" s="114" t="b">
        <v>0</v>
      </c>
      <c r="AB254" s="114" t="b">
        <v>0</v>
      </c>
      <c r="AC254" s="114" t="b">
        <v>0</v>
      </c>
      <c r="AD254" s="114" t="b">
        <v>0</v>
      </c>
      <c r="AE254" s="114" t="b">
        <v>0</v>
      </c>
      <c r="AF254" s="114" t="b">
        <v>0</v>
      </c>
      <c r="AG254" s="114" t="b">
        <v>0</v>
      </c>
      <c r="AH254" s="114" t="b">
        <v>0</v>
      </c>
      <c r="AI254" s="114" t="b">
        <v>0</v>
      </c>
      <c r="AJ254" s="114" t="b">
        <v>0</v>
      </c>
      <c r="AK254" s="114" t="b">
        <v>0</v>
      </c>
      <c r="AL254" s="115" t="str">
        <f t="shared" si="1"/>
        <v>0 dari 31 (0%)</v>
      </c>
    </row>
    <row r="255" ht="22.5" customHeight="1">
      <c r="A255" s="10">
        <v>254.0</v>
      </c>
      <c r="B255" s="11"/>
      <c r="C255" s="140"/>
      <c r="D255" s="138"/>
      <c r="E255" s="138"/>
      <c r="F255" s="13"/>
      <c r="G255" s="114" t="b">
        <v>0</v>
      </c>
      <c r="H255" s="114" t="b">
        <v>0</v>
      </c>
      <c r="I255" s="114" t="b">
        <v>0</v>
      </c>
      <c r="J255" s="114" t="b">
        <v>0</v>
      </c>
      <c r="K255" s="114" t="b">
        <v>0</v>
      </c>
      <c r="L255" s="114" t="b">
        <v>0</v>
      </c>
      <c r="M255" s="114" t="b">
        <v>0</v>
      </c>
      <c r="N255" s="114" t="b">
        <v>0</v>
      </c>
      <c r="O255" s="114" t="b">
        <v>0</v>
      </c>
      <c r="P255" s="114" t="b">
        <v>0</v>
      </c>
      <c r="Q255" s="114" t="b">
        <v>0</v>
      </c>
      <c r="R255" s="114" t="b">
        <v>0</v>
      </c>
      <c r="S255" s="114" t="b">
        <v>0</v>
      </c>
      <c r="T255" s="114" t="b">
        <v>0</v>
      </c>
      <c r="U255" s="114" t="b">
        <v>0</v>
      </c>
      <c r="V255" s="114" t="b">
        <v>0</v>
      </c>
      <c r="W255" s="114" t="b">
        <v>0</v>
      </c>
      <c r="X255" s="114" t="b">
        <v>0</v>
      </c>
      <c r="Y255" s="114" t="b">
        <v>0</v>
      </c>
      <c r="Z255" s="114" t="b">
        <v>0</v>
      </c>
      <c r="AA255" s="114" t="b">
        <v>0</v>
      </c>
      <c r="AB255" s="114" t="b">
        <v>0</v>
      </c>
      <c r="AC255" s="114" t="b">
        <v>0</v>
      </c>
      <c r="AD255" s="114" t="b">
        <v>0</v>
      </c>
      <c r="AE255" s="114" t="b">
        <v>0</v>
      </c>
      <c r="AF255" s="114" t="b">
        <v>0</v>
      </c>
      <c r="AG255" s="114" t="b">
        <v>0</v>
      </c>
      <c r="AH255" s="114" t="b">
        <v>0</v>
      </c>
      <c r="AI255" s="114" t="b">
        <v>0</v>
      </c>
      <c r="AJ255" s="114" t="b">
        <v>0</v>
      </c>
      <c r="AK255" s="114" t="b">
        <v>0</v>
      </c>
      <c r="AL255" s="115" t="str">
        <f t="shared" si="1"/>
        <v>0 dari 31 (0%)</v>
      </c>
    </row>
    <row r="256" ht="22.5" customHeight="1">
      <c r="A256" s="2">
        <v>255.0</v>
      </c>
      <c r="B256" s="11"/>
      <c r="C256" s="140"/>
      <c r="D256" s="138"/>
      <c r="E256" s="138"/>
      <c r="F256" s="13"/>
      <c r="G256" s="114" t="b">
        <v>0</v>
      </c>
      <c r="H256" s="114" t="b">
        <v>0</v>
      </c>
      <c r="I256" s="114" t="b">
        <v>0</v>
      </c>
      <c r="J256" s="114" t="b">
        <v>0</v>
      </c>
      <c r="K256" s="114" t="b">
        <v>0</v>
      </c>
      <c r="L256" s="114" t="b">
        <v>0</v>
      </c>
      <c r="M256" s="114" t="b">
        <v>0</v>
      </c>
      <c r="N256" s="114" t="b">
        <v>0</v>
      </c>
      <c r="O256" s="114" t="b">
        <v>0</v>
      </c>
      <c r="P256" s="114" t="b">
        <v>0</v>
      </c>
      <c r="Q256" s="114" t="b">
        <v>0</v>
      </c>
      <c r="R256" s="114" t="b">
        <v>0</v>
      </c>
      <c r="S256" s="114" t="b">
        <v>0</v>
      </c>
      <c r="T256" s="114" t="b">
        <v>0</v>
      </c>
      <c r="U256" s="114" t="b">
        <v>0</v>
      </c>
      <c r="V256" s="114" t="b">
        <v>0</v>
      </c>
      <c r="W256" s="114" t="b">
        <v>0</v>
      </c>
      <c r="X256" s="114" t="b">
        <v>0</v>
      </c>
      <c r="Y256" s="114" t="b">
        <v>0</v>
      </c>
      <c r="Z256" s="114" t="b">
        <v>0</v>
      </c>
      <c r="AA256" s="114" t="b">
        <v>0</v>
      </c>
      <c r="AB256" s="114" t="b">
        <v>0</v>
      </c>
      <c r="AC256" s="114" t="b">
        <v>0</v>
      </c>
      <c r="AD256" s="114" t="b">
        <v>0</v>
      </c>
      <c r="AE256" s="114" t="b">
        <v>0</v>
      </c>
      <c r="AF256" s="114" t="b">
        <v>0</v>
      </c>
      <c r="AG256" s="114" t="b">
        <v>0</v>
      </c>
      <c r="AH256" s="114" t="b">
        <v>0</v>
      </c>
      <c r="AI256" s="114" t="b">
        <v>0</v>
      </c>
      <c r="AJ256" s="114" t="b">
        <v>0</v>
      </c>
      <c r="AK256" s="114" t="b">
        <v>0</v>
      </c>
      <c r="AL256" s="115" t="str">
        <f t="shared" si="1"/>
        <v>0 dari 31 (0%)</v>
      </c>
    </row>
    <row r="257" ht="22.5" customHeight="1">
      <c r="A257" s="10">
        <v>256.0</v>
      </c>
      <c r="B257" s="11"/>
      <c r="C257" s="140"/>
      <c r="D257" s="138"/>
      <c r="E257" s="138"/>
      <c r="F257" s="13"/>
      <c r="G257" s="114" t="b">
        <v>0</v>
      </c>
      <c r="H257" s="114" t="b">
        <v>0</v>
      </c>
      <c r="I257" s="114" t="b">
        <v>0</v>
      </c>
      <c r="J257" s="114" t="b">
        <v>0</v>
      </c>
      <c r="K257" s="114" t="b">
        <v>0</v>
      </c>
      <c r="L257" s="114" t="b">
        <v>0</v>
      </c>
      <c r="M257" s="114" t="b">
        <v>0</v>
      </c>
      <c r="N257" s="114" t="b">
        <v>0</v>
      </c>
      <c r="O257" s="114" t="b">
        <v>0</v>
      </c>
      <c r="P257" s="114" t="b">
        <v>0</v>
      </c>
      <c r="Q257" s="114" t="b">
        <v>0</v>
      </c>
      <c r="R257" s="114" t="b">
        <v>0</v>
      </c>
      <c r="S257" s="114" t="b">
        <v>0</v>
      </c>
      <c r="T257" s="114" t="b">
        <v>0</v>
      </c>
      <c r="U257" s="114" t="b">
        <v>0</v>
      </c>
      <c r="V257" s="114" t="b">
        <v>0</v>
      </c>
      <c r="W257" s="114" t="b">
        <v>0</v>
      </c>
      <c r="X257" s="114" t="b">
        <v>0</v>
      </c>
      <c r="Y257" s="114" t="b">
        <v>0</v>
      </c>
      <c r="Z257" s="114" t="b">
        <v>0</v>
      </c>
      <c r="AA257" s="114" t="b">
        <v>0</v>
      </c>
      <c r="AB257" s="114" t="b">
        <v>0</v>
      </c>
      <c r="AC257" s="114" t="b">
        <v>0</v>
      </c>
      <c r="AD257" s="114" t="b">
        <v>0</v>
      </c>
      <c r="AE257" s="114" t="b">
        <v>0</v>
      </c>
      <c r="AF257" s="114" t="b">
        <v>0</v>
      </c>
      <c r="AG257" s="114" t="b">
        <v>0</v>
      </c>
      <c r="AH257" s="114" t="b">
        <v>0</v>
      </c>
      <c r="AI257" s="114" t="b">
        <v>0</v>
      </c>
      <c r="AJ257" s="114" t="b">
        <v>0</v>
      </c>
      <c r="AK257" s="114" t="b">
        <v>0</v>
      </c>
      <c r="AL257" s="115" t="str">
        <f t="shared" si="1"/>
        <v>0 dari 31 (0%)</v>
      </c>
    </row>
    <row r="258" ht="22.5" customHeight="1">
      <c r="A258" s="2">
        <v>257.0</v>
      </c>
      <c r="B258" s="11"/>
      <c r="C258" s="140"/>
      <c r="D258" s="138"/>
      <c r="E258" s="138"/>
      <c r="F258" s="13"/>
      <c r="G258" s="114" t="b">
        <v>0</v>
      </c>
      <c r="H258" s="114" t="b">
        <v>0</v>
      </c>
      <c r="I258" s="114" t="b">
        <v>0</v>
      </c>
      <c r="J258" s="114" t="b">
        <v>0</v>
      </c>
      <c r="K258" s="114" t="b">
        <v>0</v>
      </c>
      <c r="L258" s="114" t="b">
        <v>0</v>
      </c>
      <c r="M258" s="114" t="b">
        <v>0</v>
      </c>
      <c r="N258" s="114" t="b">
        <v>0</v>
      </c>
      <c r="O258" s="114" t="b">
        <v>0</v>
      </c>
      <c r="P258" s="114" t="b">
        <v>0</v>
      </c>
      <c r="Q258" s="114" t="b">
        <v>0</v>
      </c>
      <c r="R258" s="114" t="b">
        <v>0</v>
      </c>
      <c r="S258" s="114" t="b">
        <v>0</v>
      </c>
      <c r="T258" s="114" t="b">
        <v>0</v>
      </c>
      <c r="U258" s="114" t="b">
        <v>0</v>
      </c>
      <c r="V258" s="114" t="b">
        <v>0</v>
      </c>
      <c r="W258" s="114" t="b">
        <v>0</v>
      </c>
      <c r="X258" s="114" t="b">
        <v>0</v>
      </c>
      <c r="Y258" s="114" t="b">
        <v>0</v>
      </c>
      <c r="Z258" s="114" t="b">
        <v>0</v>
      </c>
      <c r="AA258" s="114" t="b">
        <v>0</v>
      </c>
      <c r="AB258" s="114" t="b">
        <v>0</v>
      </c>
      <c r="AC258" s="114" t="b">
        <v>0</v>
      </c>
      <c r="AD258" s="114" t="b">
        <v>0</v>
      </c>
      <c r="AE258" s="114" t="b">
        <v>0</v>
      </c>
      <c r="AF258" s="114" t="b">
        <v>0</v>
      </c>
      <c r="AG258" s="114" t="b">
        <v>0</v>
      </c>
      <c r="AH258" s="114" t="b">
        <v>0</v>
      </c>
      <c r="AI258" s="114" t="b">
        <v>0</v>
      </c>
      <c r="AJ258" s="114" t="b">
        <v>0</v>
      </c>
      <c r="AK258" s="114" t="b">
        <v>0</v>
      </c>
      <c r="AL258" s="115" t="str">
        <f t="shared" si="1"/>
        <v>0 dari 31 (0%)</v>
      </c>
    </row>
    <row r="259" ht="22.5" customHeight="1">
      <c r="A259" s="10">
        <v>258.0</v>
      </c>
      <c r="B259" s="11"/>
      <c r="C259" s="140"/>
      <c r="D259" s="138"/>
      <c r="E259" s="138"/>
      <c r="F259" s="13"/>
      <c r="G259" s="114" t="b">
        <v>0</v>
      </c>
      <c r="H259" s="114" t="b">
        <v>0</v>
      </c>
      <c r="I259" s="114" t="b">
        <v>0</v>
      </c>
      <c r="J259" s="114" t="b">
        <v>0</v>
      </c>
      <c r="K259" s="114" t="b">
        <v>0</v>
      </c>
      <c r="L259" s="114" t="b">
        <v>0</v>
      </c>
      <c r="M259" s="114" t="b">
        <v>0</v>
      </c>
      <c r="N259" s="114" t="b">
        <v>0</v>
      </c>
      <c r="O259" s="114" t="b">
        <v>0</v>
      </c>
      <c r="P259" s="114" t="b">
        <v>0</v>
      </c>
      <c r="Q259" s="114" t="b">
        <v>0</v>
      </c>
      <c r="R259" s="114" t="b">
        <v>0</v>
      </c>
      <c r="S259" s="114" t="b">
        <v>0</v>
      </c>
      <c r="T259" s="114" t="b">
        <v>0</v>
      </c>
      <c r="U259" s="114" t="b">
        <v>0</v>
      </c>
      <c r="V259" s="114" t="b">
        <v>0</v>
      </c>
      <c r="W259" s="114" t="b">
        <v>0</v>
      </c>
      <c r="X259" s="114" t="b">
        <v>0</v>
      </c>
      <c r="Y259" s="114" t="b">
        <v>0</v>
      </c>
      <c r="Z259" s="114" t="b">
        <v>0</v>
      </c>
      <c r="AA259" s="114" t="b">
        <v>0</v>
      </c>
      <c r="AB259" s="114" t="b">
        <v>0</v>
      </c>
      <c r="AC259" s="114" t="b">
        <v>0</v>
      </c>
      <c r="AD259" s="114" t="b">
        <v>0</v>
      </c>
      <c r="AE259" s="114" t="b">
        <v>0</v>
      </c>
      <c r="AF259" s="114" t="b">
        <v>0</v>
      </c>
      <c r="AG259" s="114" t="b">
        <v>0</v>
      </c>
      <c r="AH259" s="114" t="b">
        <v>0</v>
      </c>
      <c r="AI259" s="114" t="b">
        <v>0</v>
      </c>
      <c r="AJ259" s="114" t="b">
        <v>0</v>
      </c>
      <c r="AK259" s="114" t="b">
        <v>0</v>
      </c>
      <c r="AL259" s="115" t="str">
        <f t="shared" si="1"/>
        <v>0 dari 31 (0%)</v>
      </c>
    </row>
    <row r="260" ht="22.5" customHeight="1">
      <c r="A260" s="10">
        <v>259.0</v>
      </c>
      <c r="B260" s="11"/>
      <c r="C260" s="140"/>
      <c r="D260" s="138"/>
      <c r="E260" s="138"/>
      <c r="F260" s="13"/>
      <c r="G260" s="114" t="b">
        <v>0</v>
      </c>
      <c r="H260" s="114" t="b">
        <v>0</v>
      </c>
      <c r="I260" s="114" t="b">
        <v>0</v>
      </c>
      <c r="J260" s="114" t="b">
        <v>0</v>
      </c>
      <c r="K260" s="114" t="b">
        <v>0</v>
      </c>
      <c r="L260" s="114" t="b">
        <v>0</v>
      </c>
      <c r="M260" s="114" t="b">
        <v>0</v>
      </c>
      <c r="N260" s="114" t="b">
        <v>0</v>
      </c>
      <c r="O260" s="114" t="b">
        <v>0</v>
      </c>
      <c r="P260" s="114" t="b">
        <v>0</v>
      </c>
      <c r="Q260" s="114" t="b">
        <v>0</v>
      </c>
      <c r="R260" s="114" t="b">
        <v>0</v>
      </c>
      <c r="S260" s="114" t="b">
        <v>0</v>
      </c>
      <c r="T260" s="114" t="b">
        <v>0</v>
      </c>
      <c r="U260" s="114" t="b">
        <v>0</v>
      </c>
      <c r="V260" s="114" t="b">
        <v>0</v>
      </c>
      <c r="W260" s="114" t="b">
        <v>0</v>
      </c>
      <c r="X260" s="114" t="b">
        <v>0</v>
      </c>
      <c r="Y260" s="114" t="b">
        <v>0</v>
      </c>
      <c r="Z260" s="114" t="b">
        <v>0</v>
      </c>
      <c r="AA260" s="114" t="b">
        <v>0</v>
      </c>
      <c r="AB260" s="114" t="b">
        <v>0</v>
      </c>
      <c r="AC260" s="114" t="b">
        <v>0</v>
      </c>
      <c r="AD260" s="114" t="b">
        <v>0</v>
      </c>
      <c r="AE260" s="114" t="b">
        <v>0</v>
      </c>
      <c r="AF260" s="114" t="b">
        <v>0</v>
      </c>
      <c r="AG260" s="114" t="b">
        <v>0</v>
      </c>
      <c r="AH260" s="114" t="b">
        <v>0</v>
      </c>
      <c r="AI260" s="114" t="b">
        <v>0</v>
      </c>
      <c r="AJ260" s="114" t="b">
        <v>0</v>
      </c>
      <c r="AK260" s="114" t="b">
        <v>0</v>
      </c>
      <c r="AL260" s="115" t="str">
        <f t="shared" si="1"/>
        <v>0 dari 31 (0%)</v>
      </c>
    </row>
    <row r="261" ht="22.5" customHeight="1">
      <c r="A261" s="2">
        <v>260.0</v>
      </c>
      <c r="B261" s="11"/>
      <c r="C261" s="140"/>
      <c r="D261" s="138"/>
      <c r="E261" s="138"/>
      <c r="F261" s="13"/>
      <c r="G261" s="114" t="b">
        <v>0</v>
      </c>
      <c r="H261" s="114" t="b">
        <v>0</v>
      </c>
      <c r="I261" s="114" t="b">
        <v>0</v>
      </c>
      <c r="J261" s="114" t="b">
        <v>0</v>
      </c>
      <c r="K261" s="114" t="b">
        <v>0</v>
      </c>
      <c r="L261" s="114" t="b">
        <v>0</v>
      </c>
      <c r="M261" s="114" t="b">
        <v>0</v>
      </c>
      <c r="N261" s="114" t="b">
        <v>0</v>
      </c>
      <c r="O261" s="114" t="b">
        <v>0</v>
      </c>
      <c r="P261" s="114" t="b">
        <v>0</v>
      </c>
      <c r="Q261" s="114" t="b">
        <v>0</v>
      </c>
      <c r="R261" s="114" t="b">
        <v>0</v>
      </c>
      <c r="S261" s="114" t="b">
        <v>0</v>
      </c>
      <c r="T261" s="114" t="b">
        <v>0</v>
      </c>
      <c r="U261" s="114" t="b">
        <v>0</v>
      </c>
      <c r="V261" s="114" t="b">
        <v>0</v>
      </c>
      <c r="W261" s="114" t="b">
        <v>0</v>
      </c>
      <c r="X261" s="114" t="b">
        <v>0</v>
      </c>
      <c r="Y261" s="114" t="b">
        <v>0</v>
      </c>
      <c r="Z261" s="114" t="b">
        <v>0</v>
      </c>
      <c r="AA261" s="114" t="b">
        <v>0</v>
      </c>
      <c r="AB261" s="114" t="b">
        <v>0</v>
      </c>
      <c r="AC261" s="114" t="b">
        <v>0</v>
      </c>
      <c r="AD261" s="114" t="b">
        <v>0</v>
      </c>
      <c r="AE261" s="114" t="b">
        <v>0</v>
      </c>
      <c r="AF261" s="114" t="b">
        <v>0</v>
      </c>
      <c r="AG261" s="114" t="b">
        <v>0</v>
      </c>
      <c r="AH261" s="114" t="b">
        <v>0</v>
      </c>
      <c r="AI261" s="114" t="b">
        <v>0</v>
      </c>
      <c r="AJ261" s="114" t="b">
        <v>0</v>
      </c>
      <c r="AK261" s="114" t="b">
        <v>0</v>
      </c>
      <c r="AL261" s="115" t="str">
        <f t="shared" si="1"/>
        <v>0 dari 31 (0%)</v>
      </c>
    </row>
    <row r="262" ht="22.5" customHeight="1">
      <c r="A262" s="10">
        <v>261.0</v>
      </c>
      <c r="B262" s="11"/>
      <c r="C262" s="140"/>
      <c r="D262" s="138"/>
      <c r="E262" s="138"/>
      <c r="F262" s="13"/>
      <c r="G262" s="114" t="b">
        <v>0</v>
      </c>
      <c r="H262" s="114" t="b">
        <v>0</v>
      </c>
      <c r="I262" s="114" t="b">
        <v>0</v>
      </c>
      <c r="J262" s="114" t="b">
        <v>0</v>
      </c>
      <c r="K262" s="114" t="b">
        <v>0</v>
      </c>
      <c r="L262" s="114" t="b">
        <v>0</v>
      </c>
      <c r="M262" s="114" t="b">
        <v>0</v>
      </c>
      <c r="N262" s="114" t="b">
        <v>0</v>
      </c>
      <c r="O262" s="114" t="b">
        <v>0</v>
      </c>
      <c r="P262" s="114" t="b">
        <v>0</v>
      </c>
      <c r="Q262" s="114" t="b">
        <v>0</v>
      </c>
      <c r="R262" s="114" t="b">
        <v>0</v>
      </c>
      <c r="S262" s="114" t="b">
        <v>0</v>
      </c>
      <c r="T262" s="114" t="b">
        <v>0</v>
      </c>
      <c r="U262" s="114" t="b">
        <v>0</v>
      </c>
      <c r="V262" s="114" t="b">
        <v>0</v>
      </c>
      <c r="W262" s="114" t="b">
        <v>0</v>
      </c>
      <c r="X262" s="114" t="b">
        <v>0</v>
      </c>
      <c r="Y262" s="114" t="b">
        <v>0</v>
      </c>
      <c r="Z262" s="114" t="b">
        <v>0</v>
      </c>
      <c r="AA262" s="114" t="b">
        <v>0</v>
      </c>
      <c r="AB262" s="114" t="b">
        <v>0</v>
      </c>
      <c r="AC262" s="114" t="b">
        <v>0</v>
      </c>
      <c r="AD262" s="114" t="b">
        <v>0</v>
      </c>
      <c r="AE262" s="114" t="b">
        <v>0</v>
      </c>
      <c r="AF262" s="114" t="b">
        <v>0</v>
      </c>
      <c r="AG262" s="114" t="b">
        <v>0</v>
      </c>
      <c r="AH262" s="114" t="b">
        <v>0</v>
      </c>
      <c r="AI262" s="114" t="b">
        <v>0</v>
      </c>
      <c r="AJ262" s="114" t="b">
        <v>0</v>
      </c>
      <c r="AK262" s="114" t="b">
        <v>0</v>
      </c>
      <c r="AL262" s="115" t="str">
        <f t="shared" si="1"/>
        <v>0 dari 31 (0%)</v>
      </c>
    </row>
    <row r="263" ht="22.5" customHeight="1">
      <c r="A263" s="2">
        <v>262.0</v>
      </c>
      <c r="B263" s="11"/>
      <c r="C263" s="140"/>
      <c r="D263" s="138"/>
      <c r="E263" s="138"/>
      <c r="F263" s="13"/>
      <c r="G263" s="114" t="b">
        <v>0</v>
      </c>
      <c r="H263" s="114" t="b">
        <v>0</v>
      </c>
      <c r="I263" s="114" t="b">
        <v>0</v>
      </c>
      <c r="J263" s="114" t="b">
        <v>0</v>
      </c>
      <c r="K263" s="114" t="b">
        <v>0</v>
      </c>
      <c r="L263" s="114" t="b">
        <v>0</v>
      </c>
      <c r="M263" s="114" t="b">
        <v>0</v>
      </c>
      <c r="N263" s="114" t="b">
        <v>0</v>
      </c>
      <c r="O263" s="114" t="b">
        <v>0</v>
      </c>
      <c r="P263" s="114" t="b">
        <v>0</v>
      </c>
      <c r="Q263" s="114" t="b">
        <v>0</v>
      </c>
      <c r="R263" s="114" t="b">
        <v>0</v>
      </c>
      <c r="S263" s="114" t="b">
        <v>0</v>
      </c>
      <c r="T263" s="114" t="b">
        <v>0</v>
      </c>
      <c r="U263" s="114" t="b">
        <v>0</v>
      </c>
      <c r="V263" s="114" t="b">
        <v>0</v>
      </c>
      <c r="W263" s="114" t="b">
        <v>0</v>
      </c>
      <c r="X263" s="114" t="b">
        <v>0</v>
      </c>
      <c r="Y263" s="114" t="b">
        <v>0</v>
      </c>
      <c r="Z263" s="114" t="b">
        <v>0</v>
      </c>
      <c r="AA263" s="114" t="b">
        <v>0</v>
      </c>
      <c r="AB263" s="114" t="b">
        <v>0</v>
      </c>
      <c r="AC263" s="114" t="b">
        <v>0</v>
      </c>
      <c r="AD263" s="114" t="b">
        <v>0</v>
      </c>
      <c r="AE263" s="114" t="b">
        <v>0</v>
      </c>
      <c r="AF263" s="114" t="b">
        <v>0</v>
      </c>
      <c r="AG263" s="114" t="b">
        <v>0</v>
      </c>
      <c r="AH263" s="114" t="b">
        <v>0</v>
      </c>
      <c r="AI263" s="114" t="b">
        <v>0</v>
      </c>
      <c r="AJ263" s="114" t="b">
        <v>0</v>
      </c>
      <c r="AK263" s="114" t="b">
        <v>0</v>
      </c>
      <c r="AL263" s="115" t="str">
        <f t="shared" si="1"/>
        <v>0 dari 31 (0%)</v>
      </c>
    </row>
    <row r="264" ht="22.5" customHeight="1">
      <c r="A264" s="10">
        <v>263.0</v>
      </c>
      <c r="B264" s="11"/>
      <c r="C264" s="140"/>
      <c r="D264" s="138"/>
      <c r="E264" s="138"/>
      <c r="F264" s="13"/>
      <c r="G264" s="114" t="b">
        <v>0</v>
      </c>
      <c r="H264" s="114" t="b">
        <v>0</v>
      </c>
      <c r="I264" s="114" t="b">
        <v>0</v>
      </c>
      <c r="J264" s="114" t="b">
        <v>0</v>
      </c>
      <c r="K264" s="114" t="b">
        <v>0</v>
      </c>
      <c r="L264" s="114" t="b">
        <v>0</v>
      </c>
      <c r="M264" s="114" t="b">
        <v>0</v>
      </c>
      <c r="N264" s="114" t="b">
        <v>0</v>
      </c>
      <c r="O264" s="114" t="b">
        <v>0</v>
      </c>
      <c r="P264" s="114" t="b">
        <v>0</v>
      </c>
      <c r="Q264" s="114" t="b">
        <v>0</v>
      </c>
      <c r="R264" s="114" t="b">
        <v>0</v>
      </c>
      <c r="S264" s="114" t="b">
        <v>0</v>
      </c>
      <c r="T264" s="114" t="b">
        <v>0</v>
      </c>
      <c r="U264" s="114" t="b">
        <v>0</v>
      </c>
      <c r="V264" s="114" t="b">
        <v>0</v>
      </c>
      <c r="W264" s="114" t="b">
        <v>0</v>
      </c>
      <c r="X264" s="114" t="b">
        <v>0</v>
      </c>
      <c r="Y264" s="114" t="b">
        <v>0</v>
      </c>
      <c r="Z264" s="114" t="b">
        <v>0</v>
      </c>
      <c r="AA264" s="114" t="b">
        <v>0</v>
      </c>
      <c r="AB264" s="114" t="b">
        <v>0</v>
      </c>
      <c r="AC264" s="114" t="b">
        <v>0</v>
      </c>
      <c r="AD264" s="114" t="b">
        <v>0</v>
      </c>
      <c r="AE264" s="114" t="b">
        <v>0</v>
      </c>
      <c r="AF264" s="114" t="b">
        <v>0</v>
      </c>
      <c r="AG264" s="114" t="b">
        <v>0</v>
      </c>
      <c r="AH264" s="114" t="b">
        <v>0</v>
      </c>
      <c r="AI264" s="114" t="b">
        <v>0</v>
      </c>
      <c r="AJ264" s="114" t="b">
        <v>0</v>
      </c>
      <c r="AK264" s="114" t="b">
        <v>0</v>
      </c>
      <c r="AL264" s="115" t="str">
        <f t="shared" si="1"/>
        <v>0 dari 31 (0%)</v>
      </c>
    </row>
    <row r="265" ht="22.5" customHeight="1">
      <c r="A265" s="10">
        <v>264.0</v>
      </c>
      <c r="B265" s="11"/>
      <c r="C265" s="140"/>
      <c r="D265" s="138"/>
      <c r="E265" s="138"/>
      <c r="F265" s="13"/>
      <c r="G265" s="114" t="b">
        <v>0</v>
      </c>
      <c r="H265" s="114" t="b">
        <v>0</v>
      </c>
      <c r="I265" s="114" t="b">
        <v>0</v>
      </c>
      <c r="J265" s="114" t="b">
        <v>0</v>
      </c>
      <c r="K265" s="114" t="b">
        <v>0</v>
      </c>
      <c r="L265" s="114" t="b">
        <v>0</v>
      </c>
      <c r="M265" s="114" t="b">
        <v>0</v>
      </c>
      <c r="N265" s="114" t="b">
        <v>0</v>
      </c>
      <c r="O265" s="114" t="b">
        <v>0</v>
      </c>
      <c r="P265" s="114" t="b">
        <v>0</v>
      </c>
      <c r="Q265" s="114" t="b">
        <v>0</v>
      </c>
      <c r="R265" s="114" t="b">
        <v>0</v>
      </c>
      <c r="S265" s="114" t="b">
        <v>0</v>
      </c>
      <c r="T265" s="114" t="b">
        <v>0</v>
      </c>
      <c r="U265" s="114" t="b">
        <v>0</v>
      </c>
      <c r="V265" s="114" t="b">
        <v>0</v>
      </c>
      <c r="W265" s="114" t="b">
        <v>0</v>
      </c>
      <c r="X265" s="114" t="b">
        <v>0</v>
      </c>
      <c r="Y265" s="114" t="b">
        <v>0</v>
      </c>
      <c r="Z265" s="114" t="b">
        <v>0</v>
      </c>
      <c r="AA265" s="114" t="b">
        <v>0</v>
      </c>
      <c r="AB265" s="114" t="b">
        <v>0</v>
      </c>
      <c r="AC265" s="114" t="b">
        <v>0</v>
      </c>
      <c r="AD265" s="114" t="b">
        <v>0</v>
      </c>
      <c r="AE265" s="114" t="b">
        <v>0</v>
      </c>
      <c r="AF265" s="114" t="b">
        <v>0</v>
      </c>
      <c r="AG265" s="114" t="b">
        <v>0</v>
      </c>
      <c r="AH265" s="114" t="b">
        <v>0</v>
      </c>
      <c r="AI265" s="114" t="b">
        <v>0</v>
      </c>
      <c r="AJ265" s="114" t="b">
        <v>0</v>
      </c>
      <c r="AK265" s="114" t="b">
        <v>0</v>
      </c>
      <c r="AL265" s="115" t="str">
        <f t="shared" si="1"/>
        <v>0 dari 31 (0%)</v>
      </c>
    </row>
    <row r="266" ht="22.5" customHeight="1">
      <c r="A266" s="2">
        <v>265.0</v>
      </c>
      <c r="B266" s="11"/>
      <c r="C266" s="140"/>
      <c r="D266" s="138"/>
      <c r="E266" s="138"/>
      <c r="F266" s="13"/>
      <c r="G266" s="114" t="b">
        <v>0</v>
      </c>
      <c r="H266" s="114" t="b">
        <v>0</v>
      </c>
      <c r="I266" s="114" t="b">
        <v>0</v>
      </c>
      <c r="J266" s="114" t="b">
        <v>0</v>
      </c>
      <c r="K266" s="114" t="b">
        <v>0</v>
      </c>
      <c r="L266" s="114" t="b">
        <v>0</v>
      </c>
      <c r="M266" s="114" t="b">
        <v>0</v>
      </c>
      <c r="N266" s="114" t="b">
        <v>0</v>
      </c>
      <c r="O266" s="114" t="b">
        <v>0</v>
      </c>
      <c r="P266" s="114" t="b">
        <v>0</v>
      </c>
      <c r="Q266" s="114" t="b">
        <v>0</v>
      </c>
      <c r="R266" s="114" t="b">
        <v>0</v>
      </c>
      <c r="S266" s="114" t="b">
        <v>0</v>
      </c>
      <c r="T266" s="114" t="b">
        <v>0</v>
      </c>
      <c r="U266" s="114" t="b">
        <v>0</v>
      </c>
      <c r="V266" s="114" t="b">
        <v>0</v>
      </c>
      <c r="W266" s="114" t="b">
        <v>0</v>
      </c>
      <c r="X266" s="114" t="b">
        <v>0</v>
      </c>
      <c r="Y266" s="114" t="b">
        <v>0</v>
      </c>
      <c r="Z266" s="114" t="b">
        <v>0</v>
      </c>
      <c r="AA266" s="114" t="b">
        <v>0</v>
      </c>
      <c r="AB266" s="114" t="b">
        <v>0</v>
      </c>
      <c r="AC266" s="114" t="b">
        <v>0</v>
      </c>
      <c r="AD266" s="114" t="b">
        <v>0</v>
      </c>
      <c r="AE266" s="114" t="b">
        <v>0</v>
      </c>
      <c r="AF266" s="114" t="b">
        <v>0</v>
      </c>
      <c r="AG266" s="114" t="b">
        <v>0</v>
      </c>
      <c r="AH266" s="114" t="b">
        <v>0</v>
      </c>
      <c r="AI266" s="114" t="b">
        <v>0</v>
      </c>
      <c r="AJ266" s="114" t="b">
        <v>0</v>
      </c>
      <c r="AK266" s="114" t="b">
        <v>0</v>
      </c>
      <c r="AL266" s="115" t="str">
        <f t="shared" si="1"/>
        <v>0 dari 31 (0%)</v>
      </c>
    </row>
    <row r="267" ht="22.5" customHeight="1">
      <c r="A267" s="10">
        <v>266.0</v>
      </c>
      <c r="B267" s="11"/>
      <c r="C267" s="140"/>
      <c r="D267" s="138"/>
      <c r="E267" s="138"/>
      <c r="F267" s="13"/>
      <c r="G267" s="114" t="b">
        <v>0</v>
      </c>
      <c r="H267" s="114" t="b">
        <v>0</v>
      </c>
      <c r="I267" s="114" t="b">
        <v>0</v>
      </c>
      <c r="J267" s="114" t="b">
        <v>0</v>
      </c>
      <c r="K267" s="114" t="b">
        <v>0</v>
      </c>
      <c r="L267" s="114" t="b">
        <v>0</v>
      </c>
      <c r="M267" s="114" t="b">
        <v>0</v>
      </c>
      <c r="N267" s="114" t="b">
        <v>0</v>
      </c>
      <c r="O267" s="114" t="b">
        <v>0</v>
      </c>
      <c r="P267" s="114" t="b">
        <v>0</v>
      </c>
      <c r="Q267" s="114" t="b">
        <v>0</v>
      </c>
      <c r="R267" s="114" t="b">
        <v>0</v>
      </c>
      <c r="S267" s="114" t="b">
        <v>0</v>
      </c>
      <c r="T267" s="114" t="b">
        <v>0</v>
      </c>
      <c r="U267" s="114" t="b">
        <v>0</v>
      </c>
      <c r="V267" s="114" t="b">
        <v>0</v>
      </c>
      <c r="W267" s="114" t="b">
        <v>0</v>
      </c>
      <c r="X267" s="114" t="b">
        <v>0</v>
      </c>
      <c r="Y267" s="114" t="b">
        <v>0</v>
      </c>
      <c r="Z267" s="114" t="b">
        <v>0</v>
      </c>
      <c r="AA267" s="114" t="b">
        <v>0</v>
      </c>
      <c r="AB267" s="114" t="b">
        <v>0</v>
      </c>
      <c r="AC267" s="114" t="b">
        <v>0</v>
      </c>
      <c r="AD267" s="114" t="b">
        <v>0</v>
      </c>
      <c r="AE267" s="114" t="b">
        <v>0</v>
      </c>
      <c r="AF267" s="114" t="b">
        <v>0</v>
      </c>
      <c r="AG267" s="114" t="b">
        <v>0</v>
      </c>
      <c r="AH267" s="114" t="b">
        <v>0</v>
      </c>
      <c r="AI267" s="114" t="b">
        <v>0</v>
      </c>
      <c r="AJ267" s="114" t="b">
        <v>0</v>
      </c>
      <c r="AK267" s="114" t="b">
        <v>0</v>
      </c>
      <c r="AL267" s="115" t="str">
        <f t="shared" si="1"/>
        <v>0 dari 31 (0%)</v>
      </c>
    </row>
    <row r="268" ht="22.5" customHeight="1">
      <c r="A268" s="2">
        <v>267.0</v>
      </c>
      <c r="B268" s="11"/>
      <c r="C268" s="140"/>
      <c r="D268" s="138"/>
      <c r="E268" s="138"/>
      <c r="F268" s="13"/>
      <c r="G268" s="114" t="b">
        <v>0</v>
      </c>
      <c r="H268" s="114" t="b">
        <v>0</v>
      </c>
      <c r="I268" s="114" t="b">
        <v>0</v>
      </c>
      <c r="J268" s="114" t="b">
        <v>0</v>
      </c>
      <c r="K268" s="114" t="b">
        <v>0</v>
      </c>
      <c r="L268" s="114" t="b">
        <v>0</v>
      </c>
      <c r="M268" s="114" t="b">
        <v>0</v>
      </c>
      <c r="N268" s="114" t="b">
        <v>0</v>
      </c>
      <c r="O268" s="114" t="b">
        <v>0</v>
      </c>
      <c r="P268" s="114" t="b">
        <v>0</v>
      </c>
      <c r="Q268" s="114" t="b">
        <v>0</v>
      </c>
      <c r="R268" s="114" t="b">
        <v>0</v>
      </c>
      <c r="S268" s="114" t="b">
        <v>0</v>
      </c>
      <c r="T268" s="114" t="b">
        <v>0</v>
      </c>
      <c r="U268" s="114" t="b">
        <v>0</v>
      </c>
      <c r="V268" s="114" t="b">
        <v>0</v>
      </c>
      <c r="W268" s="114" t="b">
        <v>0</v>
      </c>
      <c r="X268" s="114" t="b">
        <v>0</v>
      </c>
      <c r="Y268" s="114" t="b">
        <v>0</v>
      </c>
      <c r="Z268" s="114" t="b">
        <v>0</v>
      </c>
      <c r="AA268" s="114" t="b">
        <v>0</v>
      </c>
      <c r="AB268" s="114" t="b">
        <v>0</v>
      </c>
      <c r="AC268" s="114" t="b">
        <v>0</v>
      </c>
      <c r="AD268" s="114" t="b">
        <v>0</v>
      </c>
      <c r="AE268" s="114" t="b">
        <v>0</v>
      </c>
      <c r="AF268" s="114" t="b">
        <v>0</v>
      </c>
      <c r="AG268" s="114" t="b">
        <v>0</v>
      </c>
      <c r="AH268" s="114" t="b">
        <v>0</v>
      </c>
      <c r="AI268" s="114" t="b">
        <v>0</v>
      </c>
      <c r="AJ268" s="114" t="b">
        <v>0</v>
      </c>
      <c r="AK268" s="114" t="b">
        <v>0</v>
      </c>
      <c r="AL268" s="115" t="str">
        <f t="shared" si="1"/>
        <v>0 dari 31 (0%)</v>
      </c>
    </row>
    <row r="269" ht="22.5" customHeight="1">
      <c r="A269" s="10">
        <v>268.0</v>
      </c>
      <c r="B269" s="11"/>
      <c r="C269" s="140"/>
      <c r="D269" s="138"/>
      <c r="E269" s="138"/>
      <c r="F269" s="13"/>
      <c r="G269" s="114" t="b">
        <v>0</v>
      </c>
      <c r="H269" s="114" t="b">
        <v>0</v>
      </c>
      <c r="I269" s="114" t="b">
        <v>0</v>
      </c>
      <c r="J269" s="114" t="b">
        <v>0</v>
      </c>
      <c r="K269" s="114" t="b">
        <v>0</v>
      </c>
      <c r="L269" s="114" t="b">
        <v>0</v>
      </c>
      <c r="M269" s="114" t="b">
        <v>0</v>
      </c>
      <c r="N269" s="114" t="b">
        <v>0</v>
      </c>
      <c r="O269" s="114" t="b">
        <v>0</v>
      </c>
      <c r="P269" s="114" t="b">
        <v>0</v>
      </c>
      <c r="Q269" s="114" t="b">
        <v>0</v>
      </c>
      <c r="R269" s="114" t="b">
        <v>0</v>
      </c>
      <c r="S269" s="114" t="b">
        <v>0</v>
      </c>
      <c r="T269" s="114" t="b">
        <v>0</v>
      </c>
      <c r="U269" s="114" t="b">
        <v>0</v>
      </c>
      <c r="V269" s="114" t="b">
        <v>0</v>
      </c>
      <c r="W269" s="114" t="b">
        <v>0</v>
      </c>
      <c r="X269" s="114" t="b">
        <v>0</v>
      </c>
      <c r="Y269" s="114" t="b">
        <v>0</v>
      </c>
      <c r="Z269" s="114" t="b">
        <v>0</v>
      </c>
      <c r="AA269" s="114" t="b">
        <v>0</v>
      </c>
      <c r="AB269" s="114" t="b">
        <v>0</v>
      </c>
      <c r="AC269" s="114" t="b">
        <v>0</v>
      </c>
      <c r="AD269" s="114" t="b">
        <v>0</v>
      </c>
      <c r="AE269" s="114" t="b">
        <v>0</v>
      </c>
      <c r="AF269" s="114" t="b">
        <v>0</v>
      </c>
      <c r="AG269" s="114" t="b">
        <v>0</v>
      </c>
      <c r="AH269" s="114" t="b">
        <v>0</v>
      </c>
      <c r="AI269" s="114" t="b">
        <v>0</v>
      </c>
      <c r="AJ269" s="114" t="b">
        <v>0</v>
      </c>
      <c r="AK269" s="114" t="b">
        <v>0</v>
      </c>
      <c r="AL269" s="115" t="str">
        <f t="shared" si="1"/>
        <v>0 dari 31 (0%)</v>
      </c>
    </row>
    <row r="270" ht="22.5" customHeight="1">
      <c r="A270" s="10">
        <v>269.0</v>
      </c>
      <c r="B270" s="11"/>
      <c r="C270" s="140"/>
      <c r="D270" s="138"/>
      <c r="E270" s="138"/>
      <c r="F270" s="13"/>
      <c r="G270" s="114" t="b">
        <v>0</v>
      </c>
      <c r="H270" s="114" t="b">
        <v>0</v>
      </c>
      <c r="I270" s="114" t="b">
        <v>0</v>
      </c>
      <c r="J270" s="114" t="b">
        <v>0</v>
      </c>
      <c r="K270" s="114" t="b">
        <v>0</v>
      </c>
      <c r="L270" s="114" t="b">
        <v>0</v>
      </c>
      <c r="M270" s="114" t="b">
        <v>0</v>
      </c>
      <c r="N270" s="114" t="b">
        <v>0</v>
      </c>
      <c r="O270" s="114" t="b">
        <v>0</v>
      </c>
      <c r="P270" s="114" t="b">
        <v>0</v>
      </c>
      <c r="Q270" s="114" t="b">
        <v>0</v>
      </c>
      <c r="R270" s="114" t="b">
        <v>0</v>
      </c>
      <c r="S270" s="114" t="b">
        <v>0</v>
      </c>
      <c r="T270" s="114" t="b">
        <v>0</v>
      </c>
      <c r="U270" s="114" t="b">
        <v>0</v>
      </c>
      <c r="V270" s="114" t="b">
        <v>0</v>
      </c>
      <c r="W270" s="114" t="b">
        <v>0</v>
      </c>
      <c r="X270" s="114" t="b">
        <v>0</v>
      </c>
      <c r="Y270" s="114" t="b">
        <v>0</v>
      </c>
      <c r="Z270" s="114" t="b">
        <v>0</v>
      </c>
      <c r="AA270" s="114" t="b">
        <v>0</v>
      </c>
      <c r="AB270" s="114" t="b">
        <v>0</v>
      </c>
      <c r="AC270" s="114" t="b">
        <v>0</v>
      </c>
      <c r="AD270" s="114" t="b">
        <v>0</v>
      </c>
      <c r="AE270" s="114" t="b">
        <v>0</v>
      </c>
      <c r="AF270" s="114" t="b">
        <v>0</v>
      </c>
      <c r="AG270" s="114" t="b">
        <v>0</v>
      </c>
      <c r="AH270" s="114" t="b">
        <v>0</v>
      </c>
      <c r="AI270" s="114" t="b">
        <v>0</v>
      </c>
      <c r="AJ270" s="114" t="b">
        <v>0</v>
      </c>
      <c r="AK270" s="114" t="b">
        <v>0</v>
      </c>
      <c r="AL270" s="115" t="str">
        <f t="shared" si="1"/>
        <v>0 dari 31 (0%)</v>
      </c>
    </row>
    <row r="271" ht="22.5" customHeight="1">
      <c r="A271" s="2">
        <v>270.0</v>
      </c>
      <c r="B271" s="11"/>
      <c r="C271" s="140"/>
      <c r="D271" s="138"/>
      <c r="E271" s="138"/>
      <c r="F271" s="13"/>
      <c r="G271" s="114" t="b">
        <v>0</v>
      </c>
      <c r="H271" s="114" t="b">
        <v>0</v>
      </c>
      <c r="I271" s="114" t="b">
        <v>0</v>
      </c>
      <c r="J271" s="114" t="b">
        <v>0</v>
      </c>
      <c r="K271" s="114" t="b">
        <v>0</v>
      </c>
      <c r="L271" s="114" t="b">
        <v>0</v>
      </c>
      <c r="M271" s="114" t="b">
        <v>0</v>
      </c>
      <c r="N271" s="114" t="b">
        <v>0</v>
      </c>
      <c r="O271" s="114" t="b">
        <v>0</v>
      </c>
      <c r="P271" s="114" t="b">
        <v>0</v>
      </c>
      <c r="Q271" s="114" t="b">
        <v>0</v>
      </c>
      <c r="R271" s="114" t="b">
        <v>0</v>
      </c>
      <c r="S271" s="114" t="b">
        <v>0</v>
      </c>
      <c r="T271" s="114" t="b">
        <v>0</v>
      </c>
      <c r="U271" s="114" t="b">
        <v>0</v>
      </c>
      <c r="V271" s="114" t="b">
        <v>0</v>
      </c>
      <c r="W271" s="114" t="b">
        <v>0</v>
      </c>
      <c r="X271" s="114" t="b">
        <v>0</v>
      </c>
      <c r="Y271" s="114" t="b">
        <v>0</v>
      </c>
      <c r="Z271" s="114" t="b">
        <v>0</v>
      </c>
      <c r="AA271" s="114" t="b">
        <v>0</v>
      </c>
      <c r="AB271" s="114" t="b">
        <v>0</v>
      </c>
      <c r="AC271" s="114" t="b">
        <v>0</v>
      </c>
      <c r="AD271" s="114" t="b">
        <v>0</v>
      </c>
      <c r="AE271" s="114" t="b">
        <v>0</v>
      </c>
      <c r="AF271" s="114" t="b">
        <v>0</v>
      </c>
      <c r="AG271" s="114" t="b">
        <v>0</v>
      </c>
      <c r="AH271" s="114" t="b">
        <v>0</v>
      </c>
      <c r="AI271" s="114" t="b">
        <v>0</v>
      </c>
      <c r="AJ271" s="114" t="b">
        <v>0</v>
      </c>
      <c r="AK271" s="114" t="b">
        <v>0</v>
      </c>
      <c r="AL271" s="115" t="str">
        <f t="shared" si="1"/>
        <v>0 dari 31 (0%)</v>
      </c>
    </row>
    <row r="273">
      <c r="B273" s="71" t="s">
        <v>38</v>
      </c>
      <c r="C273" s="72"/>
      <c r="D273" s="72"/>
      <c r="E273" s="72"/>
      <c r="F273" s="73"/>
      <c r="G273" s="74">
        <f>COUNTIF(JULI_22[ID Encounter], TRUE)</f>
        <v>0</v>
      </c>
      <c r="H273" s="74">
        <f>COUNTIF(JULI_22[ID Condition], TRUE)</f>
        <v>0</v>
      </c>
      <c r="I273" s="74">
        <f>COUNTIF(JULI_22[ID Clinical Impression], TRUE)</f>
        <v>0</v>
      </c>
      <c r="J273" s="74">
        <f>COUNTIF(JULI_22[ID Observation Tensi], TRUE)</f>
        <v>0</v>
      </c>
      <c r="K273" s="74">
        <f>COUNTIF(JULI_22[ID Observation Nadi], TRUE)</f>
        <v>0</v>
      </c>
      <c r="L273" s="74">
        <f>COUNTIF(JULI_22[ID Observation RR], TRUE)</f>
        <v>0</v>
      </c>
      <c r="M273" s="74">
        <f>COUNTIF(JULI_22[ID Observation Suhu], TRUE)</f>
        <v>0</v>
      </c>
      <c r="N273" s="74">
        <f>COUNTIF(JULI_22[ID Observation SPO2], TRUE)</f>
        <v>0</v>
      </c>
      <c r="O273" s="74">
        <f>COUNTIF(JULI_22[ID Observation GCS], TRUE)</f>
        <v>0</v>
      </c>
      <c r="P273" s="74">
        <f>COUNTIF(JULI_22[ID Observation Tinggi], TRUE)</f>
        <v>0</v>
      </c>
      <c r="Q273" s="74">
        <f>COUNTIF(JULI_22[ID Observation Berat], TRUE)</f>
        <v>0</v>
      </c>
      <c r="R273" s="74">
        <f>COUNTIF(JULI_22[ID Observation Perut], TRUE)</f>
        <v>0</v>
      </c>
      <c r="S273" s="74">
        <f>COUNTIF(JULI_22[ID Observation Kesadaran], TRUE)</f>
        <v>0</v>
      </c>
      <c r="T273" s="74">
        <f>COUNTIF(JULI_22[ID Procedure], TRUE)</f>
        <v>0</v>
      </c>
      <c r="U273" s="74">
        <f>COUNTIF(JULI_22[ID Composition], TRUE)</f>
        <v>0</v>
      </c>
      <c r="V273" s="74">
        <f>COUNTIF(JULI_22[ID Vaksin/Imunisasi], TRUE)</f>
        <v>0</v>
      </c>
      <c r="W273" s="74">
        <f>COUNTIF(JULI_22[ID Medication Request], TRUE)</f>
        <v>0</v>
      </c>
      <c r="X273" s="74">
        <f>COUNTIF(JULI_22[ID Medication Dispense], TRUE)</f>
        <v>0</v>
      </c>
      <c r="Y273" s="74">
        <f>COUNTIF(JULI_22[ID Medication Statement], TRUE)</f>
        <v>0</v>
      </c>
      <c r="Z273" s="74">
        <f>COUNTIF(JULI_22[ID Service Request Radiologi], TRUE)</f>
        <v>0</v>
      </c>
      <c r="AA273" s="74">
        <f>COUNTIF(JULI_22[ID Specimen Radiologi], TRUE)</f>
        <v>0</v>
      </c>
      <c r="AB273" s="74">
        <f>COUNTIF(JULI_22[ID Observation Radiologi], TRUE)</f>
        <v>0</v>
      </c>
      <c r="AC273" s="74">
        <f>COUNTIF(JULI_22[ID Diagnostic Report Radiologi], TRUE)</f>
        <v>0</v>
      </c>
      <c r="AD273" s="74">
        <f>COUNTIF(JULI_22[Image Study], TRUE)</f>
        <v>0</v>
      </c>
      <c r="AE273" s="74">
        <f>COUNTIF(JULI_22[ID Service Request Lab PK], TRUE)</f>
        <v>0</v>
      </c>
      <c r="AF273" s="74">
        <f>COUNTIF(JULI_22[ID Specimen Lab PK], TRUE)</f>
        <v>0</v>
      </c>
      <c r="AG273" s="74">
        <f>COUNTIF(JULI_22[ID Observation Lab PK], TRUE)</f>
        <v>0</v>
      </c>
      <c r="AH273" s="74">
        <f>COUNTIF(JULI_22[ID Diagnostic Report Lab PK], TRUE)</f>
        <v>0</v>
      </c>
      <c r="AI273" s="74">
        <f>COUNTIF(JULI_22[ID Care Plan], TRUE)</f>
        <v>0</v>
      </c>
      <c r="AJ273" s="74">
        <f>COUNTIF(JULI_22[ID Allergy], TRUE)</f>
        <v>0</v>
      </c>
      <c r="AK273" s="74">
        <f>COUNTIF(JULI_22[ID Questionnaire], TRUE)</f>
        <v>0</v>
      </c>
      <c r="AL273" s="75" t="str">
        <f>COUNTIF(JULI_22[[ID Encounter]:[ID Questionnaire]], TRUE()) &amp; " dari " &amp; (ROWS(JULI_22[[ID Encounter]:[ID Questionnaire]])*COLUMNS(JULI_22[[ID Encounter]:[ID Questionnaire]])) &amp; " (" &amp; TEXT(COUNTIF(JULI_22[[ID Encounter]:[ID Questionnaire]], TRUE())/(ROWS(JULI_22[[ID Encounter]:[ID Questionnaire]])*COLUMNS(JULI_22[[ID Encounter]:[ID Questionnaire]])),"0%") &amp; ")"</f>
        <v>0 dari 8370 (0%)</v>
      </c>
    </row>
    <row r="274">
      <c r="B274" s="76"/>
      <c r="C274" s="77"/>
      <c r="D274" s="77"/>
      <c r="E274" s="77"/>
      <c r="F274" s="78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</sheetData>
  <mergeCells count="33">
    <mergeCell ref="B273:F274"/>
    <mergeCell ref="G273:G274"/>
    <mergeCell ref="H273:H274"/>
    <mergeCell ref="I273:I274"/>
    <mergeCell ref="J273:J274"/>
    <mergeCell ref="K273:K274"/>
    <mergeCell ref="L273:L274"/>
    <mergeCell ref="M273:M274"/>
    <mergeCell ref="N273:N274"/>
    <mergeCell ref="O273:O274"/>
    <mergeCell ref="P273:P274"/>
    <mergeCell ref="Q273:Q274"/>
    <mergeCell ref="R273:R274"/>
    <mergeCell ref="S273:S274"/>
    <mergeCell ref="AH273:AH274"/>
    <mergeCell ref="AI273:AI274"/>
    <mergeCell ref="AJ273:AJ274"/>
    <mergeCell ref="AK273:AK274"/>
    <mergeCell ref="AL273:AL274"/>
    <mergeCell ref="AA273:AA274"/>
    <mergeCell ref="AB273:AB274"/>
    <mergeCell ref="AC273:AC274"/>
    <mergeCell ref="AD273:AD274"/>
    <mergeCell ref="AE273:AE274"/>
    <mergeCell ref="AF273:AF274"/>
    <mergeCell ref="AG273:AG274"/>
    <mergeCell ref="T273:T274"/>
    <mergeCell ref="U273:U274"/>
    <mergeCell ref="V273:V274"/>
    <mergeCell ref="W273:W274"/>
    <mergeCell ref="X273:X274"/>
    <mergeCell ref="Y273:Y274"/>
    <mergeCell ref="Z273:Z274"/>
  </mergeCell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63"/>
    <col customWidth="1" min="5" max="5" width="50.38"/>
    <col customWidth="1" min="6" max="6" width="20.75"/>
    <col customWidth="1" min="8" max="8" width="14.75"/>
    <col customWidth="1" min="9" max="9" width="21.88"/>
    <col customWidth="1" min="10" max="10" width="21.0"/>
    <col customWidth="1" min="11" max="11" width="20.38"/>
    <col customWidth="1" min="12" max="12" width="19.13"/>
    <col customWidth="1" min="38" max="38" width="17.0"/>
  </cols>
  <sheetData>
    <row r="1" ht="22.5" customHeight="1">
      <c r="A1" s="12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ht="22.5" customHeight="1">
      <c r="A2" s="2">
        <v>1.0</v>
      </c>
      <c r="B2" s="3">
        <v>46211.0</v>
      </c>
      <c r="C2" s="22"/>
      <c r="D2" s="138"/>
      <c r="E2" s="138"/>
      <c r="F2" s="13"/>
      <c r="G2" s="6" t="b">
        <v>0</v>
      </c>
      <c r="H2" s="6" t="b">
        <v>0</v>
      </c>
      <c r="I2" s="6" t="b">
        <v>0</v>
      </c>
      <c r="J2" s="6" t="b">
        <v>0</v>
      </c>
      <c r="K2" s="6" t="b">
        <v>0</v>
      </c>
      <c r="L2" s="6" t="b">
        <v>0</v>
      </c>
      <c r="M2" s="6" t="b">
        <v>0</v>
      </c>
      <c r="N2" s="6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9" t="str">
        <f t="shared" ref="AL2:AL271" si="1">COUNTIF(G2:AK2, TRUE()) &amp; " dari " &amp; COLUMNS(G2:AK2) &amp; " (" &amp; TEXT(COUNTIF(G2:AK2, TRUE())/COLUMNS(G2:AK2),"0%") &amp; ")"</f>
        <v>0 dari 31 (0%)</v>
      </c>
    </row>
    <row r="3" ht="22.5" customHeight="1">
      <c r="A3" s="10">
        <v>2.0</v>
      </c>
      <c r="B3" s="11"/>
      <c r="D3" s="138"/>
      <c r="E3" s="138"/>
      <c r="F3" s="13"/>
      <c r="G3" s="16" t="b">
        <v>0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6" t="b">
        <v>0</v>
      </c>
      <c r="O3" s="16" t="b">
        <v>0</v>
      </c>
      <c r="P3" s="16" t="b">
        <v>0</v>
      </c>
      <c r="Q3" s="16" t="b">
        <v>0</v>
      </c>
      <c r="R3" s="16" t="b">
        <v>0</v>
      </c>
      <c r="S3" s="16" t="b">
        <v>0</v>
      </c>
      <c r="T3" s="16" t="b">
        <v>0</v>
      </c>
      <c r="U3" s="16" t="b">
        <v>0</v>
      </c>
      <c r="V3" s="16" t="b">
        <v>0</v>
      </c>
      <c r="W3" s="16" t="b">
        <v>0</v>
      </c>
      <c r="X3" s="16" t="b">
        <v>0</v>
      </c>
      <c r="Y3" s="16" t="b">
        <v>0</v>
      </c>
      <c r="Z3" s="16" t="b">
        <v>0</v>
      </c>
      <c r="AA3" s="16" t="b">
        <v>0</v>
      </c>
      <c r="AB3" s="16" t="b">
        <v>0</v>
      </c>
      <c r="AC3" s="16" t="b">
        <v>0</v>
      </c>
      <c r="AD3" s="16" t="b">
        <v>0</v>
      </c>
      <c r="AE3" s="16" t="b">
        <v>0</v>
      </c>
      <c r="AF3" s="16" t="b">
        <v>0</v>
      </c>
      <c r="AG3" s="16" t="b">
        <v>0</v>
      </c>
      <c r="AH3" s="16" t="b">
        <v>0</v>
      </c>
      <c r="AI3" s="16" t="b">
        <v>0</v>
      </c>
      <c r="AJ3" s="16" t="b">
        <v>0</v>
      </c>
      <c r="AK3" s="16" t="b">
        <v>0</v>
      </c>
      <c r="AL3" s="17" t="str">
        <f t="shared" si="1"/>
        <v>0 dari 31 (0%)</v>
      </c>
    </row>
    <row r="4" ht="22.5" customHeight="1">
      <c r="A4" s="2">
        <v>3.0</v>
      </c>
      <c r="B4" s="18"/>
      <c r="C4" s="22"/>
      <c r="D4" s="138"/>
      <c r="E4" s="138"/>
      <c r="F4" s="13"/>
      <c r="G4" s="6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9" t="str">
        <f t="shared" si="1"/>
        <v>0 dari 31 (0%)</v>
      </c>
    </row>
    <row r="5" ht="22.5" customHeight="1">
      <c r="A5" s="10">
        <v>4.0</v>
      </c>
      <c r="B5" s="11"/>
      <c r="D5" s="138"/>
      <c r="E5" s="138"/>
      <c r="F5" s="13"/>
      <c r="G5" s="16" t="b">
        <v>0</v>
      </c>
      <c r="H5" s="16" t="b">
        <v>0</v>
      </c>
      <c r="I5" s="16" t="b">
        <v>0</v>
      </c>
      <c r="J5" s="16" t="b">
        <v>0</v>
      </c>
      <c r="K5" s="16" t="b">
        <v>0</v>
      </c>
      <c r="L5" s="16" t="b">
        <v>0</v>
      </c>
      <c r="M5" s="16" t="b">
        <v>0</v>
      </c>
      <c r="N5" s="16" t="b">
        <v>0</v>
      </c>
      <c r="O5" s="16" t="b">
        <v>0</v>
      </c>
      <c r="P5" s="16" t="b">
        <v>0</v>
      </c>
      <c r="Q5" s="16" t="b">
        <v>0</v>
      </c>
      <c r="R5" s="16" t="b">
        <v>0</v>
      </c>
      <c r="S5" s="16" t="b">
        <v>0</v>
      </c>
      <c r="T5" s="16" t="b">
        <v>0</v>
      </c>
      <c r="U5" s="16" t="b">
        <v>0</v>
      </c>
      <c r="V5" s="16" t="b">
        <v>0</v>
      </c>
      <c r="W5" s="16" t="b">
        <v>0</v>
      </c>
      <c r="X5" s="16" t="b">
        <v>0</v>
      </c>
      <c r="Y5" s="16" t="b">
        <v>0</v>
      </c>
      <c r="Z5" s="16" t="b">
        <v>0</v>
      </c>
      <c r="AA5" s="16" t="b">
        <v>0</v>
      </c>
      <c r="AB5" s="16" t="b">
        <v>0</v>
      </c>
      <c r="AC5" s="16" t="b">
        <v>0</v>
      </c>
      <c r="AD5" s="16" t="b">
        <v>0</v>
      </c>
      <c r="AE5" s="16" t="b">
        <v>0</v>
      </c>
      <c r="AF5" s="16" t="b">
        <v>0</v>
      </c>
      <c r="AG5" s="16" t="b">
        <v>0</v>
      </c>
      <c r="AH5" s="16" t="b">
        <v>0</v>
      </c>
      <c r="AI5" s="16" t="b">
        <v>0</v>
      </c>
      <c r="AJ5" s="16" t="b">
        <v>0</v>
      </c>
      <c r="AK5" s="16" t="b">
        <v>0</v>
      </c>
      <c r="AL5" s="17" t="str">
        <f t="shared" si="1"/>
        <v>0 dari 31 (0%)</v>
      </c>
    </row>
    <row r="6" ht="22.5" customHeight="1">
      <c r="A6" s="2">
        <v>5.0</v>
      </c>
      <c r="B6" s="18"/>
      <c r="C6" s="22"/>
      <c r="D6" s="138"/>
      <c r="E6" s="138"/>
      <c r="F6" s="13"/>
      <c r="G6" s="6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9" t="str">
        <f t="shared" si="1"/>
        <v>0 dari 31 (0%)</v>
      </c>
    </row>
    <row r="7" ht="22.5" customHeight="1">
      <c r="A7" s="10">
        <v>6.0</v>
      </c>
      <c r="B7" s="11"/>
      <c r="D7" s="138"/>
      <c r="E7" s="138"/>
      <c r="F7" s="13"/>
      <c r="G7" s="16" t="b">
        <v>0</v>
      </c>
      <c r="H7" s="16" t="b">
        <v>0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  <c r="N7" s="16" t="b">
        <v>0</v>
      </c>
      <c r="O7" s="16" t="b">
        <v>0</v>
      </c>
      <c r="P7" s="16" t="b">
        <v>0</v>
      </c>
      <c r="Q7" s="16" t="b">
        <v>0</v>
      </c>
      <c r="R7" s="16" t="b">
        <v>0</v>
      </c>
      <c r="S7" s="16" t="b">
        <v>0</v>
      </c>
      <c r="T7" s="16" t="b">
        <v>0</v>
      </c>
      <c r="U7" s="16" t="b">
        <v>0</v>
      </c>
      <c r="V7" s="16" t="b">
        <v>0</v>
      </c>
      <c r="W7" s="16" t="b">
        <v>0</v>
      </c>
      <c r="X7" s="16" t="b">
        <v>0</v>
      </c>
      <c r="Y7" s="16" t="b">
        <v>0</v>
      </c>
      <c r="Z7" s="16" t="b">
        <v>0</v>
      </c>
      <c r="AA7" s="16" t="b">
        <v>0</v>
      </c>
      <c r="AB7" s="16" t="b">
        <v>0</v>
      </c>
      <c r="AC7" s="16" t="b">
        <v>0</v>
      </c>
      <c r="AD7" s="16" t="b">
        <v>0</v>
      </c>
      <c r="AE7" s="16" t="b">
        <v>0</v>
      </c>
      <c r="AF7" s="16" t="b">
        <v>0</v>
      </c>
      <c r="AG7" s="16" t="b">
        <v>0</v>
      </c>
      <c r="AH7" s="16" t="b">
        <v>0</v>
      </c>
      <c r="AI7" s="16" t="b">
        <v>0</v>
      </c>
      <c r="AJ7" s="16" t="b">
        <v>0</v>
      </c>
      <c r="AK7" s="16" t="b">
        <v>0</v>
      </c>
      <c r="AL7" s="17" t="str">
        <f t="shared" si="1"/>
        <v>0 dari 31 (0%)</v>
      </c>
    </row>
    <row r="8" ht="22.5" customHeight="1">
      <c r="A8" s="2">
        <v>7.0</v>
      </c>
      <c r="B8" s="18"/>
      <c r="C8" s="22"/>
      <c r="D8" s="138"/>
      <c r="E8" s="138"/>
      <c r="F8" s="13"/>
      <c r="G8" s="6" t="b">
        <v>0</v>
      </c>
      <c r="H8" s="6" t="b">
        <v>0</v>
      </c>
      <c r="I8" s="6" t="b">
        <v>0</v>
      </c>
      <c r="J8" s="6" t="b">
        <v>0</v>
      </c>
      <c r="K8" s="6" t="b">
        <v>0</v>
      </c>
      <c r="L8" s="6" t="b">
        <v>0</v>
      </c>
      <c r="M8" s="6" t="b">
        <v>0</v>
      </c>
      <c r="N8" s="6" t="b">
        <v>0</v>
      </c>
      <c r="O8" s="6" t="b">
        <v>0</v>
      </c>
      <c r="P8" s="6" t="b">
        <v>0</v>
      </c>
      <c r="Q8" s="6" t="b">
        <v>0</v>
      </c>
      <c r="R8" s="6" t="b">
        <v>0</v>
      </c>
      <c r="S8" s="6" t="b">
        <v>0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9" t="str">
        <f t="shared" si="1"/>
        <v>0 dari 31 (0%)</v>
      </c>
    </row>
    <row r="9" ht="22.5" customHeight="1">
      <c r="A9" s="10">
        <v>8.0</v>
      </c>
      <c r="B9" s="11"/>
      <c r="C9" s="22"/>
      <c r="D9" s="138"/>
      <c r="E9" s="138"/>
      <c r="F9" s="13"/>
      <c r="G9" s="16" t="b">
        <v>0</v>
      </c>
      <c r="H9" s="16" t="b">
        <v>0</v>
      </c>
      <c r="I9" s="16" t="b">
        <v>0</v>
      </c>
      <c r="J9" s="16" t="b">
        <v>0</v>
      </c>
      <c r="K9" s="16" t="b">
        <v>0</v>
      </c>
      <c r="L9" s="16" t="b">
        <v>0</v>
      </c>
      <c r="M9" s="16" t="b">
        <v>0</v>
      </c>
      <c r="N9" s="16" t="b">
        <v>0</v>
      </c>
      <c r="O9" s="16" t="b">
        <v>0</v>
      </c>
      <c r="P9" s="16" t="b">
        <v>0</v>
      </c>
      <c r="Q9" s="16" t="b">
        <v>0</v>
      </c>
      <c r="R9" s="16" t="b">
        <v>0</v>
      </c>
      <c r="S9" s="16" t="b">
        <v>0</v>
      </c>
      <c r="T9" s="16" t="b">
        <v>0</v>
      </c>
      <c r="U9" s="16" t="b">
        <v>0</v>
      </c>
      <c r="V9" s="16" t="b">
        <v>0</v>
      </c>
      <c r="W9" s="16" t="b">
        <v>0</v>
      </c>
      <c r="X9" s="16" t="b">
        <v>0</v>
      </c>
      <c r="Y9" s="16" t="b">
        <v>0</v>
      </c>
      <c r="Z9" s="16" t="b">
        <v>0</v>
      </c>
      <c r="AA9" s="16" t="b">
        <v>0</v>
      </c>
      <c r="AB9" s="16" t="b">
        <v>0</v>
      </c>
      <c r="AC9" s="16" t="b">
        <v>0</v>
      </c>
      <c r="AD9" s="16" t="b">
        <v>0</v>
      </c>
      <c r="AE9" s="16" t="b">
        <v>0</v>
      </c>
      <c r="AF9" s="16" t="b">
        <v>0</v>
      </c>
      <c r="AG9" s="16" t="b">
        <v>0</v>
      </c>
      <c r="AH9" s="16" t="b">
        <v>0</v>
      </c>
      <c r="AI9" s="16" t="b">
        <v>0</v>
      </c>
      <c r="AJ9" s="16" t="b">
        <v>0</v>
      </c>
      <c r="AK9" s="16" t="b">
        <v>0</v>
      </c>
      <c r="AL9" s="17" t="str">
        <f t="shared" si="1"/>
        <v>0 dari 31 (0%)</v>
      </c>
    </row>
    <row r="10" ht="22.5" customHeight="1">
      <c r="A10" s="2">
        <v>9.0</v>
      </c>
      <c r="B10" s="18"/>
      <c r="D10" s="138"/>
      <c r="E10" s="138"/>
      <c r="F10" s="13"/>
      <c r="G10" s="6" t="b">
        <v>0</v>
      </c>
      <c r="H10" s="6" t="b">
        <v>0</v>
      </c>
      <c r="I10" s="6" t="b">
        <v>0</v>
      </c>
      <c r="J10" s="6" t="b">
        <v>0</v>
      </c>
      <c r="K10" s="6" t="b">
        <v>0</v>
      </c>
      <c r="L10" s="6" t="b">
        <v>0</v>
      </c>
      <c r="M10" s="6" t="b">
        <v>0</v>
      </c>
      <c r="N10" s="6" t="b">
        <v>0</v>
      </c>
      <c r="O10" s="6" t="b">
        <v>0</v>
      </c>
      <c r="P10" s="6" t="b">
        <v>0</v>
      </c>
      <c r="Q10" s="6" t="b">
        <v>0</v>
      </c>
      <c r="R10" s="6" t="b">
        <v>0</v>
      </c>
      <c r="S10" s="6" t="b">
        <v>0</v>
      </c>
      <c r="T10" s="6" t="b">
        <v>0</v>
      </c>
      <c r="U10" s="6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6" t="b">
        <v>0</v>
      </c>
      <c r="AB10" s="6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9" t="str">
        <f t="shared" si="1"/>
        <v>0 dari 31 (0%)</v>
      </c>
    </row>
    <row r="11" ht="22.5" customHeight="1">
      <c r="A11" s="10">
        <v>10.0</v>
      </c>
      <c r="B11" s="11"/>
      <c r="C11" s="22"/>
      <c r="D11" s="138"/>
      <c r="E11" s="138"/>
      <c r="F11" s="13"/>
      <c r="G11" s="16" t="b">
        <v>0</v>
      </c>
      <c r="H11" s="16" t="b">
        <v>0</v>
      </c>
      <c r="I11" s="16" t="b">
        <v>0</v>
      </c>
      <c r="J11" s="16" t="b">
        <v>0</v>
      </c>
      <c r="K11" s="16" t="b">
        <v>0</v>
      </c>
      <c r="L11" s="16" t="b">
        <v>0</v>
      </c>
      <c r="M11" s="16" t="b">
        <v>0</v>
      </c>
      <c r="N11" s="16" t="b">
        <v>0</v>
      </c>
      <c r="O11" s="16" t="b">
        <v>0</v>
      </c>
      <c r="P11" s="16" t="b">
        <v>0</v>
      </c>
      <c r="Q11" s="16" t="b">
        <v>0</v>
      </c>
      <c r="R11" s="16" t="b">
        <v>0</v>
      </c>
      <c r="S11" s="16" t="b">
        <v>0</v>
      </c>
      <c r="T11" s="16" t="b">
        <v>0</v>
      </c>
      <c r="U11" s="16" t="b">
        <v>0</v>
      </c>
      <c r="V11" s="16" t="b">
        <v>0</v>
      </c>
      <c r="W11" s="16" t="b">
        <v>0</v>
      </c>
      <c r="X11" s="16" t="b">
        <v>0</v>
      </c>
      <c r="Y11" s="16" t="b">
        <v>0</v>
      </c>
      <c r="Z11" s="16" t="b">
        <v>0</v>
      </c>
      <c r="AA11" s="16" t="b">
        <v>0</v>
      </c>
      <c r="AB11" s="16" t="b">
        <v>0</v>
      </c>
      <c r="AC11" s="16" t="b">
        <v>0</v>
      </c>
      <c r="AD11" s="16" t="b">
        <v>0</v>
      </c>
      <c r="AE11" s="16" t="b">
        <v>0</v>
      </c>
      <c r="AF11" s="16" t="b">
        <v>0</v>
      </c>
      <c r="AG11" s="16" t="b">
        <v>0</v>
      </c>
      <c r="AH11" s="16" t="b">
        <v>0</v>
      </c>
      <c r="AI11" s="16" t="b">
        <v>0</v>
      </c>
      <c r="AJ11" s="16" t="b">
        <v>0</v>
      </c>
      <c r="AK11" s="16" t="b">
        <v>0</v>
      </c>
      <c r="AL11" s="17" t="str">
        <f t="shared" si="1"/>
        <v>0 dari 31 (0%)</v>
      </c>
    </row>
    <row r="12" ht="22.5" customHeight="1">
      <c r="A12" s="2">
        <v>11.0</v>
      </c>
      <c r="B12" s="18"/>
      <c r="D12" s="138"/>
      <c r="E12" s="138"/>
      <c r="F12" s="13"/>
      <c r="G12" s="6" t="b">
        <v>0</v>
      </c>
      <c r="H12" s="6" t="b">
        <v>0</v>
      </c>
      <c r="I12" s="6" t="b">
        <v>0</v>
      </c>
      <c r="J12" s="6" t="b">
        <v>0</v>
      </c>
      <c r="K12" s="6" t="b">
        <v>0</v>
      </c>
      <c r="L12" s="6" t="b">
        <v>0</v>
      </c>
      <c r="M12" s="6" t="b">
        <v>0</v>
      </c>
      <c r="N12" s="6" t="b">
        <v>0</v>
      </c>
      <c r="O12" s="6" t="b">
        <v>0</v>
      </c>
      <c r="P12" s="6" t="b">
        <v>0</v>
      </c>
      <c r="Q12" s="6" t="b">
        <v>0</v>
      </c>
      <c r="R12" s="6" t="b">
        <v>0</v>
      </c>
      <c r="S12" s="6" t="b">
        <v>0</v>
      </c>
      <c r="T12" s="6" t="b">
        <v>0</v>
      </c>
      <c r="U12" s="6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9" t="str">
        <f t="shared" si="1"/>
        <v>0 dari 31 (0%)</v>
      </c>
    </row>
    <row r="13" ht="22.5" customHeight="1">
      <c r="A13" s="10">
        <v>12.0</v>
      </c>
      <c r="B13" s="11"/>
      <c r="C13" s="22"/>
      <c r="D13" s="138"/>
      <c r="E13" s="138"/>
      <c r="F13" s="13"/>
      <c r="G13" s="16" t="b">
        <v>0</v>
      </c>
      <c r="H13" s="16" t="b">
        <v>0</v>
      </c>
      <c r="I13" s="16" t="b">
        <v>0</v>
      </c>
      <c r="J13" s="16" t="b">
        <v>0</v>
      </c>
      <c r="K13" s="16" t="b">
        <v>0</v>
      </c>
      <c r="L13" s="16" t="b">
        <v>0</v>
      </c>
      <c r="M13" s="16" t="b">
        <v>0</v>
      </c>
      <c r="N13" s="16" t="b">
        <v>0</v>
      </c>
      <c r="O13" s="16" t="b">
        <v>0</v>
      </c>
      <c r="P13" s="16" t="b">
        <v>0</v>
      </c>
      <c r="Q13" s="16" t="b">
        <v>0</v>
      </c>
      <c r="R13" s="16" t="b">
        <v>0</v>
      </c>
      <c r="S13" s="16" t="b">
        <v>0</v>
      </c>
      <c r="T13" s="16" t="b">
        <v>0</v>
      </c>
      <c r="U13" s="16" t="b">
        <v>0</v>
      </c>
      <c r="V13" s="16" t="b">
        <v>0</v>
      </c>
      <c r="W13" s="16" t="b">
        <v>0</v>
      </c>
      <c r="X13" s="16" t="b">
        <v>0</v>
      </c>
      <c r="Y13" s="16" t="b">
        <v>0</v>
      </c>
      <c r="Z13" s="16" t="b">
        <v>0</v>
      </c>
      <c r="AA13" s="16" t="b">
        <v>0</v>
      </c>
      <c r="AB13" s="16" t="b">
        <v>0</v>
      </c>
      <c r="AC13" s="16" t="b">
        <v>0</v>
      </c>
      <c r="AD13" s="16" t="b">
        <v>0</v>
      </c>
      <c r="AE13" s="16" t="b">
        <v>0</v>
      </c>
      <c r="AF13" s="16" t="b">
        <v>0</v>
      </c>
      <c r="AG13" s="16" t="b">
        <v>0</v>
      </c>
      <c r="AH13" s="16" t="b">
        <v>0</v>
      </c>
      <c r="AI13" s="16" t="b">
        <v>0</v>
      </c>
      <c r="AJ13" s="16" t="b">
        <v>0</v>
      </c>
      <c r="AK13" s="16" t="b">
        <v>0</v>
      </c>
      <c r="AL13" s="17" t="str">
        <f t="shared" si="1"/>
        <v>0 dari 31 (0%)</v>
      </c>
    </row>
    <row r="14" ht="22.5" customHeight="1">
      <c r="A14" s="2">
        <v>13.0</v>
      </c>
      <c r="B14" s="18"/>
      <c r="D14" s="138"/>
      <c r="E14" s="138"/>
      <c r="F14" s="13"/>
      <c r="G14" s="6" t="b">
        <v>0</v>
      </c>
      <c r="H14" s="6" t="b">
        <v>0</v>
      </c>
      <c r="I14" s="6" t="b">
        <v>0</v>
      </c>
      <c r="J14" s="6" t="b">
        <v>0</v>
      </c>
      <c r="K14" s="6" t="b">
        <v>0</v>
      </c>
      <c r="L14" s="6" t="b">
        <v>0</v>
      </c>
      <c r="M14" s="6" t="b">
        <v>0</v>
      </c>
      <c r="N14" s="6" t="b">
        <v>0</v>
      </c>
      <c r="O14" s="6" t="b">
        <v>0</v>
      </c>
      <c r="P14" s="6" t="b">
        <v>0</v>
      </c>
      <c r="Q14" s="6" t="b">
        <v>0</v>
      </c>
      <c r="R14" s="6" t="b">
        <v>0</v>
      </c>
      <c r="S14" s="6" t="b">
        <v>0</v>
      </c>
      <c r="T14" s="6" t="b">
        <v>0</v>
      </c>
      <c r="U14" s="6" t="b">
        <v>0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9" t="str">
        <f t="shared" si="1"/>
        <v>0 dari 31 (0%)</v>
      </c>
    </row>
    <row r="15" ht="22.5" customHeight="1">
      <c r="A15" s="10">
        <v>14.0</v>
      </c>
      <c r="B15" s="11"/>
      <c r="C15" s="22"/>
      <c r="D15" s="138"/>
      <c r="E15" s="138"/>
      <c r="F15" s="13"/>
      <c r="G15" s="16" t="b">
        <v>0</v>
      </c>
      <c r="H15" s="16" t="b">
        <v>0</v>
      </c>
      <c r="I15" s="16" t="b">
        <v>0</v>
      </c>
      <c r="J15" s="16" t="b">
        <v>0</v>
      </c>
      <c r="K15" s="16" t="b">
        <v>0</v>
      </c>
      <c r="L15" s="16" t="b">
        <v>0</v>
      </c>
      <c r="M15" s="16" t="b">
        <v>0</v>
      </c>
      <c r="N15" s="16" t="b">
        <v>0</v>
      </c>
      <c r="O15" s="16" t="b">
        <v>0</v>
      </c>
      <c r="P15" s="16" t="b">
        <v>0</v>
      </c>
      <c r="Q15" s="16" t="b">
        <v>0</v>
      </c>
      <c r="R15" s="16" t="b">
        <v>0</v>
      </c>
      <c r="S15" s="16" t="b">
        <v>0</v>
      </c>
      <c r="T15" s="16" t="b">
        <v>0</v>
      </c>
      <c r="U15" s="16" t="b">
        <v>0</v>
      </c>
      <c r="V15" s="16" t="b">
        <v>0</v>
      </c>
      <c r="W15" s="16" t="b">
        <v>0</v>
      </c>
      <c r="X15" s="16" t="b">
        <v>0</v>
      </c>
      <c r="Y15" s="16" t="b">
        <v>0</v>
      </c>
      <c r="Z15" s="16" t="b">
        <v>0</v>
      </c>
      <c r="AA15" s="16" t="b">
        <v>0</v>
      </c>
      <c r="AB15" s="16" t="b">
        <v>0</v>
      </c>
      <c r="AC15" s="16" t="b">
        <v>0</v>
      </c>
      <c r="AD15" s="16" t="b">
        <v>0</v>
      </c>
      <c r="AE15" s="16" t="b">
        <v>0</v>
      </c>
      <c r="AF15" s="16" t="b">
        <v>0</v>
      </c>
      <c r="AG15" s="16" t="b">
        <v>0</v>
      </c>
      <c r="AH15" s="16" t="b">
        <v>0</v>
      </c>
      <c r="AI15" s="16" t="b">
        <v>0</v>
      </c>
      <c r="AJ15" s="16" t="b">
        <v>0</v>
      </c>
      <c r="AK15" s="16" t="b">
        <v>0</v>
      </c>
      <c r="AL15" s="17" t="str">
        <f t="shared" si="1"/>
        <v>0 dari 31 (0%)</v>
      </c>
    </row>
    <row r="16" ht="22.5" customHeight="1">
      <c r="A16" s="2">
        <v>15.0</v>
      </c>
      <c r="B16" s="18"/>
      <c r="C16" s="22"/>
      <c r="D16" s="138"/>
      <c r="E16" s="138"/>
      <c r="F16" s="13"/>
      <c r="G16" s="6" t="b">
        <v>0</v>
      </c>
      <c r="H16" s="6" t="b">
        <v>0</v>
      </c>
      <c r="I16" s="6" t="b">
        <v>0</v>
      </c>
      <c r="J16" s="6" t="b">
        <v>0</v>
      </c>
      <c r="K16" s="6" t="b">
        <v>0</v>
      </c>
      <c r="L16" s="6" t="b">
        <v>0</v>
      </c>
      <c r="M16" s="6" t="b">
        <v>0</v>
      </c>
      <c r="N16" s="6" t="b">
        <v>0</v>
      </c>
      <c r="O16" s="6" t="b">
        <v>0</v>
      </c>
      <c r="P16" s="6" t="b">
        <v>0</v>
      </c>
      <c r="Q16" s="6" t="b">
        <v>0</v>
      </c>
      <c r="R16" s="6" t="b">
        <v>0</v>
      </c>
      <c r="S16" s="6" t="b">
        <v>0</v>
      </c>
      <c r="T16" s="6" t="b">
        <v>0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9" t="str">
        <f t="shared" si="1"/>
        <v>0 dari 31 (0%)</v>
      </c>
    </row>
    <row r="17" ht="22.5" customHeight="1">
      <c r="A17" s="10">
        <v>16.0</v>
      </c>
      <c r="B17" s="11"/>
      <c r="D17" s="138"/>
      <c r="E17" s="138"/>
      <c r="F17" s="13"/>
      <c r="G17" s="16" t="b">
        <v>0</v>
      </c>
      <c r="H17" s="16" t="b">
        <v>0</v>
      </c>
      <c r="I17" s="16" t="b">
        <v>0</v>
      </c>
      <c r="J17" s="16" t="b">
        <v>0</v>
      </c>
      <c r="K17" s="16" t="b">
        <v>0</v>
      </c>
      <c r="L17" s="16" t="b">
        <v>0</v>
      </c>
      <c r="M17" s="16" t="b">
        <v>0</v>
      </c>
      <c r="N17" s="16" t="b">
        <v>0</v>
      </c>
      <c r="O17" s="16" t="b">
        <v>0</v>
      </c>
      <c r="P17" s="16" t="b">
        <v>0</v>
      </c>
      <c r="Q17" s="16" t="b">
        <v>0</v>
      </c>
      <c r="R17" s="16" t="b">
        <v>0</v>
      </c>
      <c r="S17" s="16" t="b">
        <v>0</v>
      </c>
      <c r="T17" s="16" t="b">
        <v>0</v>
      </c>
      <c r="U17" s="16" t="b">
        <v>0</v>
      </c>
      <c r="V17" s="16" t="b">
        <v>0</v>
      </c>
      <c r="W17" s="16" t="b">
        <v>0</v>
      </c>
      <c r="X17" s="16" t="b">
        <v>0</v>
      </c>
      <c r="Y17" s="16" t="b">
        <v>0</v>
      </c>
      <c r="Z17" s="16" t="b">
        <v>0</v>
      </c>
      <c r="AA17" s="16" t="b">
        <v>0</v>
      </c>
      <c r="AB17" s="16" t="b">
        <v>0</v>
      </c>
      <c r="AC17" s="16" t="b">
        <v>0</v>
      </c>
      <c r="AD17" s="16" t="b">
        <v>0</v>
      </c>
      <c r="AE17" s="16" t="b">
        <v>0</v>
      </c>
      <c r="AF17" s="16" t="b">
        <v>0</v>
      </c>
      <c r="AG17" s="16" t="b">
        <v>0</v>
      </c>
      <c r="AH17" s="16" t="b">
        <v>0</v>
      </c>
      <c r="AI17" s="16" t="b">
        <v>0</v>
      </c>
      <c r="AJ17" s="16" t="b">
        <v>0</v>
      </c>
      <c r="AK17" s="16" t="b">
        <v>0</v>
      </c>
      <c r="AL17" s="17" t="str">
        <f t="shared" si="1"/>
        <v>0 dari 31 (0%)</v>
      </c>
    </row>
    <row r="18" ht="22.5" customHeight="1">
      <c r="A18" s="2">
        <v>17.0</v>
      </c>
      <c r="B18" s="18"/>
      <c r="C18" s="22"/>
      <c r="D18" s="138"/>
      <c r="E18" s="138"/>
      <c r="F18" s="13"/>
      <c r="G18" s="6" t="b">
        <v>0</v>
      </c>
      <c r="H18" s="6" t="b">
        <v>0</v>
      </c>
      <c r="I18" s="6" t="b">
        <v>0</v>
      </c>
      <c r="J18" s="6" t="b">
        <v>0</v>
      </c>
      <c r="K18" s="6" t="b">
        <v>0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0</v>
      </c>
      <c r="Q18" s="6" t="b">
        <v>0</v>
      </c>
      <c r="R18" s="6" t="b">
        <v>0</v>
      </c>
      <c r="S18" s="6" t="b">
        <v>0</v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0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9" t="str">
        <f t="shared" si="1"/>
        <v>0 dari 31 (0%)</v>
      </c>
    </row>
    <row r="19" ht="22.5" customHeight="1">
      <c r="A19" s="10">
        <v>18.0</v>
      </c>
      <c r="B19" s="11"/>
      <c r="D19" s="138"/>
      <c r="E19" s="138"/>
      <c r="F19" s="13"/>
      <c r="G19" s="16" t="b">
        <v>0</v>
      </c>
      <c r="H19" s="16" t="b">
        <v>0</v>
      </c>
      <c r="I19" s="16" t="b">
        <v>0</v>
      </c>
      <c r="J19" s="16" t="b">
        <v>0</v>
      </c>
      <c r="K19" s="16" t="b">
        <v>0</v>
      </c>
      <c r="L19" s="16" t="b">
        <v>0</v>
      </c>
      <c r="M19" s="16" t="b">
        <v>0</v>
      </c>
      <c r="N19" s="16" t="b">
        <v>0</v>
      </c>
      <c r="O19" s="16" t="b">
        <v>0</v>
      </c>
      <c r="P19" s="16" t="b">
        <v>0</v>
      </c>
      <c r="Q19" s="16" t="b">
        <v>0</v>
      </c>
      <c r="R19" s="16" t="b">
        <v>0</v>
      </c>
      <c r="S19" s="16" t="b">
        <v>0</v>
      </c>
      <c r="T19" s="16" t="b">
        <v>0</v>
      </c>
      <c r="U19" s="16" t="b">
        <v>0</v>
      </c>
      <c r="V19" s="16" t="b">
        <v>0</v>
      </c>
      <c r="W19" s="16" t="b">
        <v>0</v>
      </c>
      <c r="X19" s="16" t="b">
        <v>0</v>
      </c>
      <c r="Y19" s="16" t="b">
        <v>0</v>
      </c>
      <c r="Z19" s="16" t="b">
        <v>0</v>
      </c>
      <c r="AA19" s="16" t="b">
        <v>0</v>
      </c>
      <c r="AB19" s="16" t="b">
        <v>0</v>
      </c>
      <c r="AC19" s="16" t="b">
        <v>0</v>
      </c>
      <c r="AD19" s="16" t="b">
        <v>0</v>
      </c>
      <c r="AE19" s="16" t="b">
        <v>0</v>
      </c>
      <c r="AF19" s="16" t="b">
        <v>0</v>
      </c>
      <c r="AG19" s="16" t="b">
        <v>0</v>
      </c>
      <c r="AH19" s="16" t="b">
        <v>0</v>
      </c>
      <c r="AI19" s="16" t="b">
        <v>0</v>
      </c>
      <c r="AJ19" s="16" t="b">
        <v>0</v>
      </c>
      <c r="AK19" s="16" t="b">
        <v>0</v>
      </c>
      <c r="AL19" s="17" t="str">
        <f t="shared" si="1"/>
        <v>0 dari 31 (0%)</v>
      </c>
    </row>
    <row r="20" ht="22.5" customHeight="1">
      <c r="A20" s="2">
        <v>19.0</v>
      </c>
      <c r="B20" s="18"/>
      <c r="C20" s="22"/>
      <c r="D20" s="138"/>
      <c r="E20" s="138"/>
      <c r="F20" s="13"/>
      <c r="G20" s="6" t="b">
        <v>0</v>
      </c>
      <c r="H20" s="6" t="b">
        <v>0</v>
      </c>
      <c r="I20" s="6" t="b">
        <v>0</v>
      </c>
      <c r="J20" s="6" t="b">
        <v>0</v>
      </c>
      <c r="K20" s="6" t="b">
        <v>0</v>
      </c>
      <c r="L20" s="6" t="b">
        <v>0</v>
      </c>
      <c r="M20" s="6" t="b">
        <v>0</v>
      </c>
      <c r="N20" s="6" t="b">
        <v>0</v>
      </c>
      <c r="O20" s="6" t="b">
        <v>0</v>
      </c>
      <c r="P20" s="6" t="b">
        <v>0</v>
      </c>
      <c r="Q20" s="6" t="b">
        <v>0</v>
      </c>
      <c r="R20" s="6" t="b">
        <v>0</v>
      </c>
      <c r="S20" s="6" t="b">
        <v>0</v>
      </c>
      <c r="T20" s="6" t="b">
        <v>0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9" t="str">
        <f t="shared" si="1"/>
        <v>0 dari 31 (0%)</v>
      </c>
    </row>
    <row r="21" ht="22.5" customHeight="1">
      <c r="A21" s="10">
        <v>20.0</v>
      </c>
      <c r="B21" s="11"/>
      <c r="D21" s="138"/>
      <c r="E21" s="138"/>
      <c r="F21" s="13"/>
      <c r="G21" s="16" t="b">
        <v>0</v>
      </c>
      <c r="H21" s="16" t="b">
        <v>0</v>
      </c>
      <c r="I21" s="16" t="b">
        <v>0</v>
      </c>
      <c r="J21" s="16" t="b">
        <v>0</v>
      </c>
      <c r="K21" s="16" t="b">
        <v>0</v>
      </c>
      <c r="L21" s="16" t="b">
        <v>0</v>
      </c>
      <c r="M21" s="16" t="b">
        <v>0</v>
      </c>
      <c r="N21" s="16" t="b">
        <v>0</v>
      </c>
      <c r="O21" s="16" t="b">
        <v>0</v>
      </c>
      <c r="P21" s="16" t="b">
        <v>0</v>
      </c>
      <c r="Q21" s="16" t="b">
        <v>0</v>
      </c>
      <c r="R21" s="16" t="b">
        <v>0</v>
      </c>
      <c r="S21" s="16" t="b">
        <v>0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7" t="str">
        <f t="shared" si="1"/>
        <v>0 dari 31 (0%)</v>
      </c>
    </row>
    <row r="22" ht="22.5" customHeight="1">
      <c r="A22" s="2">
        <v>21.0</v>
      </c>
      <c r="B22" s="18"/>
      <c r="C22" s="22"/>
      <c r="D22" s="138"/>
      <c r="E22" s="138"/>
      <c r="F22" s="13"/>
      <c r="G22" s="6" t="b">
        <v>0</v>
      </c>
      <c r="H22" s="6" t="b">
        <v>0</v>
      </c>
      <c r="I22" s="6" t="b">
        <v>0</v>
      </c>
      <c r="J22" s="6" t="b">
        <v>0</v>
      </c>
      <c r="K22" s="6" t="b">
        <v>0</v>
      </c>
      <c r="L22" s="6" t="b">
        <v>0</v>
      </c>
      <c r="M22" s="6" t="b">
        <v>0</v>
      </c>
      <c r="N22" s="6" t="b">
        <v>0</v>
      </c>
      <c r="O22" s="6" t="b">
        <v>0</v>
      </c>
      <c r="P22" s="6" t="b">
        <v>0</v>
      </c>
      <c r="Q22" s="6" t="b">
        <v>0</v>
      </c>
      <c r="R22" s="6" t="b">
        <v>0</v>
      </c>
      <c r="S22" s="6" t="b">
        <v>0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9" t="str">
        <f t="shared" si="1"/>
        <v>0 dari 31 (0%)</v>
      </c>
    </row>
    <row r="23" ht="22.5" customHeight="1">
      <c r="A23" s="10">
        <v>22.0</v>
      </c>
      <c r="B23" s="11"/>
      <c r="C23" s="22"/>
      <c r="D23" s="138"/>
      <c r="E23" s="138"/>
      <c r="F23" s="13"/>
      <c r="G23" s="16" t="b">
        <v>0</v>
      </c>
      <c r="H23" s="16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6" t="b">
        <v>0</v>
      </c>
      <c r="Q23" s="16" t="b">
        <v>0</v>
      </c>
      <c r="R23" s="16" t="b">
        <v>0</v>
      </c>
      <c r="S23" s="16" t="b">
        <v>0</v>
      </c>
      <c r="T23" s="16" t="b">
        <v>0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7" t="str">
        <f t="shared" si="1"/>
        <v>0 dari 31 (0%)</v>
      </c>
    </row>
    <row r="24" ht="22.5" customHeight="1">
      <c r="A24" s="2">
        <v>23.0</v>
      </c>
      <c r="B24" s="18"/>
      <c r="D24" s="138"/>
      <c r="E24" s="138"/>
      <c r="F24" s="13"/>
      <c r="G24" s="6" t="b">
        <v>0</v>
      </c>
      <c r="H24" s="6" t="b">
        <v>0</v>
      </c>
      <c r="I24" s="6" t="b">
        <v>0</v>
      </c>
      <c r="J24" s="6" t="b">
        <v>0</v>
      </c>
      <c r="K24" s="6" t="b">
        <v>0</v>
      </c>
      <c r="L24" s="6" t="b">
        <v>0</v>
      </c>
      <c r="M24" s="6" t="b">
        <v>0</v>
      </c>
      <c r="N24" s="6" t="b">
        <v>0</v>
      </c>
      <c r="O24" s="6" t="b">
        <v>0</v>
      </c>
      <c r="P24" s="6" t="b">
        <v>0</v>
      </c>
      <c r="Q24" s="6" t="b">
        <v>0</v>
      </c>
      <c r="R24" s="6" t="b">
        <v>0</v>
      </c>
      <c r="S24" s="6" t="b">
        <v>0</v>
      </c>
      <c r="T24" s="6" t="b">
        <v>0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9" t="str">
        <f t="shared" si="1"/>
        <v>0 dari 31 (0%)</v>
      </c>
    </row>
    <row r="25" ht="22.5" customHeight="1">
      <c r="A25" s="10">
        <v>24.0</v>
      </c>
      <c r="B25" s="11"/>
      <c r="C25" s="22"/>
      <c r="D25" s="138"/>
      <c r="E25" s="138"/>
      <c r="F25" s="13"/>
      <c r="G25" s="16" t="b">
        <v>0</v>
      </c>
      <c r="H25" s="16" t="b">
        <v>0</v>
      </c>
      <c r="I25" s="16" t="b">
        <v>0</v>
      </c>
      <c r="J25" s="16" t="b">
        <v>0</v>
      </c>
      <c r="K25" s="16" t="b">
        <v>0</v>
      </c>
      <c r="L25" s="16" t="b">
        <v>0</v>
      </c>
      <c r="M25" s="16" t="b">
        <v>0</v>
      </c>
      <c r="N25" s="16" t="b">
        <v>0</v>
      </c>
      <c r="O25" s="16" t="b">
        <v>0</v>
      </c>
      <c r="P25" s="16" t="b">
        <v>0</v>
      </c>
      <c r="Q25" s="16" t="b">
        <v>0</v>
      </c>
      <c r="R25" s="16" t="b">
        <v>0</v>
      </c>
      <c r="S25" s="16" t="b">
        <v>0</v>
      </c>
      <c r="T25" s="16" t="b">
        <v>0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7" t="str">
        <f t="shared" si="1"/>
        <v>0 dari 31 (0%)</v>
      </c>
    </row>
    <row r="26" ht="22.5" customHeight="1">
      <c r="A26" s="2">
        <v>25.0</v>
      </c>
      <c r="B26" s="18"/>
      <c r="D26" s="138"/>
      <c r="E26" s="138"/>
      <c r="F26" s="13"/>
      <c r="G26" s="6" t="b">
        <v>0</v>
      </c>
      <c r="H26" s="6" t="b">
        <v>0</v>
      </c>
      <c r="I26" s="6" t="b">
        <v>0</v>
      </c>
      <c r="J26" s="6" t="b">
        <v>0</v>
      </c>
      <c r="K26" s="6" t="b">
        <v>0</v>
      </c>
      <c r="L26" s="6" t="b">
        <v>0</v>
      </c>
      <c r="M26" s="6" t="b">
        <v>0</v>
      </c>
      <c r="N26" s="6" t="b">
        <v>0</v>
      </c>
      <c r="O26" s="6" t="b">
        <v>0</v>
      </c>
      <c r="P26" s="6" t="b">
        <v>0</v>
      </c>
      <c r="Q26" s="6" t="b">
        <v>0</v>
      </c>
      <c r="R26" s="6" t="b">
        <v>0</v>
      </c>
      <c r="S26" s="6" t="b">
        <v>0</v>
      </c>
      <c r="T26" s="6" t="b">
        <v>0</v>
      </c>
      <c r="U26" s="6" t="b">
        <v>0</v>
      </c>
      <c r="V26" s="6" t="b">
        <v>0</v>
      </c>
      <c r="W26" s="6" t="b">
        <v>0</v>
      </c>
      <c r="X26" s="6" t="b">
        <v>0</v>
      </c>
      <c r="Y26" s="6" t="b">
        <v>0</v>
      </c>
      <c r="Z26" s="6" t="b">
        <v>0</v>
      </c>
      <c r="AA26" s="6" t="b">
        <v>0</v>
      </c>
      <c r="AB26" s="6" t="b">
        <v>0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9" t="str">
        <f t="shared" si="1"/>
        <v>0 dari 31 (0%)</v>
      </c>
    </row>
    <row r="27" ht="22.5" customHeight="1">
      <c r="A27" s="10">
        <v>26.0</v>
      </c>
      <c r="B27" s="11"/>
      <c r="C27" s="22"/>
      <c r="D27" s="138"/>
      <c r="E27" s="138"/>
      <c r="F27" s="13"/>
      <c r="G27" s="16" t="b">
        <v>0</v>
      </c>
      <c r="H27" s="16" t="b">
        <v>0</v>
      </c>
      <c r="I27" s="16" t="b">
        <v>0</v>
      </c>
      <c r="J27" s="16" t="b">
        <v>0</v>
      </c>
      <c r="K27" s="16" t="b">
        <v>0</v>
      </c>
      <c r="L27" s="16" t="b">
        <v>0</v>
      </c>
      <c r="M27" s="16" t="b">
        <v>0</v>
      </c>
      <c r="N27" s="16" t="b">
        <v>0</v>
      </c>
      <c r="O27" s="16" t="b">
        <v>0</v>
      </c>
      <c r="P27" s="16" t="b">
        <v>0</v>
      </c>
      <c r="Q27" s="16" t="b">
        <v>0</v>
      </c>
      <c r="R27" s="16" t="b">
        <v>0</v>
      </c>
      <c r="S27" s="16" t="b">
        <v>0</v>
      </c>
      <c r="T27" s="16" t="b">
        <v>0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7" t="str">
        <f t="shared" si="1"/>
        <v>0 dari 31 (0%)</v>
      </c>
    </row>
    <row r="28" ht="22.5" customHeight="1">
      <c r="A28" s="2">
        <v>27.0</v>
      </c>
      <c r="B28" s="18"/>
      <c r="D28" s="138"/>
      <c r="E28" s="138"/>
      <c r="F28" s="13"/>
      <c r="G28" s="6" t="b">
        <v>0</v>
      </c>
      <c r="H28" s="6" t="b">
        <v>0</v>
      </c>
      <c r="I28" s="6" t="b">
        <v>0</v>
      </c>
      <c r="J28" s="6" t="b">
        <v>0</v>
      </c>
      <c r="K28" s="6" t="b">
        <v>0</v>
      </c>
      <c r="L28" s="6" t="b">
        <v>0</v>
      </c>
      <c r="M28" s="6" t="b">
        <v>0</v>
      </c>
      <c r="N28" s="6" t="b">
        <v>0</v>
      </c>
      <c r="O28" s="6" t="b">
        <v>0</v>
      </c>
      <c r="P28" s="6" t="b">
        <v>0</v>
      </c>
      <c r="Q28" s="6" t="b">
        <v>0</v>
      </c>
      <c r="R28" s="6" t="b">
        <v>0</v>
      </c>
      <c r="S28" s="6" t="b">
        <v>0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0</v>
      </c>
      <c r="AI28" s="6" t="b">
        <v>0</v>
      </c>
      <c r="AJ28" s="6" t="b">
        <v>0</v>
      </c>
      <c r="AK28" s="6" t="b">
        <v>0</v>
      </c>
      <c r="AL28" s="9" t="str">
        <f t="shared" si="1"/>
        <v>0 dari 31 (0%)</v>
      </c>
    </row>
    <row r="29" ht="22.5" customHeight="1">
      <c r="A29" s="10">
        <v>28.0</v>
      </c>
      <c r="B29" s="11"/>
      <c r="C29" s="22"/>
      <c r="D29" s="138"/>
      <c r="E29" s="138"/>
      <c r="F29" s="13"/>
      <c r="G29" s="16" t="b">
        <v>0</v>
      </c>
      <c r="H29" s="16" t="b">
        <v>0</v>
      </c>
      <c r="I29" s="16" t="b">
        <v>0</v>
      </c>
      <c r="J29" s="16" t="b">
        <v>0</v>
      </c>
      <c r="K29" s="16" t="b">
        <v>0</v>
      </c>
      <c r="L29" s="16" t="b">
        <v>0</v>
      </c>
      <c r="M29" s="16" t="b">
        <v>0</v>
      </c>
      <c r="N29" s="16" t="b">
        <v>0</v>
      </c>
      <c r="O29" s="16" t="b">
        <v>0</v>
      </c>
      <c r="P29" s="16" t="b">
        <v>0</v>
      </c>
      <c r="Q29" s="16" t="b">
        <v>0</v>
      </c>
      <c r="R29" s="16" t="b">
        <v>0</v>
      </c>
      <c r="S29" s="16" t="b">
        <v>0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7" t="str">
        <f t="shared" si="1"/>
        <v>0 dari 31 (0%)</v>
      </c>
    </row>
    <row r="30" ht="22.5" customHeight="1">
      <c r="A30" s="2">
        <v>29.0</v>
      </c>
      <c r="B30" s="18"/>
      <c r="D30" s="138"/>
      <c r="E30" s="138"/>
      <c r="F30" s="13"/>
      <c r="G30" s="6" t="b">
        <v>0</v>
      </c>
      <c r="H30" s="6" t="b">
        <v>0</v>
      </c>
      <c r="I30" s="6" t="b">
        <v>0</v>
      </c>
      <c r="J30" s="6" t="b">
        <v>0</v>
      </c>
      <c r="K30" s="6" t="b">
        <v>0</v>
      </c>
      <c r="L30" s="6" t="b">
        <v>0</v>
      </c>
      <c r="M30" s="6" t="b">
        <v>0</v>
      </c>
      <c r="N30" s="6" t="b">
        <v>0</v>
      </c>
      <c r="O30" s="6" t="b">
        <v>0</v>
      </c>
      <c r="P30" s="6" t="b">
        <v>0</v>
      </c>
      <c r="Q30" s="6" t="b">
        <v>0</v>
      </c>
      <c r="R30" s="6" t="b">
        <v>0</v>
      </c>
      <c r="S30" s="6" t="b">
        <v>0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9" t="str">
        <f t="shared" si="1"/>
        <v>0 dari 31 (0%)</v>
      </c>
    </row>
    <row r="31" ht="22.5" customHeight="1">
      <c r="A31" s="10">
        <v>30.0</v>
      </c>
      <c r="B31" s="11"/>
      <c r="C31" s="22"/>
      <c r="D31" s="138"/>
      <c r="E31" s="138"/>
      <c r="F31" s="13"/>
      <c r="G31" s="16" t="b">
        <v>0</v>
      </c>
      <c r="H31" s="16" t="b">
        <v>0</v>
      </c>
      <c r="I31" s="16" t="b">
        <v>0</v>
      </c>
      <c r="J31" s="16" t="b">
        <v>0</v>
      </c>
      <c r="K31" s="16" t="b">
        <v>0</v>
      </c>
      <c r="L31" s="16" t="b">
        <v>0</v>
      </c>
      <c r="M31" s="16" t="b">
        <v>0</v>
      </c>
      <c r="N31" s="16" t="b">
        <v>0</v>
      </c>
      <c r="O31" s="16" t="b">
        <v>0</v>
      </c>
      <c r="P31" s="16" t="b">
        <v>0</v>
      </c>
      <c r="Q31" s="16" t="b">
        <v>0</v>
      </c>
      <c r="R31" s="16" t="b">
        <v>0</v>
      </c>
      <c r="S31" s="16" t="b">
        <v>0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7" t="str">
        <f t="shared" si="1"/>
        <v>0 dari 31 (0%)</v>
      </c>
    </row>
    <row r="32" ht="22.5" customHeight="1">
      <c r="A32" s="2">
        <v>31.0</v>
      </c>
      <c r="B32" s="18"/>
      <c r="C32" s="140"/>
      <c r="D32" s="138"/>
      <c r="E32" s="138"/>
      <c r="F32" s="13"/>
      <c r="G32" s="6" t="b">
        <v>0</v>
      </c>
      <c r="H32" s="6" t="b">
        <v>0</v>
      </c>
      <c r="I32" s="6" t="b">
        <v>0</v>
      </c>
      <c r="J32" s="6" t="b">
        <v>0</v>
      </c>
      <c r="K32" s="6" t="b">
        <v>0</v>
      </c>
      <c r="L32" s="6" t="b">
        <v>0</v>
      </c>
      <c r="M32" s="6" t="b">
        <v>0</v>
      </c>
      <c r="N32" s="6" t="b">
        <v>0</v>
      </c>
      <c r="O32" s="6" t="b">
        <v>0</v>
      </c>
      <c r="P32" s="6" t="b">
        <v>0</v>
      </c>
      <c r="Q32" s="6" t="b">
        <v>0</v>
      </c>
      <c r="R32" s="6" t="b">
        <v>0</v>
      </c>
      <c r="S32" s="6" t="b">
        <v>0</v>
      </c>
      <c r="T32" s="6" t="b">
        <v>0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0</v>
      </c>
      <c r="AH32" s="6" t="b">
        <v>0</v>
      </c>
      <c r="AI32" s="6" t="b">
        <v>0</v>
      </c>
      <c r="AJ32" s="6" t="b">
        <v>0</v>
      </c>
      <c r="AK32" s="6" t="b">
        <v>0</v>
      </c>
      <c r="AL32" s="9" t="str">
        <f t="shared" si="1"/>
        <v>0 dari 31 (0%)</v>
      </c>
    </row>
    <row r="33" ht="22.5" customHeight="1">
      <c r="A33" s="10">
        <v>32.0</v>
      </c>
      <c r="B33" s="11"/>
      <c r="C33" s="140"/>
      <c r="D33" s="138"/>
      <c r="E33" s="138"/>
      <c r="F33" s="13"/>
      <c r="G33" s="16" t="b">
        <v>0</v>
      </c>
      <c r="H33" s="16" t="b">
        <v>0</v>
      </c>
      <c r="I33" s="16" t="b">
        <v>0</v>
      </c>
      <c r="J33" s="16" t="b">
        <v>0</v>
      </c>
      <c r="K33" s="16" t="b">
        <v>0</v>
      </c>
      <c r="L33" s="16" t="b">
        <v>0</v>
      </c>
      <c r="M33" s="16" t="b">
        <v>0</v>
      </c>
      <c r="N33" s="16" t="b">
        <v>0</v>
      </c>
      <c r="O33" s="16" t="b">
        <v>0</v>
      </c>
      <c r="P33" s="16" t="b">
        <v>0</v>
      </c>
      <c r="Q33" s="16" t="b">
        <v>0</v>
      </c>
      <c r="R33" s="16" t="b">
        <v>0</v>
      </c>
      <c r="S33" s="16" t="b">
        <v>0</v>
      </c>
      <c r="T33" s="16" t="b">
        <v>0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0</v>
      </c>
      <c r="AJ33" s="16" t="b">
        <v>0</v>
      </c>
      <c r="AK33" s="16" t="b">
        <v>0</v>
      </c>
      <c r="AL33" s="17" t="str">
        <f t="shared" si="1"/>
        <v>0 dari 31 (0%)</v>
      </c>
    </row>
    <row r="34" ht="22.5" customHeight="1">
      <c r="A34" s="2">
        <v>33.0</v>
      </c>
      <c r="B34" s="18"/>
      <c r="C34" s="140"/>
      <c r="D34" s="138"/>
      <c r="E34" s="138"/>
      <c r="F34" s="13"/>
      <c r="G34" s="6" t="b">
        <v>0</v>
      </c>
      <c r="H34" s="6" t="b">
        <v>0</v>
      </c>
      <c r="I34" s="6" t="b">
        <v>0</v>
      </c>
      <c r="J34" s="6" t="b">
        <v>0</v>
      </c>
      <c r="K34" s="6" t="b">
        <v>0</v>
      </c>
      <c r="L34" s="6" t="b">
        <v>0</v>
      </c>
      <c r="M34" s="6" t="b">
        <v>0</v>
      </c>
      <c r="N34" s="6" t="b">
        <v>0</v>
      </c>
      <c r="O34" s="6" t="b">
        <v>0</v>
      </c>
      <c r="P34" s="6" t="b">
        <v>0</v>
      </c>
      <c r="Q34" s="6" t="b">
        <v>0</v>
      </c>
      <c r="R34" s="6" t="b">
        <v>0</v>
      </c>
      <c r="S34" s="6" t="b">
        <v>0</v>
      </c>
      <c r="T34" s="6" t="b">
        <v>0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0</v>
      </c>
      <c r="AJ34" s="6" t="b">
        <v>0</v>
      </c>
      <c r="AK34" s="6" t="b">
        <v>0</v>
      </c>
      <c r="AL34" s="9" t="str">
        <f t="shared" si="1"/>
        <v>0 dari 31 (0%)</v>
      </c>
    </row>
    <row r="35" ht="22.5" customHeight="1">
      <c r="A35" s="10">
        <v>34.0</v>
      </c>
      <c r="B35" s="11"/>
      <c r="C35" s="140"/>
      <c r="D35" s="138"/>
      <c r="E35" s="138"/>
      <c r="F35" s="13"/>
      <c r="G35" s="16" t="b">
        <v>0</v>
      </c>
      <c r="H35" s="16" t="b">
        <v>0</v>
      </c>
      <c r="I35" s="16" t="b">
        <v>0</v>
      </c>
      <c r="J35" s="16" t="b">
        <v>0</v>
      </c>
      <c r="K35" s="16" t="b">
        <v>0</v>
      </c>
      <c r="L35" s="16" t="b">
        <v>0</v>
      </c>
      <c r="M35" s="16" t="b">
        <v>0</v>
      </c>
      <c r="N35" s="16" t="b">
        <v>0</v>
      </c>
      <c r="O35" s="16" t="b">
        <v>0</v>
      </c>
      <c r="P35" s="16" t="b">
        <v>0</v>
      </c>
      <c r="Q35" s="16" t="b">
        <v>0</v>
      </c>
      <c r="R35" s="16" t="b">
        <v>0</v>
      </c>
      <c r="S35" s="16" t="b">
        <v>0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7" t="str">
        <f t="shared" si="1"/>
        <v>0 dari 31 (0%)</v>
      </c>
    </row>
    <row r="36" ht="22.5" customHeight="1">
      <c r="A36" s="2">
        <v>35.0</v>
      </c>
      <c r="B36" s="18"/>
      <c r="C36" s="140"/>
      <c r="D36" s="138"/>
      <c r="E36" s="138"/>
      <c r="F36" s="13"/>
      <c r="G36" s="6" t="b">
        <v>0</v>
      </c>
      <c r="H36" s="6" t="b">
        <v>0</v>
      </c>
      <c r="I36" s="6" t="b">
        <v>0</v>
      </c>
      <c r="J36" s="6" t="b">
        <v>0</v>
      </c>
      <c r="K36" s="6" t="b">
        <v>0</v>
      </c>
      <c r="L36" s="6" t="b">
        <v>0</v>
      </c>
      <c r="M36" s="6" t="b">
        <v>0</v>
      </c>
      <c r="N36" s="6" t="b">
        <v>0</v>
      </c>
      <c r="O36" s="6" t="b">
        <v>0</v>
      </c>
      <c r="P36" s="6" t="b">
        <v>0</v>
      </c>
      <c r="Q36" s="6" t="b">
        <v>0</v>
      </c>
      <c r="R36" s="6" t="b">
        <v>0</v>
      </c>
      <c r="S36" s="6" t="b">
        <v>0</v>
      </c>
      <c r="T36" s="6" t="b">
        <v>0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0</v>
      </c>
      <c r="AJ36" s="6" t="b">
        <v>0</v>
      </c>
      <c r="AK36" s="6" t="b">
        <v>0</v>
      </c>
      <c r="AL36" s="9" t="str">
        <f t="shared" si="1"/>
        <v>0 dari 31 (0%)</v>
      </c>
    </row>
    <row r="37" ht="22.5" customHeight="1">
      <c r="A37" s="10">
        <v>36.0</v>
      </c>
      <c r="B37" s="11"/>
      <c r="C37" s="140"/>
      <c r="D37" s="138"/>
      <c r="E37" s="138"/>
      <c r="F37" s="13"/>
      <c r="G37" s="16" t="b">
        <v>0</v>
      </c>
      <c r="H37" s="16" t="b">
        <v>0</v>
      </c>
      <c r="I37" s="16" t="b">
        <v>0</v>
      </c>
      <c r="J37" s="16" t="b">
        <v>0</v>
      </c>
      <c r="K37" s="16" t="b">
        <v>0</v>
      </c>
      <c r="L37" s="16" t="b">
        <v>0</v>
      </c>
      <c r="M37" s="16" t="b">
        <v>0</v>
      </c>
      <c r="N37" s="16" t="b">
        <v>0</v>
      </c>
      <c r="O37" s="16" t="b">
        <v>0</v>
      </c>
      <c r="P37" s="16" t="b">
        <v>0</v>
      </c>
      <c r="Q37" s="16" t="b">
        <v>0</v>
      </c>
      <c r="R37" s="16" t="b">
        <v>0</v>
      </c>
      <c r="S37" s="16" t="b">
        <v>0</v>
      </c>
      <c r="T37" s="16" t="b">
        <v>0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7" t="str">
        <f t="shared" si="1"/>
        <v>0 dari 31 (0%)</v>
      </c>
    </row>
    <row r="38" ht="22.5" customHeight="1">
      <c r="A38" s="2">
        <v>37.0</v>
      </c>
      <c r="B38" s="18"/>
      <c r="C38" s="140"/>
      <c r="D38" s="138"/>
      <c r="E38" s="138"/>
      <c r="F38" s="13"/>
      <c r="G38" s="6" t="b">
        <v>0</v>
      </c>
      <c r="H38" s="6" t="b">
        <v>0</v>
      </c>
      <c r="I38" s="6" t="b">
        <v>0</v>
      </c>
      <c r="J38" s="6" t="b">
        <v>0</v>
      </c>
      <c r="K38" s="6" t="b">
        <v>0</v>
      </c>
      <c r="L38" s="6" t="b">
        <v>0</v>
      </c>
      <c r="M38" s="6" t="b">
        <v>0</v>
      </c>
      <c r="N38" s="6" t="b">
        <v>0</v>
      </c>
      <c r="O38" s="6" t="b">
        <v>0</v>
      </c>
      <c r="P38" s="6" t="b">
        <v>0</v>
      </c>
      <c r="Q38" s="6" t="b">
        <v>0</v>
      </c>
      <c r="R38" s="6" t="b">
        <v>0</v>
      </c>
      <c r="S38" s="6" t="b">
        <v>0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0</v>
      </c>
      <c r="AA38" s="6" t="b">
        <v>0</v>
      </c>
      <c r="AB38" s="6" t="b">
        <v>0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9" t="str">
        <f t="shared" si="1"/>
        <v>0 dari 31 (0%)</v>
      </c>
    </row>
    <row r="39" ht="22.5" customHeight="1">
      <c r="A39" s="10">
        <v>38.0</v>
      </c>
      <c r="B39" s="11"/>
      <c r="C39" s="140"/>
      <c r="D39" s="138"/>
      <c r="E39" s="138"/>
      <c r="F39" s="13"/>
      <c r="G39" s="16" t="b">
        <v>0</v>
      </c>
      <c r="H39" s="16" t="b">
        <v>0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0</v>
      </c>
      <c r="O39" s="16" t="b">
        <v>0</v>
      </c>
      <c r="P39" s="16" t="b">
        <v>0</v>
      </c>
      <c r="Q39" s="16" t="b">
        <v>0</v>
      </c>
      <c r="R39" s="16" t="b">
        <v>0</v>
      </c>
      <c r="S39" s="16" t="b">
        <v>0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7" t="str">
        <f t="shared" si="1"/>
        <v>0 dari 31 (0%)</v>
      </c>
    </row>
    <row r="40" ht="22.5" customHeight="1">
      <c r="A40" s="2">
        <v>39.0</v>
      </c>
      <c r="B40" s="18"/>
      <c r="C40" s="140"/>
      <c r="D40" s="138"/>
      <c r="E40" s="138"/>
      <c r="F40" s="13"/>
      <c r="G40" s="6" t="b">
        <v>0</v>
      </c>
      <c r="H40" s="6" t="b">
        <v>0</v>
      </c>
      <c r="I40" s="6" t="b">
        <v>0</v>
      </c>
      <c r="J40" s="6" t="b">
        <v>0</v>
      </c>
      <c r="K40" s="6" t="b">
        <v>0</v>
      </c>
      <c r="L40" s="6" t="b">
        <v>0</v>
      </c>
      <c r="M40" s="6" t="b">
        <v>0</v>
      </c>
      <c r="N40" s="6" t="b">
        <v>0</v>
      </c>
      <c r="O40" s="6" t="b">
        <v>0</v>
      </c>
      <c r="P40" s="6" t="b">
        <v>0</v>
      </c>
      <c r="Q40" s="6" t="b">
        <v>0</v>
      </c>
      <c r="R40" s="6" t="b">
        <v>0</v>
      </c>
      <c r="S40" s="6" t="b">
        <v>0</v>
      </c>
      <c r="T40" s="6" t="b">
        <v>0</v>
      </c>
      <c r="U40" s="6" t="b">
        <v>0</v>
      </c>
      <c r="V40" s="6" t="b">
        <v>0</v>
      </c>
      <c r="W40" s="6" t="b">
        <v>0</v>
      </c>
      <c r="X40" s="6" t="b">
        <v>0</v>
      </c>
      <c r="Y40" s="6" t="b">
        <v>0</v>
      </c>
      <c r="Z40" s="6" t="b">
        <v>0</v>
      </c>
      <c r="AA40" s="6" t="b">
        <v>0</v>
      </c>
      <c r="AB40" s="6" t="b">
        <v>0</v>
      </c>
      <c r="AC40" s="6" t="b">
        <v>0</v>
      </c>
      <c r="AD40" s="6" t="b">
        <v>0</v>
      </c>
      <c r="AE40" s="6" t="b">
        <v>0</v>
      </c>
      <c r="AF40" s="6" t="b">
        <v>0</v>
      </c>
      <c r="AG40" s="6" t="b">
        <v>0</v>
      </c>
      <c r="AH40" s="6" t="b">
        <v>0</v>
      </c>
      <c r="AI40" s="6" t="b">
        <v>0</v>
      </c>
      <c r="AJ40" s="6" t="b">
        <v>0</v>
      </c>
      <c r="AK40" s="6" t="b">
        <v>0</v>
      </c>
      <c r="AL40" s="9" t="str">
        <f t="shared" si="1"/>
        <v>0 dari 31 (0%)</v>
      </c>
    </row>
    <row r="41" ht="22.5" customHeight="1">
      <c r="A41" s="10">
        <v>40.0</v>
      </c>
      <c r="B41" s="11"/>
      <c r="C41" s="140"/>
      <c r="D41" s="138"/>
      <c r="E41" s="138"/>
      <c r="F41" s="13"/>
      <c r="G41" s="16" t="b">
        <v>0</v>
      </c>
      <c r="H41" s="16" t="b">
        <v>0</v>
      </c>
      <c r="I41" s="16" t="b">
        <v>0</v>
      </c>
      <c r="J41" s="16" t="b">
        <v>0</v>
      </c>
      <c r="K41" s="16" t="b">
        <v>0</v>
      </c>
      <c r="L41" s="16" t="b">
        <v>0</v>
      </c>
      <c r="M41" s="16" t="b">
        <v>0</v>
      </c>
      <c r="N41" s="16" t="b">
        <v>0</v>
      </c>
      <c r="O41" s="16" t="b">
        <v>0</v>
      </c>
      <c r="P41" s="16" t="b">
        <v>0</v>
      </c>
      <c r="Q41" s="16" t="b">
        <v>0</v>
      </c>
      <c r="R41" s="16" t="b">
        <v>0</v>
      </c>
      <c r="S41" s="16" t="b">
        <v>0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7" t="str">
        <f t="shared" si="1"/>
        <v>0 dari 31 (0%)</v>
      </c>
    </row>
    <row r="42" ht="22.5" customHeight="1">
      <c r="A42" s="2">
        <v>41.0</v>
      </c>
      <c r="B42" s="18"/>
      <c r="C42" s="140"/>
      <c r="D42" s="138"/>
      <c r="E42" s="138"/>
      <c r="F42" s="13"/>
      <c r="G42" s="6" t="b">
        <v>0</v>
      </c>
      <c r="H42" s="6" t="b">
        <v>0</v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6" t="b">
        <v>0</v>
      </c>
      <c r="R42" s="6" t="b">
        <v>0</v>
      </c>
      <c r="S42" s="6" t="b">
        <v>0</v>
      </c>
      <c r="T42" s="6" t="b">
        <v>0</v>
      </c>
      <c r="U42" s="6" t="b">
        <v>0</v>
      </c>
      <c r="V42" s="6" t="b">
        <v>0</v>
      </c>
      <c r="W42" s="6" t="b">
        <v>0</v>
      </c>
      <c r="X42" s="6" t="b">
        <v>0</v>
      </c>
      <c r="Y42" s="6" t="b">
        <v>0</v>
      </c>
      <c r="Z42" s="6" t="b">
        <v>0</v>
      </c>
      <c r="AA42" s="6" t="b">
        <v>0</v>
      </c>
      <c r="AB42" s="6" t="b">
        <v>0</v>
      </c>
      <c r="AC42" s="6" t="b">
        <v>0</v>
      </c>
      <c r="AD42" s="6" t="b">
        <v>0</v>
      </c>
      <c r="AE42" s="6" t="b">
        <v>0</v>
      </c>
      <c r="AF42" s="6" t="b">
        <v>0</v>
      </c>
      <c r="AG42" s="6" t="b">
        <v>0</v>
      </c>
      <c r="AH42" s="6" t="b">
        <v>0</v>
      </c>
      <c r="AI42" s="6" t="b">
        <v>0</v>
      </c>
      <c r="AJ42" s="6" t="b">
        <v>0</v>
      </c>
      <c r="AK42" s="6" t="b">
        <v>0</v>
      </c>
      <c r="AL42" s="9" t="str">
        <f t="shared" si="1"/>
        <v>0 dari 31 (0%)</v>
      </c>
    </row>
    <row r="43" ht="22.5" customHeight="1">
      <c r="A43" s="10">
        <v>42.0</v>
      </c>
      <c r="B43" s="11"/>
      <c r="C43" s="140"/>
      <c r="D43" s="138"/>
      <c r="E43" s="138"/>
      <c r="F43" s="13"/>
      <c r="G43" s="16" t="b">
        <v>0</v>
      </c>
      <c r="H43" s="16" t="b">
        <v>0</v>
      </c>
      <c r="I43" s="16" t="b">
        <v>0</v>
      </c>
      <c r="J43" s="16" t="b">
        <v>0</v>
      </c>
      <c r="K43" s="16" t="b">
        <v>0</v>
      </c>
      <c r="L43" s="16" t="b">
        <v>0</v>
      </c>
      <c r="M43" s="16" t="b">
        <v>0</v>
      </c>
      <c r="N43" s="16" t="b">
        <v>0</v>
      </c>
      <c r="O43" s="16" t="b">
        <v>0</v>
      </c>
      <c r="P43" s="16" t="b">
        <v>0</v>
      </c>
      <c r="Q43" s="16" t="b">
        <v>0</v>
      </c>
      <c r="R43" s="16" t="b">
        <v>0</v>
      </c>
      <c r="S43" s="16" t="b">
        <v>0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7" t="str">
        <f t="shared" si="1"/>
        <v>0 dari 31 (0%)</v>
      </c>
    </row>
    <row r="44" ht="22.5" customHeight="1">
      <c r="A44" s="2">
        <v>43.0</v>
      </c>
      <c r="B44" s="18"/>
      <c r="C44" s="140"/>
      <c r="D44" s="138"/>
      <c r="E44" s="138"/>
      <c r="F44" s="13"/>
      <c r="G44" s="6" t="b">
        <v>0</v>
      </c>
      <c r="H44" s="6" t="b">
        <v>0</v>
      </c>
      <c r="I44" s="6" t="b">
        <v>0</v>
      </c>
      <c r="J44" s="6" t="b">
        <v>0</v>
      </c>
      <c r="K44" s="6" t="b">
        <v>0</v>
      </c>
      <c r="L44" s="6" t="b">
        <v>0</v>
      </c>
      <c r="M44" s="6" t="b">
        <v>0</v>
      </c>
      <c r="N44" s="6" t="b">
        <v>0</v>
      </c>
      <c r="O44" s="6" t="b">
        <v>0</v>
      </c>
      <c r="P44" s="6" t="b">
        <v>0</v>
      </c>
      <c r="Q44" s="6" t="b">
        <v>0</v>
      </c>
      <c r="R44" s="6" t="b">
        <v>0</v>
      </c>
      <c r="S44" s="6" t="b">
        <v>0</v>
      </c>
      <c r="T44" s="6" t="b">
        <v>0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0</v>
      </c>
      <c r="AD44" s="6" t="b">
        <v>0</v>
      </c>
      <c r="AE44" s="6" t="b">
        <v>0</v>
      </c>
      <c r="AF44" s="6" t="b">
        <v>0</v>
      </c>
      <c r="AG44" s="6" t="b">
        <v>0</v>
      </c>
      <c r="AH44" s="6" t="b">
        <v>0</v>
      </c>
      <c r="AI44" s="6" t="b">
        <v>0</v>
      </c>
      <c r="AJ44" s="6" t="b">
        <v>0</v>
      </c>
      <c r="AK44" s="6" t="b">
        <v>0</v>
      </c>
      <c r="AL44" s="9" t="str">
        <f t="shared" si="1"/>
        <v>0 dari 31 (0%)</v>
      </c>
    </row>
    <row r="45" ht="22.5" customHeight="1">
      <c r="A45" s="10">
        <v>44.0</v>
      </c>
      <c r="B45" s="11"/>
      <c r="C45" s="140"/>
      <c r="D45" s="138"/>
      <c r="E45" s="138"/>
      <c r="F45" s="13"/>
      <c r="G45" s="16" t="b">
        <v>0</v>
      </c>
      <c r="H45" s="16" t="b">
        <v>0</v>
      </c>
      <c r="I45" s="16" t="b">
        <v>0</v>
      </c>
      <c r="J45" s="16" t="b">
        <v>0</v>
      </c>
      <c r="K45" s="16" t="b">
        <v>0</v>
      </c>
      <c r="L45" s="16" t="b">
        <v>0</v>
      </c>
      <c r="M45" s="16" t="b">
        <v>0</v>
      </c>
      <c r="N45" s="16" t="b">
        <v>0</v>
      </c>
      <c r="O45" s="16" t="b">
        <v>0</v>
      </c>
      <c r="P45" s="16" t="b">
        <v>0</v>
      </c>
      <c r="Q45" s="16" t="b">
        <v>0</v>
      </c>
      <c r="R45" s="16" t="b">
        <v>0</v>
      </c>
      <c r="S45" s="16" t="b">
        <v>0</v>
      </c>
      <c r="T45" s="16" t="b">
        <v>0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7" t="str">
        <f t="shared" si="1"/>
        <v>0 dari 31 (0%)</v>
      </c>
    </row>
    <row r="46" ht="22.5" customHeight="1">
      <c r="A46" s="2">
        <v>45.0</v>
      </c>
      <c r="B46" s="18"/>
      <c r="C46" s="140"/>
      <c r="D46" s="138"/>
      <c r="E46" s="138"/>
      <c r="F46" s="13"/>
      <c r="G46" s="6" t="b">
        <v>0</v>
      </c>
      <c r="H46" s="6" t="b">
        <v>0</v>
      </c>
      <c r="I46" s="6" t="b">
        <v>0</v>
      </c>
      <c r="J46" s="6" t="b">
        <v>0</v>
      </c>
      <c r="K46" s="6" t="b">
        <v>0</v>
      </c>
      <c r="L46" s="6" t="b">
        <v>0</v>
      </c>
      <c r="M46" s="6" t="b">
        <v>0</v>
      </c>
      <c r="N46" s="6" t="b">
        <v>0</v>
      </c>
      <c r="O46" s="6" t="b">
        <v>0</v>
      </c>
      <c r="P46" s="6" t="b">
        <v>0</v>
      </c>
      <c r="Q46" s="6" t="b">
        <v>0</v>
      </c>
      <c r="R46" s="6" t="b">
        <v>0</v>
      </c>
      <c r="S46" s="6" t="b">
        <v>0</v>
      </c>
      <c r="T46" s="6" t="b">
        <v>0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0</v>
      </c>
      <c r="AE46" s="6" t="b">
        <v>0</v>
      </c>
      <c r="AF46" s="6" t="b">
        <v>0</v>
      </c>
      <c r="AG46" s="6" t="b">
        <v>0</v>
      </c>
      <c r="AH46" s="6" t="b">
        <v>0</v>
      </c>
      <c r="AI46" s="6" t="b">
        <v>0</v>
      </c>
      <c r="AJ46" s="6" t="b">
        <v>0</v>
      </c>
      <c r="AK46" s="6" t="b">
        <v>0</v>
      </c>
      <c r="AL46" s="9" t="str">
        <f t="shared" si="1"/>
        <v>0 dari 31 (0%)</v>
      </c>
    </row>
    <row r="47" ht="22.5" customHeight="1">
      <c r="A47" s="10">
        <v>46.0</v>
      </c>
      <c r="B47" s="11"/>
      <c r="C47" s="140"/>
      <c r="D47" s="138"/>
      <c r="E47" s="138"/>
      <c r="F47" s="13"/>
      <c r="G47" s="16" t="b">
        <v>0</v>
      </c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6" t="b">
        <v>0</v>
      </c>
      <c r="R47" s="16" t="b">
        <v>0</v>
      </c>
      <c r="S47" s="16" t="b">
        <v>0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7" t="str">
        <f t="shared" si="1"/>
        <v>0 dari 31 (0%)</v>
      </c>
    </row>
    <row r="48" ht="22.5" customHeight="1">
      <c r="A48" s="10">
        <v>47.0</v>
      </c>
      <c r="B48" s="18"/>
      <c r="C48" s="140"/>
      <c r="D48" s="138"/>
      <c r="E48" s="138"/>
      <c r="F48" s="13"/>
      <c r="G48" s="6" t="b">
        <v>0</v>
      </c>
      <c r="H48" s="6" t="b">
        <v>0</v>
      </c>
      <c r="I48" s="6" t="b">
        <v>0</v>
      </c>
      <c r="J48" s="6" t="b">
        <v>0</v>
      </c>
      <c r="K48" s="6" t="b">
        <v>0</v>
      </c>
      <c r="L48" s="6" t="b">
        <v>0</v>
      </c>
      <c r="M48" s="6" t="b">
        <v>0</v>
      </c>
      <c r="N48" s="6" t="b">
        <v>0</v>
      </c>
      <c r="O48" s="6" t="b">
        <v>0</v>
      </c>
      <c r="P48" s="6" t="b">
        <v>0</v>
      </c>
      <c r="Q48" s="6" t="b">
        <v>0</v>
      </c>
      <c r="R48" s="6" t="b">
        <v>0</v>
      </c>
      <c r="S48" s="6" t="b">
        <v>0</v>
      </c>
      <c r="T48" s="6" t="b">
        <v>0</v>
      </c>
      <c r="U48" s="6" t="b">
        <v>0</v>
      </c>
      <c r="V48" s="6" t="b">
        <v>0</v>
      </c>
      <c r="W48" s="6" t="b">
        <v>0</v>
      </c>
      <c r="X48" s="6" t="b">
        <v>0</v>
      </c>
      <c r="Y48" s="6" t="b">
        <v>0</v>
      </c>
      <c r="Z48" s="6" t="b">
        <v>0</v>
      </c>
      <c r="AA48" s="6" t="b">
        <v>0</v>
      </c>
      <c r="AB48" s="6" t="b">
        <v>0</v>
      </c>
      <c r="AC48" s="6" t="b">
        <v>0</v>
      </c>
      <c r="AD48" s="6" t="b">
        <v>0</v>
      </c>
      <c r="AE48" s="6" t="b">
        <v>0</v>
      </c>
      <c r="AF48" s="6" t="b">
        <v>0</v>
      </c>
      <c r="AG48" s="6" t="b">
        <v>0</v>
      </c>
      <c r="AH48" s="6" t="b">
        <v>0</v>
      </c>
      <c r="AI48" s="6" t="b">
        <v>0</v>
      </c>
      <c r="AJ48" s="6" t="b">
        <v>0</v>
      </c>
      <c r="AK48" s="6" t="b">
        <v>0</v>
      </c>
      <c r="AL48" s="9" t="str">
        <f t="shared" si="1"/>
        <v>0 dari 31 (0%)</v>
      </c>
    </row>
    <row r="49" ht="22.5" customHeight="1">
      <c r="A49" s="2">
        <v>48.0</v>
      </c>
      <c r="B49" s="11"/>
      <c r="C49" s="140"/>
      <c r="D49" s="138"/>
      <c r="E49" s="138"/>
      <c r="F49" s="13"/>
      <c r="G49" s="16" t="b">
        <v>0</v>
      </c>
      <c r="H49" s="16" t="b">
        <v>0</v>
      </c>
      <c r="I49" s="16" t="b">
        <v>0</v>
      </c>
      <c r="J49" s="16" t="b">
        <v>0</v>
      </c>
      <c r="K49" s="16" t="b">
        <v>0</v>
      </c>
      <c r="L49" s="16" t="b">
        <v>0</v>
      </c>
      <c r="M49" s="16" t="b">
        <v>0</v>
      </c>
      <c r="N49" s="16" t="b">
        <v>0</v>
      </c>
      <c r="O49" s="16" t="b">
        <v>0</v>
      </c>
      <c r="P49" s="16" t="b">
        <v>0</v>
      </c>
      <c r="Q49" s="16" t="b">
        <v>0</v>
      </c>
      <c r="R49" s="16" t="b">
        <v>0</v>
      </c>
      <c r="S49" s="16" t="b">
        <v>0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7" t="str">
        <f t="shared" si="1"/>
        <v>0 dari 31 (0%)</v>
      </c>
    </row>
    <row r="50" ht="22.5" customHeight="1">
      <c r="A50" s="10">
        <v>49.0</v>
      </c>
      <c r="B50" s="11"/>
      <c r="C50" s="140"/>
      <c r="D50" s="138"/>
      <c r="E50" s="138"/>
      <c r="F50" s="13"/>
      <c r="G50" s="6" t="b">
        <v>0</v>
      </c>
      <c r="H50" s="6" t="b">
        <v>0</v>
      </c>
      <c r="I50" s="6" t="b">
        <v>0</v>
      </c>
      <c r="J50" s="6" t="b">
        <v>0</v>
      </c>
      <c r="K50" s="6" t="b">
        <v>0</v>
      </c>
      <c r="L50" s="6" t="b">
        <v>0</v>
      </c>
      <c r="M50" s="6" t="b">
        <v>0</v>
      </c>
      <c r="N50" s="6" t="b">
        <v>0</v>
      </c>
      <c r="O50" s="6" t="b">
        <v>0</v>
      </c>
      <c r="P50" s="6" t="b">
        <v>0</v>
      </c>
      <c r="Q50" s="6" t="b">
        <v>0</v>
      </c>
      <c r="R50" s="6" t="b">
        <v>0</v>
      </c>
      <c r="S50" s="6" t="b">
        <v>0</v>
      </c>
      <c r="T50" s="6" t="b">
        <v>0</v>
      </c>
      <c r="U50" s="6" t="b">
        <v>0</v>
      </c>
      <c r="V50" s="6" t="b">
        <v>0</v>
      </c>
      <c r="W50" s="6" t="b">
        <v>0</v>
      </c>
      <c r="X50" s="6" t="b">
        <v>0</v>
      </c>
      <c r="Y50" s="6" t="b">
        <v>0</v>
      </c>
      <c r="Z50" s="6" t="b">
        <v>0</v>
      </c>
      <c r="AA50" s="6" t="b">
        <v>0</v>
      </c>
      <c r="AB50" s="6" t="b">
        <v>0</v>
      </c>
      <c r="AC50" s="6" t="b">
        <v>0</v>
      </c>
      <c r="AD50" s="6" t="b">
        <v>0</v>
      </c>
      <c r="AE50" s="6" t="b">
        <v>0</v>
      </c>
      <c r="AF50" s="6" t="b">
        <v>0</v>
      </c>
      <c r="AG50" s="6" t="b">
        <v>0</v>
      </c>
      <c r="AH50" s="6" t="b">
        <v>0</v>
      </c>
      <c r="AI50" s="6" t="b">
        <v>0</v>
      </c>
      <c r="AJ50" s="6" t="b">
        <v>0</v>
      </c>
      <c r="AK50" s="6" t="b">
        <v>0</v>
      </c>
      <c r="AL50" s="9" t="str">
        <f t="shared" si="1"/>
        <v>0 dari 31 (0%)</v>
      </c>
    </row>
    <row r="51" ht="22.5" customHeight="1">
      <c r="A51" s="10">
        <v>50.0</v>
      </c>
      <c r="B51" s="11"/>
      <c r="C51" s="140"/>
      <c r="D51" s="138"/>
      <c r="E51" s="138"/>
      <c r="F51" s="13"/>
      <c r="G51" s="6" t="b">
        <v>0</v>
      </c>
      <c r="H51" s="6" t="b">
        <v>0</v>
      </c>
      <c r="I51" s="6" t="b">
        <v>0</v>
      </c>
      <c r="J51" s="6" t="b">
        <v>0</v>
      </c>
      <c r="K51" s="6" t="b">
        <v>0</v>
      </c>
      <c r="L51" s="6" t="b">
        <v>0</v>
      </c>
      <c r="M51" s="6" t="b">
        <v>0</v>
      </c>
      <c r="N51" s="6" t="b">
        <v>0</v>
      </c>
      <c r="O51" s="6" t="b">
        <v>0</v>
      </c>
      <c r="P51" s="6" t="b">
        <v>0</v>
      </c>
      <c r="Q51" s="6" t="b">
        <v>0</v>
      </c>
      <c r="R51" s="6" t="b">
        <v>0</v>
      </c>
      <c r="S51" s="6" t="b">
        <v>0</v>
      </c>
      <c r="T51" s="6" t="b">
        <v>0</v>
      </c>
      <c r="U51" s="6" t="b">
        <v>0</v>
      </c>
      <c r="V51" s="6" t="b">
        <v>0</v>
      </c>
      <c r="W51" s="6" t="b">
        <v>0</v>
      </c>
      <c r="X51" s="6" t="b">
        <v>0</v>
      </c>
      <c r="Y51" s="6" t="b">
        <v>0</v>
      </c>
      <c r="Z51" s="6" t="b">
        <v>0</v>
      </c>
      <c r="AA51" s="6" t="b">
        <v>0</v>
      </c>
      <c r="AB51" s="6" t="b">
        <v>0</v>
      </c>
      <c r="AC51" s="6" t="b">
        <v>0</v>
      </c>
      <c r="AD51" s="6" t="b">
        <v>0</v>
      </c>
      <c r="AE51" s="6" t="b">
        <v>0</v>
      </c>
      <c r="AF51" s="6" t="b">
        <v>0</v>
      </c>
      <c r="AG51" s="6" t="b">
        <v>0</v>
      </c>
      <c r="AH51" s="6" t="b">
        <v>0</v>
      </c>
      <c r="AI51" s="6" t="b">
        <v>0</v>
      </c>
      <c r="AJ51" s="6" t="b">
        <v>0</v>
      </c>
      <c r="AK51" s="6" t="b">
        <v>0</v>
      </c>
      <c r="AL51" s="17" t="str">
        <f t="shared" si="1"/>
        <v>0 dari 31 (0%)</v>
      </c>
    </row>
    <row r="52" ht="22.5" customHeight="1">
      <c r="A52" s="2">
        <v>51.0</v>
      </c>
      <c r="B52" s="11"/>
      <c r="C52" s="140"/>
      <c r="D52" s="138"/>
      <c r="E52" s="138"/>
      <c r="F52" s="13"/>
      <c r="G52" s="6" t="b">
        <v>0</v>
      </c>
      <c r="H52" s="6" t="b">
        <v>0</v>
      </c>
      <c r="I52" s="6" t="b">
        <v>0</v>
      </c>
      <c r="J52" s="6" t="b">
        <v>0</v>
      </c>
      <c r="K52" s="6" t="b">
        <v>0</v>
      </c>
      <c r="L52" s="6" t="b">
        <v>0</v>
      </c>
      <c r="M52" s="6" t="b">
        <v>0</v>
      </c>
      <c r="N52" s="6" t="b">
        <v>0</v>
      </c>
      <c r="O52" s="6" t="b">
        <v>0</v>
      </c>
      <c r="P52" s="6" t="b">
        <v>0</v>
      </c>
      <c r="Q52" s="6" t="b">
        <v>0</v>
      </c>
      <c r="R52" s="6" t="b">
        <v>0</v>
      </c>
      <c r="S52" s="6" t="b">
        <v>0</v>
      </c>
      <c r="T52" s="6" t="b">
        <v>0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0</v>
      </c>
      <c r="Z52" s="6" t="b">
        <v>0</v>
      </c>
      <c r="AA52" s="6" t="b">
        <v>0</v>
      </c>
      <c r="AB52" s="6" t="b">
        <v>0</v>
      </c>
      <c r="AC52" s="6" t="b">
        <v>0</v>
      </c>
      <c r="AD52" s="6" t="b">
        <v>0</v>
      </c>
      <c r="AE52" s="6" t="b">
        <v>0</v>
      </c>
      <c r="AF52" s="6" t="b">
        <v>0</v>
      </c>
      <c r="AG52" s="6" t="b">
        <v>0</v>
      </c>
      <c r="AH52" s="6" t="b">
        <v>0</v>
      </c>
      <c r="AI52" s="6" t="b">
        <v>0</v>
      </c>
      <c r="AJ52" s="6" t="b">
        <v>0</v>
      </c>
      <c r="AK52" s="6" t="b">
        <v>0</v>
      </c>
      <c r="AL52" s="9" t="str">
        <f t="shared" si="1"/>
        <v>0 dari 31 (0%)</v>
      </c>
    </row>
    <row r="53" ht="22.5" customHeight="1">
      <c r="A53" s="10">
        <v>52.0</v>
      </c>
      <c r="B53" s="11"/>
      <c r="C53" s="140"/>
      <c r="D53" s="138"/>
      <c r="E53" s="138"/>
      <c r="F53" s="13"/>
      <c r="G53" s="6" t="b">
        <v>0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6" t="b">
        <v>0</v>
      </c>
      <c r="P53" s="6" t="b">
        <v>0</v>
      </c>
      <c r="Q53" s="6" t="b">
        <v>0</v>
      </c>
      <c r="R53" s="6" t="b">
        <v>0</v>
      </c>
      <c r="S53" s="6" t="b">
        <v>0</v>
      </c>
      <c r="T53" s="6" t="b">
        <v>0</v>
      </c>
      <c r="U53" s="6" t="b">
        <v>0</v>
      </c>
      <c r="V53" s="6" t="b">
        <v>0</v>
      </c>
      <c r="W53" s="6" t="b">
        <v>0</v>
      </c>
      <c r="X53" s="6" t="b">
        <v>0</v>
      </c>
      <c r="Y53" s="6" t="b">
        <v>0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0</v>
      </c>
      <c r="AH53" s="6" t="b">
        <v>0</v>
      </c>
      <c r="AI53" s="6" t="b">
        <v>0</v>
      </c>
      <c r="AJ53" s="6" t="b">
        <v>0</v>
      </c>
      <c r="AK53" s="6" t="b">
        <v>0</v>
      </c>
      <c r="AL53" s="9" t="str">
        <f t="shared" si="1"/>
        <v>0 dari 31 (0%)</v>
      </c>
    </row>
    <row r="54" ht="22.5" customHeight="1">
      <c r="A54" s="10">
        <v>53.0</v>
      </c>
      <c r="B54" s="11"/>
      <c r="C54" s="140"/>
      <c r="D54" s="138"/>
      <c r="E54" s="138"/>
      <c r="F54" s="13"/>
      <c r="G54" s="6" t="b">
        <v>0</v>
      </c>
      <c r="H54" s="6" t="b">
        <v>0</v>
      </c>
      <c r="I54" s="6" t="b">
        <v>0</v>
      </c>
      <c r="J54" s="6" t="b">
        <v>0</v>
      </c>
      <c r="K54" s="6" t="b">
        <v>0</v>
      </c>
      <c r="L54" s="6" t="b">
        <v>0</v>
      </c>
      <c r="M54" s="6" t="b">
        <v>0</v>
      </c>
      <c r="N54" s="6" t="b">
        <v>0</v>
      </c>
      <c r="O54" s="6" t="b">
        <v>0</v>
      </c>
      <c r="P54" s="6" t="b">
        <v>0</v>
      </c>
      <c r="Q54" s="6" t="b">
        <v>0</v>
      </c>
      <c r="R54" s="6" t="b">
        <v>0</v>
      </c>
      <c r="S54" s="6" t="b">
        <v>0</v>
      </c>
      <c r="T54" s="6" t="b">
        <v>0</v>
      </c>
      <c r="U54" s="6" t="b">
        <v>0</v>
      </c>
      <c r="V54" s="6" t="b">
        <v>0</v>
      </c>
      <c r="W54" s="6" t="b">
        <v>0</v>
      </c>
      <c r="X54" s="6" t="b">
        <v>0</v>
      </c>
      <c r="Y54" s="6" t="b">
        <v>0</v>
      </c>
      <c r="Z54" s="6" t="b">
        <v>0</v>
      </c>
      <c r="AA54" s="6" t="b">
        <v>0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0</v>
      </c>
      <c r="AH54" s="6" t="b">
        <v>0</v>
      </c>
      <c r="AI54" s="6" t="b">
        <v>0</v>
      </c>
      <c r="AJ54" s="6" t="b">
        <v>0</v>
      </c>
      <c r="AK54" s="6" t="b">
        <v>0</v>
      </c>
      <c r="AL54" s="17" t="str">
        <f t="shared" si="1"/>
        <v>0 dari 31 (0%)</v>
      </c>
    </row>
    <row r="55" ht="22.5" customHeight="1">
      <c r="A55" s="2">
        <v>54.0</v>
      </c>
      <c r="B55" s="11"/>
      <c r="C55" s="140"/>
      <c r="D55" s="138"/>
      <c r="E55" s="138"/>
      <c r="F55" s="13"/>
      <c r="G55" s="6" t="b">
        <v>0</v>
      </c>
      <c r="H55" s="6" t="b">
        <v>0</v>
      </c>
      <c r="I55" s="6" t="b">
        <v>0</v>
      </c>
      <c r="J55" s="6" t="b">
        <v>0</v>
      </c>
      <c r="K55" s="6" t="b">
        <v>0</v>
      </c>
      <c r="L55" s="6" t="b">
        <v>0</v>
      </c>
      <c r="M55" s="6" t="b">
        <v>0</v>
      </c>
      <c r="N55" s="6" t="b">
        <v>0</v>
      </c>
      <c r="O55" s="6" t="b">
        <v>0</v>
      </c>
      <c r="P55" s="6" t="b">
        <v>0</v>
      </c>
      <c r="Q55" s="6" t="b">
        <v>0</v>
      </c>
      <c r="R55" s="6" t="b">
        <v>0</v>
      </c>
      <c r="S55" s="6" t="b">
        <v>0</v>
      </c>
      <c r="T55" s="6" t="b">
        <v>0</v>
      </c>
      <c r="U55" s="6" t="b">
        <v>0</v>
      </c>
      <c r="V55" s="6" t="b">
        <v>0</v>
      </c>
      <c r="W55" s="6" t="b">
        <v>0</v>
      </c>
      <c r="X55" s="6" t="b">
        <v>0</v>
      </c>
      <c r="Y55" s="6" t="b">
        <v>0</v>
      </c>
      <c r="Z55" s="6" t="b">
        <v>0</v>
      </c>
      <c r="AA55" s="6" t="b">
        <v>0</v>
      </c>
      <c r="AB55" s="6" t="b">
        <v>0</v>
      </c>
      <c r="AC55" s="6" t="b">
        <v>0</v>
      </c>
      <c r="AD55" s="6" t="b">
        <v>0</v>
      </c>
      <c r="AE55" s="6" t="b">
        <v>0</v>
      </c>
      <c r="AF55" s="6" t="b">
        <v>0</v>
      </c>
      <c r="AG55" s="6" t="b">
        <v>0</v>
      </c>
      <c r="AH55" s="6" t="b">
        <v>0</v>
      </c>
      <c r="AI55" s="6" t="b">
        <v>0</v>
      </c>
      <c r="AJ55" s="6" t="b">
        <v>0</v>
      </c>
      <c r="AK55" s="6" t="b">
        <v>0</v>
      </c>
      <c r="AL55" s="9" t="str">
        <f t="shared" si="1"/>
        <v>0 dari 31 (0%)</v>
      </c>
    </row>
    <row r="56" ht="22.5" customHeight="1">
      <c r="A56" s="10">
        <v>55.0</v>
      </c>
      <c r="B56" s="11"/>
      <c r="C56" s="140"/>
      <c r="D56" s="138"/>
      <c r="E56" s="138"/>
      <c r="F56" s="13"/>
      <c r="G56" s="6" t="b">
        <v>0</v>
      </c>
      <c r="H56" s="6" t="b">
        <v>0</v>
      </c>
      <c r="I56" s="6" t="b">
        <v>0</v>
      </c>
      <c r="J56" s="6" t="b">
        <v>0</v>
      </c>
      <c r="K56" s="6" t="b">
        <v>0</v>
      </c>
      <c r="L56" s="6" t="b">
        <v>0</v>
      </c>
      <c r="M56" s="6" t="b">
        <v>0</v>
      </c>
      <c r="N56" s="6" t="b">
        <v>0</v>
      </c>
      <c r="O56" s="6" t="b">
        <v>0</v>
      </c>
      <c r="P56" s="6" t="b">
        <v>0</v>
      </c>
      <c r="Q56" s="6" t="b">
        <v>0</v>
      </c>
      <c r="R56" s="6" t="b">
        <v>0</v>
      </c>
      <c r="S56" s="6" t="b">
        <v>0</v>
      </c>
      <c r="T56" s="6" t="b">
        <v>0</v>
      </c>
      <c r="U56" s="6" t="b">
        <v>0</v>
      </c>
      <c r="V56" s="6" t="b">
        <v>0</v>
      </c>
      <c r="W56" s="6" t="b">
        <v>0</v>
      </c>
      <c r="X56" s="6" t="b">
        <v>0</v>
      </c>
      <c r="Y56" s="6" t="b">
        <v>0</v>
      </c>
      <c r="Z56" s="6" t="b">
        <v>0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0</v>
      </c>
      <c r="AF56" s="6" t="b">
        <v>0</v>
      </c>
      <c r="AG56" s="6" t="b">
        <v>0</v>
      </c>
      <c r="AH56" s="6" t="b">
        <v>0</v>
      </c>
      <c r="AI56" s="6" t="b">
        <v>0</v>
      </c>
      <c r="AJ56" s="6" t="b">
        <v>0</v>
      </c>
      <c r="AK56" s="6" t="b">
        <v>0</v>
      </c>
      <c r="AL56" s="9" t="str">
        <f t="shared" si="1"/>
        <v>0 dari 31 (0%)</v>
      </c>
    </row>
    <row r="57" ht="22.5" customHeight="1">
      <c r="A57" s="10">
        <v>56.0</v>
      </c>
      <c r="B57" s="11"/>
      <c r="C57" s="140"/>
      <c r="D57" s="138"/>
      <c r="E57" s="138"/>
      <c r="F57" s="13"/>
      <c r="G57" s="6" t="b">
        <v>0</v>
      </c>
      <c r="H57" s="6" t="b">
        <v>0</v>
      </c>
      <c r="I57" s="6" t="b">
        <v>0</v>
      </c>
      <c r="J57" s="6" t="b">
        <v>0</v>
      </c>
      <c r="K57" s="6" t="b">
        <v>0</v>
      </c>
      <c r="L57" s="6" t="b">
        <v>0</v>
      </c>
      <c r="M57" s="6" t="b">
        <v>0</v>
      </c>
      <c r="N57" s="6" t="b">
        <v>0</v>
      </c>
      <c r="O57" s="6" t="b">
        <v>0</v>
      </c>
      <c r="P57" s="6" t="b">
        <v>0</v>
      </c>
      <c r="Q57" s="6" t="b">
        <v>0</v>
      </c>
      <c r="R57" s="6" t="b">
        <v>0</v>
      </c>
      <c r="S57" s="6" t="b">
        <v>0</v>
      </c>
      <c r="T57" s="6" t="b">
        <v>0</v>
      </c>
      <c r="U57" s="6" t="b">
        <v>0</v>
      </c>
      <c r="V57" s="6" t="b">
        <v>0</v>
      </c>
      <c r="W57" s="6" t="b">
        <v>0</v>
      </c>
      <c r="X57" s="6" t="b">
        <v>0</v>
      </c>
      <c r="Y57" s="6" t="b">
        <v>0</v>
      </c>
      <c r="Z57" s="6" t="b">
        <v>0</v>
      </c>
      <c r="AA57" s="6" t="b">
        <v>0</v>
      </c>
      <c r="AB57" s="6" t="b">
        <v>0</v>
      </c>
      <c r="AC57" s="6" t="b">
        <v>0</v>
      </c>
      <c r="AD57" s="6" t="b">
        <v>0</v>
      </c>
      <c r="AE57" s="6" t="b">
        <v>0</v>
      </c>
      <c r="AF57" s="6" t="b">
        <v>0</v>
      </c>
      <c r="AG57" s="6" t="b">
        <v>0</v>
      </c>
      <c r="AH57" s="6" t="b">
        <v>0</v>
      </c>
      <c r="AI57" s="6" t="b">
        <v>0</v>
      </c>
      <c r="AJ57" s="6" t="b">
        <v>0</v>
      </c>
      <c r="AK57" s="6" t="b">
        <v>0</v>
      </c>
      <c r="AL57" s="17" t="str">
        <f t="shared" si="1"/>
        <v>0 dari 31 (0%)</v>
      </c>
    </row>
    <row r="58" ht="22.5" customHeight="1">
      <c r="A58" s="2">
        <v>57.0</v>
      </c>
      <c r="B58" s="11"/>
      <c r="C58" s="140"/>
      <c r="D58" s="138"/>
      <c r="E58" s="138"/>
      <c r="F58" s="13"/>
      <c r="G58" s="6" t="b">
        <v>0</v>
      </c>
      <c r="H58" s="6" t="b">
        <v>0</v>
      </c>
      <c r="I58" s="6" t="b">
        <v>0</v>
      </c>
      <c r="J58" s="6" t="b">
        <v>0</v>
      </c>
      <c r="K58" s="6" t="b">
        <v>0</v>
      </c>
      <c r="L58" s="6" t="b">
        <v>0</v>
      </c>
      <c r="M58" s="6" t="b">
        <v>0</v>
      </c>
      <c r="N58" s="6" t="b">
        <v>0</v>
      </c>
      <c r="O58" s="6" t="b">
        <v>0</v>
      </c>
      <c r="P58" s="6" t="b">
        <v>0</v>
      </c>
      <c r="Q58" s="6" t="b">
        <v>0</v>
      </c>
      <c r="R58" s="6" t="b">
        <v>0</v>
      </c>
      <c r="S58" s="6" t="b">
        <v>0</v>
      </c>
      <c r="T58" s="6" t="b">
        <v>0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0</v>
      </c>
      <c r="Z58" s="6" t="b">
        <v>0</v>
      </c>
      <c r="AA58" s="6" t="b">
        <v>0</v>
      </c>
      <c r="AB58" s="6" t="b">
        <v>0</v>
      </c>
      <c r="AC58" s="6" t="b">
        <v>0</v>
      </c>
      <c r="AD58" s="6" t="b">
        <v>0</v>
      </c>
      <c r="AE58" s="6" t="b">
        <v>0</v>
      </c>
      <c r="AF58" s="6" t="b">
        <v>0</v>
      </c>
      <c r="AG58" s="6" t="b">
        <v>0</v>
      </c>
      <c r="AH58" s="6" t="b">
        <v>0</v>
      </c>
      <c r="AI58" s="6" t="b">
        <v>0</v>
      </c>
      <c r="AJ58" s="6" t="b">
        <v>0</v>
      </c>
      <c r="AK58" s="6" t="b">
        <v>0</v>
      </c>
      <c r="AL58" s="9" t="str">
        <f t="shared" si="1"/>
        <v>0 dari 31 (0%)</v>
      </c>
    </row>
    <row r="59" ht="22.5" customHeight="1">
      <c r="A59" s="10">
        <v>58.0</v>
      </c>
      <c r="B59" s="11"/>
      <c r="C59" s="140"/>
      <c r="D59" s="138"/>
      <c r="E59" s="138"/>
      <c r="F59" s="13"/>
      <c r="G59" s="6" t="b">
        <v>0</v>
      </c>
      <c r="H59" s="6" t="b">
        <v>0</v>
      </c>
      <c r="I59" s="6" t="b">
        <v>0</v>
      </c>
      <c r="J59" s="6" t="b">
        <v>0</v>
      </c>
      <c r="K59" s="6" t="b">
        <v>0</v>
      </c>
      <c r="L59" s="6" t="b">
        <v>0</v>
      </c>
      <c r="M59" s="6" t="b">
        <v>0</v>
      </c>
      <c r="N59" s="6" t="b">
        <v>0</v>
      </c>
      <c r="O59" s="6" t="b">
        <v>0</v>
      </c>
      <c r="P59" s="6" t="b">
        <v>0</v>
      </c>
      <c r="Q59" s="6" t="b">
        <v>0</v>
      </c>
      <c r="R59" s="6" t="b">
        <v>0</v>
      </c>
      <c r="S59" s="6" t="b">
        <v>0</v>
      </c>
      <c r="T59" s="6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0</v>
      </c>
      <c r="AD59" s="6" t="b">
        <v>0</v>
      </c>
      <c r="AE59" s="6" t="b">
        <v>0</v>
      </c>
      <c r="AF59" s="6" t="b">
        <v>0</v>
      </c>
      <c r="AG59" s="6" t="b">
        <v>0</v>
      </c>
      <c r="AH59" s="6" t="b">
        <v>0</v>
      </c>
      <c r="AI59" s="6" t="b">
        <v>0</v>
      </c>
      <c r="AJ59" s="6" t="b">
        <v>0</v>
      </c>
      <c r="AK59" s="6" t="b">
        <v>0</v>
      </c>
      <c r="AL59" s="9" t="str">
        <f t="shared" si="1"/>
        <v>0 dari 31 (0%)</v>
      </c>
    </row>
    <row r="60" ht="22.5" customHeight="1">
      <c r="A60" s="10">
        <v>59.0</v>
      </c>
      <c r="B60" s="11"/>
      <c r="C60" s="140"/>
      <c r="D60" s="138"/>
      <c r="E60" s="138"/>
      <c r="F60" s="13"/>
      <c r="G60" s="6" t="b">
        <v>0</v>
      </c>
      <c r="H60" s="6" t="b">
        <v>0</v>
      </c>
      <c r="I60" s="6" t="b">
        <v>0</v>
      </c>
      <c r="J60" s="6" t="b">
        <v>0</v>
      </c>
      <c r="K60" s="6" t="b">
        <v>0</v>
      </c>
      <c r="L60" s="6" t="b">
        <v>0</v>
      </c>
      <c r="M60" s="6" t="b">
        <v>0</v>
      </c>
      <c r="N60" s="6" t="b">
        <v>0</v>
      </c>
      <c r="O60" s="6" t="b">
        <v>0</v>
      </c>
      <c r="P60" s="6" t="b">
        <v>0</v>
      </c>
      <c r="Q60" s="6" t="b">
        <v>0</v>
      </c>
      <c r="R60" s="6" t="b">
        <v>0</v>
      </c>
      <c r="S60" s="6" t="b">
        <v>0</v>
      </c>
      <c r="T60" s="6" t="b">
        <v>0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0</v>
      </c>
      <c r="Z60" s="6" t="b">
        <v>0</v>
      </c>
      <c r="AA60" s="6" t="b">
        <v>0</v>
      </c>
      <c r="AB60" s="6" t="b">
        <v>0</v>
      </c>
      <c r="AC60" s="6" t="b">
        <v>0</v>
      </c>
      <c r="AD60" s="6" t="b">
        <v>0</v>
      </c>
      <c r="AE60" s="6" t="b">
        <v>0</v>
      </c>
      <c r="AF60" s="6" t="b">
        <v>0</v>
      </c>
      <c r="AG60" s="6" t="b">
        <v>0</v>
      </c>
      <c r="AH60" s="6" t="b">
        <v>0</v>
      </c>
      <c r="AI60" s="6" t="b">
        <v>0</v>
      </c>
      <c r="AJ60" s="6" t="b">
        <v>0</v>
      </c>
      <c r="AK60" s="6" t="b">
        <v>0</v>
      </c>
      <c r="AL60" s="17" t="str">
        <f t="shared" si="1"/>
        <v>0 dari 31 (0%)</v>
      </c>
    </row>
    <row r="61" ht="22.5" customHeight="1">
      <c r="A61" s="2">
        <v>60.0</v>
      </c>
      <c r="B61" s="11"/>
      <c r="C61" s="140"/>
      <c r="D61" s="138"/>
      <c r="E61" s="138"/>
      <c r="F61" s="13"/>
      <c r="G61" s="6" t="b">
        <v>0</v>
      </c>
      <c r="H61" s="6" t="b">
        <v>0</v>
      </c>
      <c r="I61" s="6" t="b">
        <v>0</v>
      </c>
      <c r="J61" s="6" t="b">
        <v>0</v>
      </c>
      <c r="K61" s="6" t="b">
        <v>0</v>
      </c>
      <c r="L61" s="6" t="b">
        <v>0</v>
      </c>
      <c r="M61" s="6" t="b">
        <v>0</v>
      </c>
      <c r="N61" s="6" t="b">
        <v>0</v>
      </c>
      <c r="O61" s="6" t="b">
        <v>0</v>
      </c>
      <c r="P61" s="6" t="b">
        <v>0</v>
      </c>
      <c r="Q61" s="6" t="b">
        <v>0</v>
      </c>
      <c r="R61" s="6" t="b">
        <v>0</v>
      </c>
      <c r="S61" s="6" t="b">
        <v>0</v>
      </c>
      <c r="T61" s="6" t="b">
        <v>0</v>
      </c>
      <c r="U61" s="6" t="b">
        <v>0</v>
      </c>
      <c r="V61" s="6" t="b">
        <v>0</v>
      </c>
      <c r="W61" s="6" t="b">
        <v>0</v>
      </c>
      <c r="X61" s="6" t="b">
        <v>0</v>
      </c>
      <c r="Y61" s="6" t="b">
        <v>0</v>
      </c>
      <c r="Z61" s="6" t="b">
        <v>0</v>
      </c>
      <c r="AA61" s="6" t="b">
        <v>0</v>
      </c>
      <c r="AB61" s="6" t="b">
        <v>0</v>
      </c>
      <c r="AC61" s="6" t="b">
        <v>0</v>
      </c>
      <c r="AD61" s="6" t="b">
        <v>0</v>
      </c>
      <c r="AE61" s="6" t="b">
        <v>0</v>
      </c>
      <c r="AF61" s="6" t="b">
        <v>0</v>
      </c>
      <c r="AG61" s="6" t="b">
        <v>0</v>
      </c>
      <c r="AH61" s="6" t="b">
        <v>0</v>
      </c>
      <c r="AI61" s="6" t="b">
        <v>0</v>
      </c>
      <c r="AJ61" s="6" t="b">
        <v>0</v>
      </c>
      <c r="AK61" s="6" t="b">
        <v>0</v>
      </c>
      <c r="AL61" s="9" t="str">
        <f t="shared" si="1"/>
        <v>0 dari 31 (0%)</v>
      </c>
    </row>
    <row r="62" ht="22.5" customHeight="1">
      <c r="A62" s="10">
        <v>61.0</v>
      </c>
      <c r="B62" s="11"/>
      <c r="C62" s="140"/>
      <c r="D62" s="138"/>
      <c r="E62" s="138"/>
      <c r="F62" s="13"/>
      <c r="G62" s="6" t="b">
        <v>0</v>
      </c>
      <c r="H62" s="6" t="b">
        <v>0</v>
      </c>
      <c r="I62" s="6" t="b">
        <v>0</v>
      </c>
      <c r="J62" s="6" t="b">
        <v>0</v>
      </c>
      <c r="K62" s="6" t="b">
        <v>0</v>
      </c>
      <c r="L62" s="6" t="b">
        <v>0</v>
      </c>
      <c r="M62" s="6" t="b">
        <v>0</v>
      </c>
      <c r="N62" s="6" t="b">
        <v>0</v>
      </c>
      <c r="O62" s="6" t="b">
        <v>0</v>
      </c>
      <c r="P62" s="6" t="b">
        <v>0</v>
      </c>
      <c r="Q62" s="6" t="b">
        <v>0</v>
      </c>
      <c r="R62" s="6" t="b">
        <v>0</v>
      </c>
      <c r="S62" s="6" t="b">
        <v>0</v>
      </c>
      <c r="T62" s="6" t="b">
        <v>0</v>
      </c>
      <c r="U62" s="6" t="b">
        <v>0</v>
      </c>
      <c r="V62" s="6" t="b">
        <v>0</v>
      </c>
      <c r="W62" s="6" t="b">
        <v>0</v>
      </c>
      <c r="X62" s="6" t="b">
        <v>0</v>
      </c>
      <c r="Y62" s="6" t="b">
        <v>0</v>
      </c>
      <c r="Z62" s="6" t="b">
        <v>0</v>
      </c>
      <c r="AA62" s="6" t="b">
        <v>0</v>
      </c>
      <c r="AB62" s="6" t="b">
        <v>0</v>
      </c>
      <c r="AC62" s="6" t="b">
        <v>0</v>
      </c>
      <c r="AD62" s="6" t="b">
        <v>0</v>
      </c>
      <c r="AE62" s="6" t="b">
        <v>0</v>
      </c>
      <c r="AF62" s="6" t="b">
        <v>0</v>
      </c>
      <c r="AG62" s="6" t="b">
        <v>0</v>
      </c>
      <c r="AH62" s="6" t="b">
        <v>0</v>
      </c>
      <c r="AI62" s="6" t="b">
        <v>0</v>
      </c>
      <c r="AJ62" s="6" t="b">
        <v>0</v>
      </c>
      <c r="AK62" s="6" t="b">
        <v>0</v>
      </c>
      <c r="AL62" s="9" t="str">
        <f t="shared" si="1"/>
        <v>0 dari 31 (0%)</v>
      </c>
    </row>
    <row r="63" ht="22.5" customHeight="1">
      <c r="A63" s="10">
        <v>62.0</v>
      </c>
      <c r="B63" s="11"/>
      <c r="C63" s="140"/>
      <c r="D63" s="138"/>
      <c r="E63" s="138"/>
      <c r="F63" s="13"/>
      <c r="G63" s="6" t="b">
        <v>0</v>
      </c>
      <c r="H63" s="6" t="b">
        <v>0</v>
      </c>
      <c r="I63" s="6" t="b">
        <v>0</v>
      </c>
      <c r="J63" s="6" t="b">
        <v>0</v>
      </c>
      <c r="K63" s="6" t="b">
        <v>0</v>
      </c>
      <c r="L63" s="6" t="b">
        <v>0</v>
      </c>
      <c r="M63" s="6" t="b">
        <v>0</v>
      </c>
      <c r="N63" s="6" t="b">
        <v>0</v>
      </c>
      <c r="O63" s="6" t="b">
        <v>0</v>
      </c>
      <c r="P63" s="6" t="b">
        <v>0</v>
      </c>
      <c r="Q63" s="6" t="b">
        <v>0</v>
      </c>
      <c r="R63" s="6" t="b">
        <v>0</v>
      </c>
      <c r="S63" s="6" t="b">
        <v>0</v>
      </c>
      <c r="T63" s="6" t="b">
        <v>0</v>
      </c>
      <c r="U63" s="6" t="b">
        <v>0</v>
      </c>
      <c r="V63" s="6" t="b">
        <v>0</v>
      </c>
      <c r="W63" s="6" t="b">
        <v>0</v>
      </c>
      <c r="X63" s="6" t="b">
        <v>0</v>
      </c>
      <c r="Y63" s="6" t="b">
        <v>0</v>
      </c>
      <c r="Z63" s="6" t="b">
        <v>0</v>
      </c>
      <c r="AA63" s="6" t="b">
        <v>0</v>
      </c>
      <c r="AB63" s="6" t="b">
        <v>0</v>
      </c>
      <c r="AC63" s="6" t="b">
        <v>0</v>
      </c>
      <c r="AD63" s="6" t="b">
        <v>0</v>
      </c>
      <c r="AE63" s="6" t="b">
        <v>0</v>
      </c>
      <c r="AF63" s="6" t="b">
        <v>0</v>
      </c>
      <c r="AG63" s="6" t="b">
        <v>0</v>
      </c>
      <c r="AH63" s="6" t="b">
        <v>0</v>
      </c>
      <c r="AI63" s="6" t="b">
        <v>0</v>
      </c>
      <c r="AJ63" s="6" t="b">
        <v>0</v>
      </c>
      <c r="AK63" s="6" t="b">
        <v>0</v>
      </c>
      <c r="AL63" s="17" t="str">
        <f t="shared" si="1"/>
        <v>0 dari 31 (0%)</v>
      </c>
    </row>
    <row r="64" ht="22.5" customHeight="1">
      <c r="A64" s="2">
        <v>63.0</v>
      </c>
      <c r="B64" s="11"/>
      <c r="C64" s="140"/>
      <c r="D64" s="138"/>
      <c r="E64" s="138"/>
      <c r="F64" s="13"/>
      <c r="G64" s="6" t="b">
        <v>0</v>
      </c>
      <c r="H64" s="6" t="b">
        <v>0</v>
      </c>
      <c r="I64" s="6" t="b">
        <v>0</v>
      </c>
      <c r="J64" s="6" t="b">
        <v>0</v>
      </c>
      <c r="K64" s="6" t="b">
        <v>0</v>
      </c>
      <c r="L64" s="6" t="b">
        <v>0</v>
      </c>
      <c r="M64" s="6" t="b">
        <v>0</v>
      </c>
      <c r="N64" s="6" t="b">
        <v>0</v>
      </c>
      <c r="O64" s="6" t="b">
        <v>0</v>
      </c>
      <c r="P64" s="6" t="b">
        <v>0</v>
      </c>
      <c r="Q64" s="6" t="b">
        <v>0</v>
      </c>
      <c r="R64" s="6" t="b">
        <v>0</v>
      </c>
      <c r="S64" s="6" t="b">
        <v>0</v>
      </c>
      <c r="T64" s="6" t="b">
        <v>0</v>
      </c>
      <c r="U64" s="6" t="b">
        <v>0</v>
      </c>
      <c r="V64" s="6" t="b">
        <v>0</v>
      </c>
      <c r="W64" s="6" t="b">
        <v>0</v>
      </c>
      <c r="X64" s="6" t="b">
        <v>0</v>
      </c>
      <c r="Y64" s="6" t="b">
        <v>0</v>
      </c>
      <c r="Z64" s="6" t="b">
        <v>0</v>
      </c>
      <c r="AA64" s="6" t="b">
        <v>0</v>
      </c>
      <c r="AB64" s="6" t="b">
        <v>0</v>
      </c>
      <c r="AC64" s="6" t="b">
        <v>0</v>
      </c>
      <c r="AD64" s="6" t="b">
        <v>0</v>
      </c>
      <c r="AE64" s="6" t="b">
        <v>0</v>
      </c>
      <c r="AF64" s="6" t="b">
        <v>0</v>
      </c>
      <c r="AG64" s="6" t="b">
        <v>0</v>
      </c>
      <c r="AH64" s="6" t="b">
        <v>0</v>
      </c>
      <c r="AI64" s="6" t="b">
        <v>0</v>
      </c>
      <c r="AJ64" s="6" t="b">
        <v>0</v>
      </c>
      <c r="AK64" s="6" t="b">
        <v>0</v>
      </c>
      <c r="AL64" s="9" t="str">
        <f t="shared" si="1"/>
        <v>0 dari 31 (0%)</v>
      </c>
    </row>
    <row r="65" ht="22.5" customHeight="1">
      <c r="A65" s="10">
        <v>64.0</v>
      </c>
      <c r="B65" s="11"/>
      <c r="C65" s="140"/>
      <c r="D65" s="138"/>
      <c r="E65" s="138"/>
      <c r="F65" s="13"/>
      <c r="G65" s="6" t="b">
        <v>0</v>
      </c>
      <c r="H65" s="6" t="b">
        <v>0</v>
      </c>
      <c r="I65" s="6" t="b">
        <v>0</v>
      </c>
      <c r="J65" s="6" t="b">
        <v>0</v>
      </c>
      <c r="K65" s="6" t="b">
        <v>0</v>
      </c>
      <c r="L65" s="6" t="b">
        <v>0</v>
      </c>
      <c r="M65" s="6" t="b">
        <v>0</v>
      </c>
      <c r="N65" s="6" t="b">
        <v>0</v>
      </c>
      <c r="O65" s="6" t="b">
        <v>0</v>
      </c>
      <c r="P65" s="6" t="b">
        <v>0</v>
      </c>
      <c r="Q65" s="6" t="b">
        <v>0</v>
      </c>
      <c r="R65" s="6" t="b">
        <v>0</v>
      </c>
      <c r="S65" s="6" t="b">
        <v>0</v>
      </c>
      <c r="T65" s="6" t="b">
        <v>0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0</v>
      </c>
      <c r="AD65" s="6" t="b">
        <v>0</v>
      </c>
      <c r="AE65" s="6" t="b">
        <v>0</v>
      </c>
      <c r="AF65" s="6" t="b">
        <v>0</v>
      </c>
      <c r="AG65" s="6" t="b">
        <v>0</v>
      </c>
      <c r="AH65" s="6" t="b">
        <v>0</v>
      </c>
      <c r="AI65" s="6" t="b">
        <v>0</v>
      </c>
      <c r="AJ65" s="6" t="b">
        <v>0</v>
      </c>
      <c r="AK65" s="6" t="b">
        <v>0</v>
      </c>
      <c r="AL65" s="9" t="str">
        <f t="shared" si="1"/>
        <v>0 dari 31 (0%)</v>
      </c>
    </row>
    <row r="66" ht="22.5" customHeight="1">
      <c r="A66" s="10">
        <v>65.0</v>
      </c>
      <c r="B66" s="11"/>
      <c r="C66" s="140"/>
      <c r="D66" s="138"/>
      <c r="E66" s="138"/>
      <c r="F66" s="13"/>
      <c r="G66" s="6" t="b">
        <v>0</v>
      </c>
      <c r="H66" s="6" t="b">
        <v>0</v>
      </c>
      <c r="I66" s="6" t="b">
        <v>0</v>
      </c>
      <c r="J66" s="6" t="b">
        <v>0</v>
      </c>
      <c r="K66" s="6" t="b">
        <v>0</v>
      </c>
      <c r="L66" s="6" t="b">
        <v>0</v>
      </c>
      <c r="M66" s="6" t="b">
        <v>0</v>
      </c>
      <c r="N66" s="6" t="b">
        <v>0</v>
      </c>
      <c r="O66" s="6" t="b">
        <v>0</v>
      </c>
      <c r="P66" s="6" t="b">
        <v>0</v>
      </c>
      <c r="Q66" s="6" t="b">
        <v>0</v>
      </c>
      <c r="R66" s="6" t="b">
        <v>0</v>
      </c>
      <c r="S66" s="6" t="b">
        <v>0</v>
      </c>
      <c r="T66" s="6" t="b">
        <v>0</v>
      </c>
      <c r="U66" s="6" t="b">
        <v>0</v>
      </c>
      <c r="V66" s="6" t="b">
        <v>0</v>
      </c>
      <c r="W66" s="6" t="b">
        <v>0</v>
      </c>
      <c r="X66" s="6" t="b">
        <v>0</v>
      </c>
      <c r="Y66" s="6" t="b">
        <v>0</v>
      </c>
      <c r="Z66" s="6" t="b">
        <v>0</v>
      </c>
      <c r="AA66" s="6" t="b">
        <v>0</v>
      </c>
      <c r="AB66" s="6" t="b">
        <v>0</v>
      </c>
      <c r="AC66" s="6" t="b">
        <v>0</v>
      </c>
      <c r="AD66" s="6" t="b">
        <v>0</v>
      </c>
      <c r="AE66" s="6" t="b">
        <v>0</v>
      </c>
      <c r="AF66" s="6" t="b">
        <v>0</v>
      </c>
      <c r="AG66" s="6" t="b">
        <v>0</v>
      </c>
      <c r="AH66" s="6" t="b">
        <v>0</v>
      </c>
      <c r="AI66" s="6" t="b">
        <v>0</v>
      </c>
      <c r="AJ66" s="6" t="b">
        <v>0</v>
      </c>
      <c r="AK66" s="6" t="b">
        <v>0</v>
      </c>
      <c r="AL66" s="17" t="str">
        <f t="shared" si="1"/>
        <v>0 dari 31 (0%)</v>
      </c>
    </row>
    <row r="67" ht="22.5" customHeight="1">
      <c r="A67" s="2">
        <v>66.0</v>
      </c>
      <c r="B67" s="11"/>
      <c r="C67" s="140"/>
      <c r="D67" s="138"/>
      <c r="E67" s="138"/>
      <c r="F67" s="13"/>
      <c r="G67" s="6" t="b">
        <v>0</v>
      </c>
      <c r="H67" s="6" t="b">
        <v>0</v>
      </c>
      <c r="I67" s="6" t="b">
        <v>0</v>
      </c>
      <c r="J67" s="6" t="b">
        <v>0</v>
      </c>
      <c r="K67" s="6" t="b">
        <v>0</v>
      </c>
      <c r="L67" s="6" t="b">
        <v>0</v>
      </c>
      <c r="M67" s="6" t="b">
        <v>0</v>
      </c>
      <c r="N67" s="6" t="b">
        <v>0</v>
      </c>
      <c r="O67" s="6" t="b">
        <v>0</v>
      </c>
      <c r="P67" s="6" t="b">
        <v>0</v>
      </c>
      <c r="Q67" s="6" t="b">
        <v>0</v>
      </c>
      <c r="R67" s="6" t="b">
        <v>0</v>
      </c>
      <c r="S67" s="6" t="b">
        <v>0</v>
      </c>
      <c r="T67" s="6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0</v>
      </c>
      <c r="AL67" s="9" t="str">
        <f t="shared" si="1"/>
        <v>0 dari 31 (0%)</v>
      </c>
    </row>
    <row r="68" ht="22.5" customHeight="1">
      <c r="A68" s="10">
        <v>67.0</v>
      </c>
      <c r="B68" s="11"/>
      <c r="C68" s="140"/>
      <c r="D68" s="138"/>
      <c r="E68" s="138"/>
      <c r="F68" s="13"/>
      <c r="G68" s="6" t="b">
        <v>0</v>
      </c>
      <c r="H68" s="6" t="b">
        <v>0</v>
      </c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6" t="b">
        <v>0</v>
      </c>
      <c r="P68" s="6" t="b">
        <v>0</v>
      </c>
      <c r="Q68" s="6" t="b">
        <v>0</v>
      </c>
      <c r="R68" s="6" t="b">
        <v>0</v>
      </c>
      <c r="S68" s="6" t="b">
        <v>0</v>
      </c>
      <c r="T68" s="6" t="b">
        <v>0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0</v>
      </c>
      <c r="AH68" s="6" t="b">
        <v>0</v>
      </c>
      <c r="AI68" s="6" t="b">
        <v>0</v>
      </c>
      <c r="AJ68" s="6" t="b">
        <v>0</v>
      </c>
      <c r="AK68" s="6" t="b">
        <v>0</v>
      </c>
      <c r="AL68" s="9" t="str">
        <f t="shared" si="1"/>
        <v>0 dari 31 (0%)</v>
      </c>
    </row>
    <row r="69" ht="22.5" customHeight="1">
      <c r="A69" s="10">
        <v>68.0</v>
      </c>
      <c r="B69" s="11"/>
      <c r="C69" s="140"/>
      <c r="D69" s="138"/>
      <c r="E69" s="138"/>
      <c r="F69" s="13"/>
      <c r="G69" s="6" t="b">
        <v>0</v>
      </c>
      <c r="H69" s="6" t="b">
        <v>0</v>
      </c>
      <c r="I69" s="6" t="b">
        <v>0</v>
      </c>
      <c r="J69" s="6" t="b">
        <v>0</v>
      </c>
      <c r="K69" s="6" t="b">
        <v>0</v>
      </c>
      <c r="L69" s="6" t="b">
        <v>0</v>
      </c>
      <c r="M69" s="6" t="b">
        <v>0</v>
      </c>
      <c r="N69" s="6" t="b">
        <v>0</v>
      </c>
      <c r="O69" s="6" t="b">
        <v>0</v>
      </c>
      <c r="P69" s="6" t="b">
        <v>0</v>
      </c>
      <c r="Q69" s="6" t="b">
        <v>0</v>
      </c>
      <c r="R69" s="6" t="b">
        <v>0</v>
      </c>
      <c r="S69" s="6" t="b">
        <v>0</v>
      </c>
      <c r="T69" s="6" t="b">
        <v>0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0</v>
      </c>
      <c r="AC69" s="6" t="b">
        <v>0</v>
      </c>
      <c r="AD69" s="6" t="b">
        <v>0</v>
      </c>
      <c r="AE69" s="6" t="b">
        <v>0</v>
      </c>
      <c r="AF69" s="6" t="b">
        <v>0</v>
      </c>
      <c r="AG69" s="6" t="b">
        <v>0</v>
      </c>
      <c r="AH69" s="6" t="b">
        <v>0</v>
      </c>
      <c r="AI69" s="6" t="b">
        <v>0</v>
      </c>
      <c r="AJ69" s="6" t="b">
        <v>0</v>
      </c>
      <c r="AK69" s="6" t="b">
        <v>0</v>
      </c>
      <c r="AL69" s="17" t="str">
        <f t="shared" si="1"/>
        <v>0 dari 31 (0%)</v>
      </c>
    </row>
    <row r="70" ht="22.5" customHeight="1">
      <c r="A70" s="2">
        <v>69.0</v>
      </c>
      <c r="B70" s="11"/>
      <c r="C70" s="140"/>
      <c r="D70" s="138"/>
      <c r="E70" s="138"/>
      <c r="F70" s="13"/>
      <c r="G70" s="6" t="b">
        <v>0</v>
      </c>
      <c r="H70" s="6" t="b">
        <v>0</v>
      </c>
      <c r="I70" s="6" t="b">
        <v>0</v>
      </c>
      <c r="J70" s="6" t="b">
        <v>0</v>
      </c>
      <c r="K70" s="6" t="b">
        <v>0</v>
      </c>
      <c r="L70" s="6" t="b">
        <v>0</v>
      </c>
      <c r="M70" s="6" t="b">
        <v>0</v>
      </c>
      <c r="N70" s="6" t="b">
        <v>0</v>
      </c>
      <c r="O70" s="6" t="b">
        <v>0</v>
      </c>
      <c r="P70" s="6" t="b">
        <v>0</v>
      </c>
      <c r="Q70" s="6" t="b">
        <v>0</v>
      </c>
      <c r="R70" s="6" t="b">
        <v>0</v>
      </c>
      <c r="S70" s="6" t="b">
        <v>0</v>
      </c>
      <c r="T70" s="6" t="b">
        <v>0</v>
      </c>
      <c r="U70" s="6" t="b">
        <v>0</v>
      </c>
      <c r="V70" s="6" t="b">
        <v>0</v>
      </c>
      <c r="W70" s="6" t="b">
        <v>0</v>
      </c>
      <c r="X70" s="6" t="b">
        <v>0</v>
      </c>
      <c r="Y70" s="6" t="b">
        <v>0</v>
      </c>
      <c r="Z70" s="6" t="b">
        <v>0</v>
      </c>
      <c r="AA70" s="6" t="b">
        <v>0</v>
      </c>
      <c r="AB70" s="6" t="b">
        <v>0</v>
      </c>
      <c r="AC70" s="6" t="b">
        <v>0</v>
      </c>
      <c r="AD70" s="6" t="b">
        <v>0</v>
      </c>
      <c r="AE70" s="6" t="b">
        <v>0</v>
      </c>
      <c r="AF70" s="6" t="b">
        <v>0</v>
      </c>
      <c r="AG70" s="6" t="b">
        <v>0</v>
      </c>
      <c r="AH70" s="6" t="b">
        <v>0</v>
      </c>
      <c r="AI70" s="6" t="b">
        <v>0</v>
      </c>
      <c r="AJ70" s="6" t="b">
        <v>0</v>
      </c>
      <c r="AK70" s="6" t="b">
        <v>0</v>
      </c>
      <c r="AL70" s="9" t="str">
        <f t="shared" si="1"/>
        <v>0 dari 31 (0%)</v>
      </c>
    </row>
    <row r="71" ht="22.5" customHeight="1">
      <c r="A71" s="10">
        <v>70.0</v>
      </c>
      <c r="B71" s="11"/>
      <c r="C71" s="140"/>
      <c r="D71" s="138"/>
      <c r="E71" s="138"/>
      <c r="F71" s="13"/>
      <c r="G71" s="6" t="b">
        <v>0</v>
      </c>
      <c r="H71" s="6" t="b">
        <v>0</v>
      </c>
      <c r="I71" s="6" t="b">
        <v>0</v>
      </c>
      <c r="J71" s="6" t="b">
        <v>0</v>
      </c>
      <c r="K71" s="6" t="b">
        <v>0</v>
      </c>
      <c r="L71" s="6" t="b">
        <v>0</v>
      </c>
      <c r="M71" s="6" t="b">
        <v>0</v>
      </c>
      <c r="N71" s="6" t="b">
        <v>0</v>
      </c>
      <c r="O71" s="6" t="b">
        <v>0</v>
      </c>
      <c r="P71" s="6" t="b">
        <v>0</v>
      </c>
      <c r="Q71" s="6" t="b">
        <v>0</v>
      </c>
      <c r="R71" s="6" t="b">
        <v>0</v>
      </c>
      <c r="S71" s="6" t="b">
        <v>0</v>
      </c>
      <c r="T71" s="6" t="b">
        <v>0</v>
      </c>
      <c r="U71" s="6" t="b">
        <v>0</v>
      </c>
      <c r="V71" s="6" t="b">
        <v>0</v>
      </c>
      <c r="W71" s="6" t="b">
        <v>0</v>
      </c>
      <c r="X71" s="6" t="b">
        <v>0</v>
      </c>
      <c r="Y71" s="6" t="b">
        <v>0</v>
      </c>
      <c r="Z71" s="6" t="b">
        <v>0</v>
      </c>
      <c r="AA71" s="6" t="b">
        <v>0</v>
      </c>
      <c r="AB71" s="6" t="b">
        <v>0</v>
      </c>
      <c r="AC71" s="6" t="b">
        <v>0</v>
      </c>
      <c r="AD71" s="6" t="b">
        <v>0</v>
      </c>
      <c r="AE71" s="6" t="b">
        <v>0</v>
      </c>
      <c r="AF71" s="6" t="b">
        <v>0</v>
      </c>
      <c r="AG71" s="6" t="b">
        <v>0</v>
      </c>
      <c r="AH71" s="6" t="b">
        <v>0</v>
      </c>
      <c r="AI71" s="6" t="b">
        <v>0</v>
      </c>
      <c r="AJ71" s="6" t="b">
        <v>0</v>
      </c>
      <c r="AK71" s="6" t="b">
        <v>0</v>
      </c>
      <c r="AL71" s="9" t="str">
        <f t="shared" si="1"/>
        <v>0 dari 31 (0%)</v>
      </c>
    </row>
    <row r="72" ht="22.5" customHeight="1">
      <c r="A72" s="10">
        <v>71.0</v>
      </c>
      <c r="B72" s="11"/>
      <c r="C72" s="140"/>
      <c r="D72" s="138"/>
      <c r="E72" s="138"/>
      <c r="F72" s="13"/>
      <c r="G72" s="6" t="b">
        <v>0</v>
      </c>
      <c r="H72" s="6" t="b">
        <v>0</v>
      </c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6" t="b">
        <v>0</v>
      </c>
      <c r="R72" s="6" t="b">
        <v>0</v>
      </c>
      <c r="S72" s="6" t="b">
        <v>0</v>
      </c>
      <c r="T72" s="6" t="b">
        <v>0</v>
      </c>
      <c r="U72" s="6" t="b">
        <v>0</v>
      </c>
      <c r="V72" s="6" t="b">
        <v>0</v>
      </c>
      <c r="W72" s="6" t="b">
        <v>0</v>
      </c>
      <c r="X72" s="6" t="b">
        <v>0</v>
      </c>
      <c r="Y72" s="6" t="b">
        <v>0</v>
      </c>
      <c r="Z72" s="6" t="b">
        <v>0</v>
      </c>
      <c r="AA72" s="6" t="b">
        <v>0</v>
      </c>
      <c r="AB72" s="6" t="b">
        <v>0</v>
      </c>
      <c r="AC72" s="6" t="b">
        <v>0</v>
      </c>
      <c r="AD72" s="6" t="b">
        <v>0</v>
      </c>
      <c r="AE72" s="6" t="b">
        <v>0</v>
      </c>
      <c r="AF72" s="6" t="b">
        <v>0</v>
      </c>
      <c r="AG72" s="6" t="b">
        <v>0</v>
      </c>
      <c r="AH72" s="6" t="b">
        <v>0</v>
      </c>
      <c r="AI72" s="6" t="b">
        <v>0</v>
      </c>
      <c r="AJ72" s="6" t="b">
        <v>0</v>
      </c>
      <c r="AK72" s="6" t="b">
        <v>0</v>
      </c>
      <c r="AL72" s="17" t="str">
        <f t="shared" si="1"/>
        <v>0 dari 31 (0%)</v>
      </c>
    </row>
    <row r="73" ht="22.5" customHeight="1">
      <c r="A73" s="2">
        <v>72.0</v>
      </c>
      <c r="B73" s="11"/>
      <c r="C73" s="140"/>
      <c r="D73" s="138"/>
      <c r="E73" s="138"/>
      <c r="F73" s="13"/>
      <c r="G73" s="6" t="b">
        <v>0</v>
      </c>
      <c r="H73" s="6" t="b">
        <v>0</v>
      </c>
      <c r="I73" s="6" t="b">
        <v>0</v>
      </c>
      <c r="J73" s="6" t="b">
        <v>0</v>
      </c>
      <c r="K73" s="6" t="b">
        <v>0</v>
      </c>
      <c r="L73" s="6" t="b">
        <v>0</v>
      </c>
      <c r="M73" s="6" t="b">
        <v>0</v>
      </c>
      <c r="N73" s="6" t="b">
        <v>0</v>
      </c>
      <c r="O73" s="6" t="b">
        <v>0</v>
      </c>
      <c r="P73" s="6" t="b">
        <v>0</v>
      </c>
      <c r="Q73" s="6" t="b">
        <v>0</v>
      </c>
      <c r="R73" s="6" t="b">
        <v>0</v>
      </c>
      <c r="S73" s="6" t="b">
        <v>0</v>
      </c>
      <c r="T73" s="6" t="b">
        <v>0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0</v>
      </c>
      <c r="AD73" s="6" t="b">
        <v>0</v>
      </c>
      <c r="AE73" s="6" t="b">
        <v>0</v>
      </c>
      <c r="AF73" s="6" t="b">
        <v>0</v>
      </c>
      <c r="AG73" s="6" t="b">
        <v>0</v>
      </c>
      <c r="AH73" s="6" t="b">
        <v>0</v>
      </c>
      <c r="AI73" s="6" t="b">
        <v>0</v>
      </c>
      <c r="AJ73" s="6" t="b">
        <v>0</v>
      </c>
      <c r="AK73" s="6" t="b">
        <v>0</v>
      </c>
      <c r="AL73" s="9" t="str">
        <f t="shared" si="1"/>
        <v>0 dari 31 (0%)</v>
      </c>
    </row>
    <row r="74" ht="22.5" customHeight="1">
      <c r="A74" s="10">
        <v>73.0</v>
      </c>
      <c r="B74" s="11"/>
      <c r="C74" s="140"/>
      <c r="D74" s="138"/>
      <c r="E74" s="138"/>
      <c r="F74" s="13"/>
      <c r="G74" s="6" t="b">
        <v>0</v>
      </c>
      <c r="H74" s="6" t="b">
        <v>0</v>
      </c>
      <c r="I74" s="6" t="b">
        <v>0</v>
      </c>
      <c r="J74" s="6" t="b">
        <v>0</v>
      </c>
      <c r="K74" s="6" t="b">
        <v>0</v>
      </c>
      <c r="L74" s="6" t="b">
        <v>0</v>
      </c>
      <c r="M74" s="6" t="b">
        <v>0</v>
      </c>
      <c r="N74" s="6" t="b">
        <v>0</v>
      </c>
      <c r="O74" s="6" t="b">
        <v>0</v>
      </c>
      <c r="P74" s="6" t="b">
        <v>0</v>
      </c>
      <c r="Q74" s="6" t="b">
        <v>0</v>
      </c>
      <c r="R74" s="6" t="b">
        <v>0</v>
      </c>
      <c r="S74" s="6" t="b">
        <v>0</v>
      </c>
      <c r="T74" s="6" t="b">
        <v>0</v>
      </c>
      <c r="U74" s="6" t="b">
        <v>0</v>
      </c>
      <c r="V74" s="6" t="b">
        <v>0</v>
      </c>
      <c r="W74" s="6" t="b">
        <v>0</v>
      </c>
      <c r="X74" s="6" t="b">
        <v>0</v>
      </c>
      <c r="Y74" s="6" t="b">
        <v>0</v>
      </c>
      <c r="Z74" s="6" t="b">
        <v>0</v>
      </c>
      <c r="AA74" s="6" t="b">
        <v>0</v>
      </c>
      <c r="AB74" s="6" t="b">
        <v>0</v>
      </c>
      <c r="AC74" s="6" t="b">
        <v>0</v>
      </c>
      <c r="AD74" s="6" t="b">
        <v>0</v>
      </c>
      <c r="AE74" s="6" t="b">
        <v>0</v>
      </c>
      <c r="AF74" s="6" t="b">
        <v>0</v>
      </c>
      <c r="AG74" s="6" t="b">
        <v>0</v>
      </c>
      <c r="AH74" s="6" t="b">
        <v>0</v>
      </c>
      <c r="AI74" s="6" t="b">
        <v>0</v>
      </c>
      <c r="AJ74" s="6" t="b">
        <v>0</v>
      </c>
      <c r="AK74" s="6" t="b">
        <v>0</v>
      </c>
      <c r="AL74" s="9" t="str">
        <f t="shared" si="1"/>
        <v>0 dari 31 (0%)</v>
      </c>
    </row>
    <row r="75" ht="22.5" customHeight="1">
      <c r="A75" s="10">
        <v>74.0</v>
      </c>
      <c r="B75" s="11"/>
      <c r="C75" s="140"/>
      <c r="D75" s="138"/>
      <c r="E75" s="138"/>
      <c r="F75" s="13"/>
      <c r="G75" s="6" t="b">
        <v>0</v>
      </c>
      <c r="H75" s="6" t="b">
        <v>0</v>
      </c>
      <c r="I75" s="6" t="b">
        <v>0</v>
      </c>
      <c r="J75" s="6" t="b">
        <v>0</v>
      </c>
      <c r="K75" s="6" t="b">
        <v>0</v>
      </c>
      <c r="L75" s="6" t="b">
        <v>0</v>
      </c>
      <c r="M75" s="6" t="b">
        <v>0</v>
      </c>
      <c r="N75" s="6" t="b">
        <v>0</v>
      </c>
      <c r="O75" s="6" t="b">
        <v>0</v>
      </c>
      <c r="P75" s="6" t="b">
        <v>0</v>
      </c>
      <c r="Q75" s="6" t="b">
        <v>0</v>
      </c>
      <c r="R75" s="6" t="b">
        <v>0</v>
      </c>
      <c r="S75" s="6" t="b">
        <v>0</v>
      </c>
      <c r="T75" s="6" t="b">
        <v>0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0</v>
      </c>
      <c r="AE75" s="6" t="b">
        <v>0</v>
      </c>
      <c r="AF75" s="6" t="b">
        <v>0</v>
      </c>
      <c r="AG75" s="6" t="b">
        <v>0</v>
      </c>
      <c r="AH75" s="6" t="b">
        <v>0</v>
      </c>
      <c r="AI75" s="6" t="b">
        <v>0</v>
      </c>
      <c r="AJ75" s="6" t="b">
        <v>0</v>
      </c>
      <c r="AK75" s="6" t="b">
        <v>0</v>
      </c>
      <c r="AL75" s="17" t="str">
        <f t="shared" si="1"/>
        <v>0 dari 31 (0%)</v>
      </c>
    </row>
    <row r="76" ht="22.5" customHeight="1">
      <c r="A76" s="2">
        <v>75.0</v>
      </c>
      <c r="B76" s="11"/>
      <c r="C76" s="140"/>
      <c r="D76" s="138"/>
      <c r="E76" s="138"/>
      <c r="F76" s="13"/>
      <c r="G76" s="6" t="b">
        <v>0</v>
      </c>
      <c r="H76" s="6" t="b">
        <v>0</v>
      </c>
      <c r="I76" s="6" t="b">
        <v>0</v>
      </c>
      <c r="J76" s="6" t="b">
        <v>0</v>
      </c>
      <c r="K76" s="6" t="b">
        <v>0</v>
      </c>
      <c r="L76" s="6" t="b">
        <v>0</v>
      </c>
      <c r="M76" s="6" t="b">
        <v>0</v>
      </c>
      <c r="N76" s="6" t="b">
        <v>0</v>
      </c>
      <c r="O76" s="6" t="b">
        <v>0</v>
      </c>
      <c r="P76" s="6" t="b">
        <v>0</v>
      </c>
      <c r="Q76" s="6" t="b">
        <v>0</v>
      </c>
      <c r="R76" s="6" t="b">
        <v>0</v>
      </c>
      <c r="S76" s="6" t="b">
        <v>0</v>
      </c>
      <c r="T76" s="6" t="b">
        <v>0</v>
      </c>
      <c r="U76" s="6" t="b">
        <v>0</v>
      </c>
      <c r="V76" s="6" t="b">
        <v>0</v>
      </c>
      <c r="W76" s="6" t="b">
        <v>0</v>
      </c>
      <c r="X76" s="6" t="b">
        <v>0</v>
      </c>
      <c r="Y76" s="6" t="b">
        <v>0</v>
      </c>
      <c r="Z76" s="6" t="b">
        <v>0</v>
      </c>
      <c r="AA76" s="6" t="b">
        <v>0</v>
      </c>
      <c r="AB76" s="6" t="b">
        <v>0</v>
      </c>
      <c r="AC76" s="6" t="b">
        <v>0</v>
      </c>
      <c r="AD76" s="6" t="b">
        <v>0</v>
      </c>
      <c r="AE76" s="6" t="b">
        <v>0</v>
      </c>
      <c r="AF76" s="6" t="b">
        <v>0</v>
      </c>
      <c r="AG76" s="6" t="b">
        <v>0</v>
      </c>
      <c r="AH76" s="6" t="b">
        <v>0</v>
      </c>
      <c r="AI76" s="6" t="b">
        <v>0</v>
      </c>
      <c r="AJ76" s="6" t="b">
        <v>0</v>
      </c>
      <c r="AK76" s="6" t="b">
        <v>0</v>
      </c>
      <c r="AL76" s="9" t="str">
        <f t="shared" si="1"/>
        <v>0 dari 31 (0%)</v>
      </c>
    </row>
    <row r="77" ht="22.5" customHeight="1">
      <c r="A77" s="10">
        <v>76.0</v>
      </c>
      <c r="B77" s="11"/>
      <c r="C77" s="140"/>
      <c r="D77" s="138"/>
      <c r="E77" s="138"/>
      <c r="F77" s="13"/>
      <c r="G77" s="6" t="b">
        <v>0</v>
      </c>
      <c r="H77" s="6" t="b">
        <v>0</v>
      </c>
      <c r="I77" s="6" t="b">
        <v>0</v>
      </c>
      <c r="J77" s="6" t="b">
        <v>0</v>
      </c>
      <c r="K77" s="6" t="b">
        <v>0</v>
      </c>
      <c r="L77" s="6" t="b">
        <v>0</v>
      </c>
      <c r="M77" s="6" t="b">
        <v>0</v>
      </c>
      <c r="N77" s="6" t="b">
        <v>0</v>
      </c>
      <c r="O77" s="6" t="b">
        <v>0</v>
      </c>
      <c r="P77" s="6" t="b">
        <v>0</v>
      </c>
      <c r="Q77" s="6" t="b">
        <v>0</v>
      </c>
      <c r="R77" s="6" t="b">
        <v>0</v>
      </c>
      <c r="S77" s="6" t="b">
        <v>0</v>
      </c>
      <c r="T77" s="6" t="b">
        <v>0</v>
      </c>
      <c r="U77" s="6" t="b">
        <v>0</v>
      </c>
      <c r="V77" s="6" t="b">
        <v>0</v>
      </c>
      <c r="W77" s="6" t="b">
        <v>0</v>
      </c>
      <c r="X77" s="6" t="b">
        <v>0</v>
      </c>
      <c r="Y77" s="6" t="b">
        <v>0</v>
      </c>
      <c r="Z77" s="6" t="b">
        <v>0</v>
      </c>
      <c r="AA77" s="6" t="b">
        <v>0</v>
      </c>
      <c r="AB77" s="6" t="b">
        <v>0</v>
      </c>
      <c r="AC77" s="6" t="b">
        <v>0</v>
      </c>
      <c r="AD77" s="6" t="b">
        <v>0</v>
      </c>
      <c r="AE77" s="6" t="b">
        <v>0</v>
      </c>
      <c r="AF77" s="6" t="b">
        <v>0</v>
      </c>
      <c r="AG77" s="6" t="b">
        <v>0</v>
      </c>
      <c r="AH77" s="6" t="b">
        <v>0</v>
      </c>
      <c r="AI77" s="6" t="b">
        <v>0</v>
      </c>
      <c r="AJ77" s="6" t="b">
        <v>0</v>
      </c>
      <c r="AK77" s="6" t="b">
        <v>0</v>
      </c>
      <c r="AL77" s="9" t="str">
        <f t="shared" si="1"/>
        <v>0 dari 31 (0%)</v>
      </c>
    </row>
    <row r="78" ht="22.5" customHeight="1">
      <c r="A78" s="10">
        <v>77.0</v>
      </c>
      <c r="B78" s="11"/>
      <c r="C78" s="140"/>
      <c r="D78" s="138"/>
      <c r="E78" s="138"/>
      <c r="F78" s="13"/>
      <c r="G78" s="6" t="b">
        <v>0</v>
      </c>
      <c r="H78" s="6" t="b">
        <v>0</v>
      </c>
      <c r="I78" s="6" t="b">
        <v>0</v>
      </c>
      <c r="J78" s="6" t="b">
        <v>0</v>
      </c>
      <c r="K78" s="6" t="b">
        <v>0</v>
      </c>
      <c r="L78" s="6" t="b">
        <v>0</v>
      </c>
      <c r="M78" s="6" t="b">
        <v>0</v>
      </c>
      <c r="N78" s="6" t="b">
        <v>0</v>
      </c>
      <c r="O78" s="6" t="b">
        <v>0</v>
      </c>
      <c r="P78" s="6" t="b">
        <v>0</v>
      </c>
      <c r="Q78" s="6" t="b">
        <v>0</v>
      </c>
      <c r="R78" s="6" t="b">
        <v>0</v>
      </c>
      <c r="S78" s="6" t="b">
        <v>0</v>
      </c>
      <c r="T78" s="6" t="b">
        <v>0</v>
      </c>
      <c r="U78" s="6" t="b">
        <v>0</v>
      </c>
      <c r="V78" s="6" t="b">
        <v>0</v>
      </c>
      <c r="W78" s="6" t="b">
        <v>0</v>
      </c>
      <c r="X78" s="6" t="b">
        <v>0</v>
      </c>
      <c r="Y78" s="6" t="b">
        <v>0</v>
      </c>
      <c r="Z78" s="6" t="b">
        <v>0</v>
      </c>
      <c r="AA78" s="6" t="b">
        <v>0</v>
      </c>
      <c r="AB78" s="6" t="b">
        <v>0</v>
      </c>
      <c r="AC78" s="6" t="b">
        <v>0</v>
      </c>
      <c r="AD78" s="6" t="b">
        <v>0</v>
      </c>
      <c r="AE78" s="6" t="b">
        <v>0</v>
      </c>
      <c r="AF78" s="6" t="b">
        <v>0</v>
      </c>
      <c r="AG78" s="6" t="b">
        <v>0</v>
      </c>
      <c r="AH78" s="6" t="b">
        <v>0</v>
      </c>
      <c r="AI78" s="6" t="b">
        <v>0</v>
      </c>
      <c r="AJ78" s="6" t="b">
        <v>0</v>
      </c>
      <c r="AK78" s="6" t="b">
        <v>0</v>
      </c>
      <c r="AL78" s="17" t="str">
        <f t="shared" si="1"/>
        <v>0 dari 31 (0%)</v>
      </c>
    </row>
    <row r="79" ht="22.5" customHeight="1">
      <c r="A79" s="2">
        <v>78.0</v>
      </c>
      <c r="B79" s="11"/>
      <c r="C79" s="140"/>
      <c r="D79" s="138"/>
      <c r="E79" s="138"/>
      <c r="F79" s="13"/>
      <c r="G79" s="6" t="b">
        <v>0</v>
      </c>
      <c r="H79" s="6" t="b">
        <v>0</v>
      </c>
      <c r="I79" s="6" t="b">
        <v>0</v>
      </c>
      <c r="J79" s="6" t="b">
        <v>0</v>
      </c>
      <c r="K79" s="6" t="b">
        <v>0</v>
      </c>
      <c r="L79" s="6" t="b">
        <v>0</v>
      </c>
      <c r="M79" s="6" t="b">
        <v>0</v>
      </c>
      <c r="N79" s="6" t="b">
        <v>0</v>
      </c>
      <c r="O79" s="6" t="b">
        <v>0</v>
      </c>
      <c r="P79" s="6" t="b">
        <v>0</v>
      </c>
      <c r="Q79" s="6" t="b">
        <v>0</v>
      </c>
      <c r="R79" s="6" t="b">
        <v>0</v>
      </c>
      <c r="S79" s="6" t="b">
        <v>0</v>
      </c>
      <c r="T79" s="6" t="b">
        <v>0</v>
      </c>
      <c r="U79" s="6" t="b">
        <v>0</v>
      </c>
      <c r="V79" s="6" t="b">
        <v>0</v>
      </c>
      <c r="W79" s="6" t="b">
        <v>0</v>
      </c>
      <c r="X79" s="6" t="b">
        <v>0</v>
      </c>
      <c r="Y79" s="6" t="b">
        <v>0</v>
      </c>
      <c r="Z79" s="6" t="b">
        <v>0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0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9" t="str">
        <f t="shared" si="1"/>
        <v>0 dari 31 (0%)</v>
      </c>
    </row>
    <row r="80" ht="22.5" customHeight="1">
      <c r="A80" s="10">
        <v>79.0</v>
      </c>
      <c r="B80" s="11"/>
      <c r="C80" s="140"/>
      <c r="D80" s="138"/>
      <c r="E80" s="138"/>
      <c r="F80" s="13"/>
      <c r="G80" s="6" t="b">
        <v>0</v>
      </c>
      <c r="H80" s="6" t="b">
        <v>0</v>
      </c>
      <c r="I80" s="6" t="b">
        <v>0</v>
      </c>
      <c r="J80" s="6" t="b">
        <v>0</v>
      </c>
      <c r="K80" s="6" t="b">
        <v>0</v>
      </c>
      <c r="L80" s="6" t="b">
        <v>0</v>
      </c>
      <c r="M80" s="6" t="b">
        <v>0</v>
      </c>
      <c r="N80" s="6" t="b">
        <v>0</v>
      </c>
      <c r="O80" s="6" t="b">
        <v>0</v>
      </c>
      <c r="P80" s="6" t="b">
        <v>0</v>
      </c>
      <c r="Q80" s="6" t="b">
        <v>0</v>
      </c>
      <c r="R80" s="6" t="b">
        <v>0</v>
      </c>
      <c r="S80" s="6" t="b">
        <v>0</v>
      </c>
      <c r="T80" s="6" t="b">
        <v>0</v>
      </c>
      <c r="U80" s="6" t="b">
        <v>0</v>
      </c>
      <c r="V80" s="6" t="b">
        <v>0</v>
      </c>
      <c r="W80" s="6" t="b">
        <v>0</v>
      </c>
      <c r="X80" s="6" t="b">
        <v>0</v>
      </c>
      <c r="Y80" s="6" t="b">
        <v>0</v>
      </c>
      <c r="Z80" s="6" t="b">
        <v>0</v>
      </c>
      <c r="AA80" s="6" t="b">
        <v>0</v>
      </c>
      <c r="AB80" s="6" t="b">
        <v>0</v>
      </c>
      <c r="AC80" s="6" t="b">
        <v>0</v>
      </c>
      <c r="AD80" s="6" t="b">
        <v>0</v>
      </c>
      <c r="AE80" s="6" t="b">
        <v>0</v>
      </c>
      <c r="AF80" s="6" t="b">
        <v>0</v>
      </c>
      <c r="AG80" s="6" t="b">
        <v>0</v>
      </c>
      <c r="AH80" s="6" t="b">
        <v>0</v>
      </c>
      <c r="AI80" s="6" t="b">
        <v>0</v>
      </c>
      <c r="AJ80" s="6" t="b">
        <v>0</v>
      </c>
      <c r="AK80" s="6" t="b">
        <v>0</v>
      </c>
      <c r="AL80" s="9" t="str">
        <f t="shared" si="1"/>
        <v>0 dari 31 (0%)</v>
      </c>
    </row>
    <row r="81" ht="22.5" customHeight="1">
      <c r="A81" s="10">
        <v>80.0</v>
      </c>
      <c r="B81" s="11"/>
      <c r="C81" s="140"/>
      <c r="D81" s="138"/>
      <c r="E81" s="138"/>
      <c r="F81" s="13"/>
      <c r="G81" s="6" t="b">
        <v>0</v>
      </c>
      <c r="H81" s="6" t="b">
        <v>0</v>
      </c>
      <c r="I81" s="6" t="b">
        <v>0</v>
      </c>
      <c r="J81" s="6" t="b">
        <v>0</v>
      </c>
      <c r="K81" s="6" t="b">
        <v>0</v>
      </c>
      <c r="L81" s="6" t="b">
        <v>0</v>
      </c>
      <c r="M81" s="6" t="b">
        <v>0</v>
      </c>
      <c r="N81" s="6" t="b">
        <v>0</v>
      </c>
      <c r="O81" s="6" t="b">
        <v>0</v>
      </c>
      <c r="P81" s="6" t="b">
        <v>0</v>
      </c>
      <c r="Q81" s="6" t="b">
        <v>0</v>
      </c>
      <c r="R81" s="6" t="b">
        <v>0</v>
      </c>
      <c r="S81" s="6" t="b">
        <v>0</v>
      </c>
      <c r="T81" s="6" t="b">
        <v>0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0</v>
      </c>
      <c r="Z81" s="6" t="b">
        <v>0</v>
      </c>
      <c r="AA81" s="6" t="b">
        <v>0</v>
      </c>
      <c r="AB81" s="6" t="b">
        <v>0</v>
      </c>
      <c r="AC81" s="6" t="b">
        <v>0</v>
      </c>
      <c r="AD81" s="6" t="b">
        <v>0</v>
      </c>
      <c r="AE81" s="6" t="b">
        <v>0</v>
      </c>
      <c r="AF81" s="6" t="b">
        <v>0</v>
      </c>
      <c r="AG81" s="6" t="b">
        <v>0</v>
      </c>
      <c r="AH81" s="6" t="b">
        <v>0</v>
      </c>
      <c r="AI81" s="6" t="b">
        <v>0</v>
      </c>
      <c r="AJ81" s="6" t="b">
        <v>0</v>
      </c>
      <c r="AK81" s="6" t="b">
        <v>0</v>
      </c>
      <c r="AL81" s="17" t="str">
        <f t="shared" si="1"/>
        <v>0 dari 31 (0%)</v>
      </c>
    </row>
    <row r="82" ht="22.5" customHeight="1">
      <c r="A82" s="2">
        <v>81.0</v>
      </c>
      <c r="B82" s="11"/>
      <c r="C82" s="140"/>
      <c r="D82" s="138"/>
      <c r="E82" s="138"/>
      <c r="F82" s="13"/>
      <c r="G82" s="6" t="b">
        <v>0</v>
      </c>
      <c r="H82" s="6" t="b">
        <v>0</v>
      </c>
      <c r="I82" s="6" t="b">
        <v>0</v>
      </c>
      <c r="J82" s="6" t="b">
        <v>0</v>
      </c>
      <c r="K82" s="6" t="b">
        <v>0</v>
      </c>
      <c r="L82" s="6" t="b">
        <v>0</v>
      </c>
      <c r="M82" s="6" t="b">
        <v>0</v>
      </c>
      <c r="N82" s="6" t="b">
        <v>0</v>
      </c>
      <c r="O82" s="6" t="b">
        <v>0</v>
      </c>
      <c r="P82" s="6" t="b">
        <v>0</v>
      </c>
      <c r="Q82" s="6" t="b">
        <v>0</v>
      </c>
      <c r="R82" s="6" t="b">
        <v>0</v>
      </c>
      <c r="S82" s="6" t="b">
        <v>0</v>
      </c>
      <c r="T82" s="6" t="b">
        <v>0</v>
      </c>
      <c r="U82" s="6" t="b">
        <v>0</v>
      </c>
      <c r="V82" s="6" t="b">
        <v>0</v>
      </c>
      <c r="W82" s="6" t="b">
        <v>0</v>
      </c>
      <c r="X82" s="6" t="b">
        <v>0</v>
      </c>
      <c r="Y82" s="6" t="b">
        <v>0</v>
      </c>
      <c r="Z82" s="6" t="b">
        <v>0</v>
      </c>
      <c r="AA82" s="6" t="b">
        <v>0</v>
      </c>
      <c r="AB82" s="6" t="b">
        <v>0</v>
      </c>
      <c r="AC82" s="6" t="b">
        <v>0</v>
      </c>
      <c r="AD82" s="6" t="b">
        <v>0</v>
      </c>
      <c r="AE82" s="6" t="b">
        <v>0</v>
      </c>
      <c r="AF82" s="6" t="b">
        <v>0</v>
      </c>
      <c r="AG82" s="6" t="b">
        <v>0</v>
      </c>
      <c r="AH82" s="6" t="b">
        <v>0</v>
      </c>
      <c r="AI82" s="6" t="b">
        <v>0</v>
      </c>
      <c r="AJ82" s="6" t="b">
        <v>0</v>
      </c>
      <c r="AK82" s="6" t="b">
        <v>0</v>
      </c>
      <c r="AL82" s="9" t="str">
        <f t="shared" si="1"/>
        <v>0 dari 31 (0%)</v>
      </c>
    </row>
    <row r="83" ht="22.5" customHeight="1">
      <c r="A83" s="10">
        <v>82.0</v>
      </c>
      <c r="B83" s="11"/>
      <c r="C83" s="140"/>
      <c r="D83" s="138"/>
      <c r="E83" s="138"/>
      <c r="F83" s="13"/>
      <c r="G83" s="6" t="b">
        <v>0</v>
      </c>
      <c r="H83" s="6" t="b">
        <v>0</v>
      </c>
      <c r="I83" s="6" t="b">
        <v>0</v>
      </c>
      <c r="J83" s="6" t="b">
        <v>0</v>
      </c>
      <c r="K83" s="6" t="b">
        <v>0</v>
      </c>
      <c r="L83" s="6" t="b">
        <v>0</v>
      </c>
      <c r="M83" s="6" t="b">
        <v>0</v>
      </c>
      <c r="N83" s="6" t="b">
        <v>0</v>
      </c>
      <c r="O83" s="6" t="b">
        <v>0</v>
      </c>
      <c r="P83" s="6" t="b">
        <v>0</v>
      </c>
      <c r="Q83" s="6" t="b">
        <v>0</v>
      </c>
      <c r="R83" s="6" t="b">
        <v>0</v>
      </c>
      <c r="S83" s="6" t="b">
        <v>0</v>
      </c>
      <c r="T83" s="6" t="b">
        <v>0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0</v>
      </c>
      <c r="AD83" s="6" t="b">
        <v>0</v>
      </c>
      <c r="AE83" s="6" t="b">
        <v>0</v>
      </c>
      <c r="AF83" s="6" t="b">
        <v>0</v>
      </c>
      <c r="AG83" s="6" t="b">
        <v>0</v>
      </c>
      <c r="AH83" s="6" t="b">
        <v>0</v>
      </c>
      <c r="AI83" s="6" t="b">
        <v>0</v>
      </c>
      <c r="AJ83" s="6" t="b">
        <v>0</v>
      </c>
      <c r="AK83" s="6" t="b">
        <v>0</v>
      </c>
      <c r="AL83" s="9" t="str">
        <f t="shared" si="1"/>
        <v>0 dari 31 (0%)</v>
      </c>
    </row>
    <row r="84" ht="22.5" customHeight="1">
      <c r="A84" s="10">
        <v>83.0</v>
      </c>
      <c r="B84" s="11"/>
      <c r="C84" s="140"/>
      <c r="D84" s="138"/>
      <c r="E84" s="138"/>
      <c r="F84" s="13"/>
      <c r="G84" s="6" t="b">
        <v>0</v>
      </c>
      <c r="H84" s="6" t="b">
        <v>0</v>
      </c>
      <c r="I84" s="6" t="b">
        <v>0</v>
      </c>
      <c r="J84" s="6" t="b">
        <v>0</v>
      </c>
      <c r="K84" s="6" t="b">
        <v>0</v>
      </c>
      <c r="L84" s="6" t="b">
        <v>0</v>
      </c>
      <c r="M84" s="6" t="b">
        <v>0</v>
      </c>
      <c r="N84" s="6" t="b">
        <v>0</v>
      </c>
      <c r="O84" s="6" t="b">
        <v>0</v>
      </c>
      <c r="P84" s="6" t="b">
        <v>0</v>
      </c>
      <c r="Q84" s="6" t="b">
        <v>0</v>
      </c>
      <c r="R84" s="6" t="b">
        <v>0</v>
      </c>
      <c r="S84" s="6" t="b">
        <v>0</v>
      </c>
      <c r="T84" s="6" t="b">
        <v>0</v>
      </c>
      <c r="U84" s="6" t="b">
        <v>0</v>
      </c>
      <c r="V84" s="6" t="b">
        <v>0</v>
      </c>
      <c r="W84" s="6" t="b">
        <v>0</v>
      </c>
      <c r="X84" s="6" t="b">
        <v>0</v>
      </c>
      <c r="Y84" s="6" t="b">
        <v>0</v>
      </c>
      <c r="Z84" s="6" t="b">
        <v>0</v>
      </c>
      <c r="AA84" s="6" t="b">
        <v>0</v>
      </c>
      <c r="AB84" s="6" t="b">
        <v>0</v>
      </c>
      <c r="AC84" s="6" t="b">
        <v>0</v>
      </c>
      <c r="AD84" s="6" t="b">
        <v>0</v>
      </c>
      <c r="AE84" s="6" t="b">
        <v>0</v>
      </c>
      <c r="AF84" s="6" t="b">
        <v>0</v>
      </c>
      <c r="AG84" s="6" t="b">
        <v>0</v>
      </c>
      <c r="AH84" s="6" t="b">
        <v>0</v>
      </c>
      <c r="AI84" s="6" t="b">
        <v>0</v>
      </c>
      <c r="AJ84" s="6" t="b">
        <v>0</v>
      </c>
      <c r="AK84" s="6" t="b">
        <v>0</v>
      </c>
      <c r="AL84" s="17" t="str">
        <f t="shared" si="1"/>
        <v>0 dari 31 (0%)</v>
      </c>
    </row>
    <row r="85" ht="22.5" customHeight="1">
      <c r="A85" s="2">
        <v>84.0</v>
      </c>
      <c r="B85" s="11"/>
      <c r="C85" s="140"/>
      <c r="D85" s="138"/>
      <c r="E85" s="138"/>
      <c r="F85" s="13"/>
      <c r="G85" s="6" t="b">
        <v>0</v>
      </c>
      <c r="H85" s="6" t="b">
        <v>0</v>
      </c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6" t="b">
        <v>0</v>
      </c>
      <c r="P85" s="6" t="b">
        <v>0</v>
      </c>
      <c r="Q85" s="6" t="b">
        <v>0</v>
      </c>
      <c r="R85" s="6" t="b">
        <v>0</v>
      </c>
      <c r="S85" s="6" t="b">
        <v>0</v>
      </c>
      <c r="T85" s="6" t="b">
        <v>0</v>
      </c>
      <c r="U85" s="6" t="b">
        <v>0</v>
      </c>
      <c r="V85" s="6" t="b">
        <v>0</v>
      </c>
      <c r="W85" s="6" t="b">
        <v>0</v>
      </c>
      <c r="X85" s="6" t="b">
        <v>0</v>
      </c>
      <c r="Y85" s="6" t="b">
        <v>0</v>
      </c>
      <c r="Z85" s="6" t="b">
        <v>0</v>
      </c>
      <c r="AA85" s="6" t="b">
        <v>0</v>
      </c>
      <c r="AB85" s="6" t="b">
        <v>0</v>
      </c>
      <c r="AC85" s="6" t="b">
        <v>0</v>
      </c>
      <c r="AD85" s="6" t="b">
        <v>0</v>
      </c>
      <c r="AE85" s="6" t="b">
        <v>0</v>
      </c>
      <c r="AF85" s="6" t="b">
        <v>0</v>
      </c>
      <c r="AG85" s="6" t="b">
        <v>0</v>
      </c>
      <c r="AH85" s="6" t="b">
        <v>0</v>
      </c>
      <c r="AI85" s="6" t="b">
        <v>0</v>
      </c>
      <c r="AJ85" s="6" t="b">
        <v>0</v>
      </c>
      <c r="AK85" s="6" t="b">
        <v>0</v>
      </c>
      <c r="AL85" s="9" t="str">
        <f t="shared" si="1"/>
        <v>0 dari 31 (0%)</v>
      </c>
    </row>
    <row r="86" ht="22.5" customHeight="1">
      <c r="A86" s="10">
        <v>85.0</v>
      </c>
      <c r="B86" s="11"/>
      <c r="C86" s="140"/>
      <c r="D86" s="138"/>
      <c r="E86" s="138"/>
      <c r="F86" s="13"/>
      <c r="G86" s="6" t="b">
        <v>0</v>
      </c>
      <c r="H86" s="6" t="b">
        <v>0</v>
      </c>
      <c r="I86" s="6" t="b">
        <v>0</v>
      </c>
      <c r="J86" s="6" t="b">
        <v>0</v>
      </c>
      <c r="K86" s="6" t="b">
        <v>0</v>
      </c>
      <c r="L86" s="6" t="b">
        <v>0</v>
      </c>
      <c r="M86" s="6" t="b">
        <v>0</v>
      </c>
      <c r="N86" s="6" t="b">
        <v>0</v>
      </c>
      <c r="O86" s="6" t="b">
        <v>0</v>
      </c>
      <c r="P86" s="6" t="b">
        <v>0</v>
      </c>
      <c r="Q86" s="6" t="b">
        <v>0</v>
      </c>
      <c r="R86" s="6" t="b">
        <v>0</v>
      </c>
      <c r="S86" s="6" t="b">
        <v>0</v>
      </c>
      <c r="T86" s="6" t="b">
        <v>0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0</v>
      </c>
      <c r="AA86" s="6" t="b">
        <v>0</v>
      </c>
      <c r="AB86" s="6" t="b">
        <v>0</v>
      </c>
      <c r="AC86" s="6" t="b">
        <v>0</v>
      </c>
      <c r="AD86" s="6" t="b">
        <v>0</v>
      </c>
      <c r="AE86" s="6" t="b">
        <v>0</v>
      </c>
      <c r="AF86" s="6" t="b">
        <v>0</v>
      </c>
      <c r="AG86" s="6" t="b">
        <v>0</v>
      </c>
      <c r="AH86" s="6" t="b">
        <v>0</v>
      </c>
      <c r="AI86" s="6" t="b">
        <v>0</v>
      </c>
      <c r="AJ86" s="6" t="b">
        <v>0</v>
      </c>
      <c r="AK86" s="6" t="b">
        <v>0</v>
      </c>
      <c r="AL86" s="9" t="str">
        <f t="shared" si="1"/>
        <v>0 dari 31 (0%)</v>
      </c>
    </row>
    <row r="87" ht="22.5" customHeight="1">
      <c r="A87" s="10">
        <v>86.0</v>
      </c>
      <c r="B87" s="11"/>
      <c r="C87" s="140"/>
      <c r="D87" s="138"/>
      <c r="E87" s="138"/>
      <c r="F87" s="13"/>
      <c r="G87" s="6" t="b">
        <v>0</v>
      </c>
      <c r="H87" s="6" t="b">
        <v>0</v>
      </c>
      <c r="I87" s="6" t="b">
        <v>0</v>
      </c>
      <c r="J87" s="6" t="b">
        <v>0</v>
      </c>
      <c r="K87" s="6" t="b">
        <v>0</v>
      </c>
      <c r="L87" s="6" t="b">
        <v>0</v>
      </c>
      <c r="M87" s="6" t="b">
        <v>0</v>
      </c>
      <c r="N87" s="6" t="b">
        <v>0</v>
      </c>
      <c r="O87" s="6" t="b">
        <v>0</v>
      </c>
      <c r="P87" s="6" t="b">
        <v>0</v>
      </c>
      <c r="Q87" s="6" t="b">
        <v>0</v>
      </c>
      <c r="R87" s="6" t="b">
        <v>0</v>
      </c>
      <c r="S87" s="6" t="b">
        <v>0</v>
      </c>
      <c r="T87" s="6" t="b">
        <v>0</v>
      </c>
      <c r="U87" s="6" t="b">
        <v>0</v>
      </c>
      <c r="V87" s="6" t="b">
        <v>0</v>
      </c>
      <c r="W87" s="6" t="b">
        <v>0</v>
      </c>
      <c r="X87" s="6" t="b">
        <v>0</v>
      </c>
      <c r="Y87" s="6" t="b">
        <v>0</v>
      </c>
      <c r="Z87" s="6" t="b">
        <v>0</v>
      </c>
      <c r="AA87" s="6" t="b">
        <v>0</v>
      </c>
      <c r="AB87" s="6" t="b">
        <v>0</v>
      </c>
      <c r="AC87" s="6" t="b">
        <v>0</v>
      </c>
      <c r="AD87" s="6" t="b">
        <v>0</v>
      </c>
      <c r="AE87" s="6" t="b">
        <v>0</v>
      </c>
      <c r="AF87" s="6" t="b">
        <v>0</v>
      </c>
      <c r="AG87" s="6" t="b">
        <v>0</v>
      </c>
      <c r="AH87" s="6" t="b">
        <v>0</v>
      </c>
      <c r="AI87" s="6" t="b">
        <v>0</v>
      </c>
      <c r="AJ87" s="6" t="b">
        <v>0</v>
      </c>
      <c r="AK87" s="6" t="b">
        <v>0</v>
      </c>
      <c r="AL87" s="17" t="str">
        <f t="shared" si="1"/>
        <v>0 dari 31 (0%)</v>
      </c>
    </row>
    <row r="88" ht="22.5" customHeight="1">
      <c r="A88" s="2">
        <v>87.0</v>
      </c>
      <c r="B88" s="11"/>
      <c r="C88" s="140"/>
      <c r="D88" s="138"/>
      <c r="E88" s="138"/>
      <c r="F88" s="13"/>
      <c r="G88" s="6" t="b">
        <v>0</v>
      </c>
      <c r="H88" s="6" t="b">
        <v>0</v>
      </c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6" t="b">
        <v>0</v>
      </c>
      <c r="P88" s="6" t="b">
        <v>0</v>
      </c>
      <c r="Q88" s="6" t="b">
        <v>0</v>
      </c>
      <c r="R88" s="6" t="b">
        <v>0</v>
      </c>
      <c r="S88" s="6" t="b">
        <v>0</v>
      </c>
      <c r="T88" s="6" t="b">
        <v>0</v>
      </c>
      <c r="U88" s="6" t="b">
        <v>0</v>
      </c>
      <c r="V88" s="6" t="b">
        <v>0</v>
      </c>
      <c r="W88" s="6" t="b">
        <v>0</v>
      </c>
      <c r="X88" s="6" t="b">
        <v>0</v>
      </c>
      <c r="Y88" s="6" t="b">
        <v>0</v>
      </c>
      <c r="Z88" s="6" t="b">
        <v>0</v>
      </c>
      <c r="AA88" s="6" t="b">
        <v>0</v>
      </c>
      <c r="AB88" s="6" t="b">
        <v>0</v>
      </c>
      <c r="AC88" s="6" t="b">
        <v>0</v>
      </c>
      <c r="AD88" s="6" t="b">
        <v>0</v>
      </c>
      <c r="AE88" s="6" t="b">
        <v>0</v>
      </c>
      <c r="AF88" s="6" t="b">
        <v>0</v>
      </c>
      <c r="AG88" s="6" t="b">
        <v>0</v>
      </c>
      <c r="AH88" s="6" t="b">
        <v>0</v>
      </c>
      <c r="AI88" s="6" t="b">
        <v>0</v>
      </c>
      <c r="AJ88" s="6" t="b">
        <v>0</v>
      </c>
      <c r="AK88" s="6" t="b">
        <v>0</v>
      </c>
      <c r="AL88" s="9" t="str">
        <f t="shared" si="1"/>
        <v>0 dari 31 (0%)</v>
      </c>
    </row>
    <row r="89" ht="22.5" customHeight="1">
      <c r="A89" s="10">
        <v>88.0</v>
      </c>
      <c r="B89" s="11"/>
      <c r="C89" s="140"/>
      <c r="D89" s="138"/>
      <c r="E89" s="138"/>
      <c r="F89" s="13"/>
      <c r="G89" s="6" t="b">
        <v>0</v>
      </c>
      <c r="H89" s="6" t="b">
        <v>0</v>
      </c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6" t="b">
        <v>0</v>
      </c>
      <c r="R89" s="6" t="b">
        <v>0</v>
      </c>
      <c r="S89" s="6" t="b">
        <v>0</v>
      </c>
      <c r="T89" s="6" t="b">
        <v>0</v>
      </c>
      <c r="U89" s="6" t="b">
        <v>0</v>
      </c>
      <c r="V89" s="6" t="b">
        <v>0</v>
      </c>
      <c r="W89" s="6" t="b">
        <v>0</v>
      </c>
      <c r="X89" s="6" t="b">
        <v>0</v>
      </c>
      <c r="Y89" s="6" t="b">
        <v>0</v>
      </c>
      <c r="Z89" s="6" t="b">
        <v>0</v>
      </c>
      <c r="AA89" s="6" t="b">
        <v>0</v>
      </c>
      <c r="AB89" s="6" t="b">
        <v>0</v>
      </c>
      <c r="AC89" s="6" t="b">
        <v>0</v>
      </c>
      <c r="AD89" s="6" t="b">
        <v>0</v>
      </c>
      <c r="AE89" s="6" t="b">
        <v>0</v>
      </c>
      <c r="AF89" s="6" t="b">
        <v>0</v>
      </c>
      <c r="AG89" s="6" t="b">
        <v>0</v>
      </c>
      <c r="AH89" s="6" t="b">
        <v>0</v>
      </c>
      <c r="AI89" s="6" t="b">
        <v>0</v>
      </c>
      <c r="AJ89" s="6" t="b">
        <v>0</v>
      </c>
      <c r="AK89" s="6" t="b">
        <v>0</v>
      </c>
      <c r="AL89" s="9" t="str">
        <f t="shared" si="1"/>
        <v>0 dari 31 (0%)</v>
      </c>
    </row>
    <row r="90" ht="22.5" customHeight="1">
      <c r="A90" s="10">
        <v>89.0</v>
      </c>
      <c r="B90" s="11"/>
      <c r="C90" s="140"/>
      <c r="D90" s="138"/>
      <c r="E90" s="138"/>
      <c r="F90" s="13"/>
      <c r="G90" s="6" t="b">
        <v>0</v>
      </c>
      <c r="H90" s="6" t="b">
        <v>0</v>
      </c>
      <c r="I90" s="6" t="b">
        <v>0</v>
      </c>
      <c r="J90" s="6" t="b">
        <v>0</v>
      </c>
      <c r="K90" s="6" t="b">
        <v>0</v>
      </c>
      <c r="L90" s="6" t="b">
        <v>0</v>
      </c>
      <c r="M90" s="6" t="b">
        <v>0</v>
      </c>
      <c r="N90" s="6" t="b">
        <v>0</v>
      </c>
      <c r="O90" s="6" t="b">
        <v>0</v>
      </c>
      <c r="P90" s="6" t="b">
        <v>0</v>
      </c>
      <c r="Q90" s="6" t="b">
        <v>0</v>
      </c>
      <c r="R90" s="6" t="b">
        <v>0</v>
      </c>
      <c r="S90" s="6" t="b">
        <v>0</v>
      </c>
      <c r="T90" s="6" t="b">
        <v>0</v>
      </c>
      <c r="U90" s="6" t="b">
        <v>0</v>
      </c>
      <c r="V90" s="6" t="b">
        <v>0</v>
      </c>
      <c r="W90" s="6" t="b">
        <v>0</v>
      </c>
      <c r="X90" s="6" t="b">
        <v>0</v>
      </c>
      <c r="Y90" s="6" t="b">
        <v>0</v>
      </c>
      <c r="Z90" s="6" t="b">
        <v>0</v>
      </c>
      <c r="AA90" s="6" t="b">
        <v>0</v>
      </c>
      <c r="AB90" s="6" t="b">
        <v>0</v>
      </c>
      <c r="AC90" s="6" t="b">
        <v>0</v>
      </c>
      <c r="AD90" s="6" t="b">
        <v>0</v>
      </c>
      <c r="AE90" s="6" t="b">
        <v>0</v>
      </c>
      <c r="AF90" s="6" t="b">
        <v>0</v>
      </c>
      <c r="AG90" s="6" t="b">
        <v>0</v>
      </c>
      <c r="AH90" s="6" t="b">
        <v>0</v>
      </c>
      <c r="AI90" s="6" t="b">
        <v>0</v>
      </c>
      <c r="AJ90" s="6" t="b">
        <v>0</v>
      </c>
      <c r="AK90" s="6" t="b">
        <v>0</v>
      </c>
      <c r="AL90" s="17" t="str">
        <f t="shared" si="1"/>
        <v>0 dari 31 (0%)</v>
      </c>
    </row>
    <row r="91" ht="22.5" customHeight="1">
      <c r="A91" s="2">
        <v>90.0</v>
      </c>
      <c r="B91" s="11"/>
      <c r="C91" s="140"/>
      <c r="D91" s="138"/>
      <c r="E91" s="138"/>
      <c r="F91" s="13"/>
      <c r="G91" s="6" t="b">
        <v>0</v>
      </c>
      <c r="H91" s="6" t="b">
        <v>0</v>
      </c>
      <c r="I91" s="6" t="b">
        <v>0</v>
      </c>
      <c r="J91" s="6" t="b">
        <v>0</v>
      </c>
      <c r="K91" s="6" t="b">
        <v>0</v>
      </c>
      <c r="L91" s="6" t="b">
        <v>0</v>
      </c>
      <c r="M91" s="6" t="b">
        <v>0</v>
      </c>
      <c r="N91" s="6" t="b">
        <v>0</v>
      </c>
      <c r="O91" s="6" t="b">
        <v>0</v>
      </c>
      <c r="P91" s="6" t="b">
        <v>0</v>
      </c>
      <c r="Q91" s="6" t="b">
        <v>0</v>
      </c>
      <c r="R91" s="6" t="b">
        <v>0</v>
      </c>
      <c r="S91" s="6" t="b">
        <v>0</v>
      </c>
      <c r="T91" s="6" t="b">
        <v>0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0</v>
      </c>
      <c r="AA91" s="6" t="b">
        <v>0</v>
      </c>
      <c r="AB91" s="6" t="b">
        <v>0</v>
      </c>
      <c r="AC91" s="6" t="b">
        <v>0</v>
      </c>
      <c r="AD91" s="6" t="b">
        <v>0</v>
      </c>
      <c r="AE91" s="6" t="b">
        <v>0</v>
      </c>
      <c r="AF91" s="6" t="b">
        <v>0</v>
      </c>
      <c r="AG91" s="6" t="b">
        <v>0</v>
      </c>
      <c r="AH91" s="6" t="b">
        <v>0</v>
      </c>
      <c r="AI91" s="6" t="b">
        <v>0</v>
      </c>
      <c r="AJ91" s="6" t="b">
        <v>0</v>
      </c>
      <c r="AK91" s="6" t="b">
        <v>0</v>
      </c>
      <c r="AL91" s="9" t="str">
        <f t="shared" si="1"/>
        <v>0 dari 31 (0%)</v>
      </c>
    </row>
    <row r="92" ht="22.5" customHeight="1">
      <c r="A92" s="10">
        <v>91.0</v>
      </c>
      <c r="B92" s="11"/>
      <c r="C92" s="140"/>
      <c r="D92" s="138"/>
      <c r="E92" s="138"/>
      <c r="F92" s="13"/>
      <c r="G92" s="6" t="b">
        <v>0</v>
      </c>
      <c r="H92" s="6" t="b">
        <v>0</v>
      </c>
      <c r="I92" s="6" t="b">
        <v>0</v>
      </c>
      <c r="J92" s="6" t="b">
        <v>0</v>
      </c>
      <c r="K92" s="6" t="b">
        <v>0</v>
      </c>
      <c r="L92" s="6" t="b">
        <v>0</v>
      </c>
      <c r="M92" s="6" t="b">
        <v>0</v>
      </c>
      <c r="N92" s="6" t="b">
        <v>0</v>
      </c>
      <c r="O92" s="6" t="b">
        <v>0</v>
      </c>
      <c r="P92" s="6" t="b">
        <v>0</v>
      </c>
      <c r="Q92" s="6" t="b">
        <v>0</v>
      </c>
      <c r="R92" s="6" t="b">
        <v>0</v>
      </c>
      <c r="S92" s="6" t="b">
        <v>0</v>
      </c>
      <c r="T92" s="6" t="b">
        <v>0</v>
      </c>
      <c r="U92" s="6" t="b">
        <v>0</v>
      </c>
      <c r="V92" s="6" t="b">
        <v>0</v>
      </c>
      <c r="W92" s="6" t="b">
        <v>0</v>
      </c>
      <c r="X92" s="6" t="b">
        <v>0</v>
      </c>
      <c r="Y92" s="6" t="b">
        <v>0</v>
      </c>
      <c r="Z92" s="6" t="b">
        <v>0</v>
      </c>
      <c r="AA92" s="6" t="b">
        <v>0</v>
      </c>
      <c r="AB92" s="6" t="b">
        <v>0</v>
      </c>
      <c r="AC92" s="6" t="b">
        <v>0</v>
      </c>
      <c r="AD92" s="6" t="b">
        <v>0</v>
      </c>
      <c r="AE92" s="6" t="b">
        <v>0</v>
      </c>
      <c r="AF92" s="6" t="b">
        <v>0</v>
      </c>
      <c r="AG92" s="6" t="b">
        <v>0</v>
      </c>
      <c r="AH92" s="6" t="b">
        <v>0</v>
      </c>
      <c r="AI92" s="6" t="b">
        <v>0</v>
      </c>
      <c r="AJ92" s="6" t="b">
        <v>0</v>
      </c>
      <c r="AK92" s="6" t="b">
        <v>0</v>
      </c>
      <c r="AL92" s="9" t="str">
        <f t="shared" si="1"/>
        <v>0 dari 31 (0%)</v>
      </c>
    </row>
    <row r="93" ht="22.5" customHeight="1">
      <c r="A93" s="10">
        <v>92.0</v>
      </c>
      <c r="B93" s="11"/>
      <c r="C93" s="140"/>
      <c r="D93" s="138"/>
      <c r="E93" s="138"/>
      <c r="F93" s="13"/>
      <c r="G93" s="6" t="b">
        <v>0</v>
      </c>
      <c r="H93" s="6" t="b">
        <v>0</v>
      </c>
      <c r="I93" s="6" t="b">
        <v>0</v>
      </c>
      <c r="J93" s="6" t="b">
        <v>0</v>
      </c>
      <c r="K93" s="6" t="b">
        <v>0</v>
      </c>
      <c r="L93" s="6" t="b">
        <v>0</v>
      </c>
      <c r="M93" s="6" t="b">
        <v>0</v>
      </c>
      <c r="N93" s="6" t="b">
        <v>0</v>
      </c>
      <c r="O93" s="6" t="b">
        <v>0</v>
      </c>
      <c r="P93" s="6" t="b">
        <v>0</v>
      </c>
      <c r="Q93" s="6" t="b">
        <v>0</v>
      </c>
      <c r="R93" s="6" t="b">
        <v>0</v>
      </c>
      <c r="S93" s="6" t="b">
        <v>0</v>
      </c>
      <c r="T93" s="6" t="b">
        <v>0</v>
      </c>
      <c r="U93" s="6" t="b">
        <v>0</v>
      </c>
      <c r="V93" s="6" t="b">
        <v>0</v>
      </c>
      <c r="W93" s="6" t="b">
        <v>0</v>
      </c>
      <c r="X93" s="6" t="b">
        <v>0</v>
      </c>
      <c r="Y93" s="6" t="b">
        <v>0</v>
      </c>
      <c r="Z93" s="6" t="b">
        <v>0</v>
      </c>
      <c r="AA93" s="6" t="b">
        <v>0</v>
      </c>
      <c r="AB93" s="6" t="b">
        <v>0</v>
      </c>
      <c r="AC93" s="6" t="b">
        <v>0</v>
      </c>
      <c r="AD93" s="6" t="b">
        <v>0</v>
      </c>
      <c r="AE93" s="6" t="b">
        <v>0</v>
      </c>
      <c r="AF93" s="6" t="b">
        <v>0</v>
      </c>
      <c r="AG93" s="6" t="b">
        <v>0</v>
      </c>
      <c r="AH93" s="6" t="b">
        <v>0</v>
      </c>
      <c r="AI93" s="6" t="b">
        <v>0</v>
      </c>
      <c r="AJ93" s="6" t="b">
        <v>0</v>
      </c>
      <c r="AK93" s="6" t="b">
        <v>0</v>
      </c>
      <c r="AL93" s="17" t="str">
        <f t="shared" si="1"/>
        <v>0 dari 31 (0%)</v>
      </c>
    </row>
    <row r="94" ht="22.5" customHeight="1">
      <c r="A94" s="2">
        <v>93.0</v>
      </c>
      <c r="B94" s="11"/>
      <c r="C94" s="140"/>
      <c r="D94" s="138"/>
      <c r="E94" s="138"/>
      <c r="F94" s="13"/>
      <c r="G94" s="6" t="b">
        <v>0</v>
      </c>
      <c r="H94" s="6" t="b">
        <v>0</v>
      </c>
      <c r="I94" s="6" t="b">
        <v>0</v>
      </c>
      <c r="J94" s="6" t="b">
        <v>0</v>
      </c>
      <c r="K94" s="6" t="b">
        <v>0</v>
      </c>
      <c r="L94" s="6" t="b">
        <v>0</v>
      </c>
      <c r="M94" s="6" t="b">
        <v>0</v>
      </c>
      <c r="N94" s="6" t="b">
        <v>0</v>
      </c>
      <c r="O94" s="6" t="b">
        <v>0</v>
      </c>
      <c r="P94" s="6" t="b">
        <v>0</v>
      </c>
      <c r="Q94" s="6" t="b">
        <v>0</v>
      </c>
      <c r="R94" s="6" t="b">
        <v>0</v>
      </c>
      <c r="S94" s="6" t="b">
        <v>0</v>
      </c>
      <c r="T94" s="6" t="b">
        <v>0</v>
      </c>
      <c r="U94" s="6" t="b">
        <v>0</v>
      </c>
      <c r="V94" s="6" t="b">
        <v>0</v>
      </c>
      <c r="W94" s="6" t="b">
        <v>0</v>
      </c>
      <c r="X94" s="6" t="b">
        <v>0</v>
      </c>
      <c r="Y94" s="6" t="b">
        <v>0</v>
      </c>
      <c r="Z94" s="6" t="b">
        <v>0</v>
      </c>
      <c r="AA94" s="6" t="b">
        <v>0</v>
      </c>
      <c r="AB94" s="6" t="b">
        <v>0</v>
      </c>
      <c r="AC94" s="6" t="b">
        <v>0</v>
      </c>
      <c r="AD94" s="6" t="b">
        <v>0</v>
      </c>
      <c r="AE94" s="6" t="b">
        <v>0</v>
      </c>
      <c r="AF94" s="6" t="b">
        <v>0</v>
      </c>
      <c r="AG94" s="6" t="b">
        <v>0</v>
      </c>
      <c r="AH94" s="6" t="b">
        <v>0</v>
      </c>
      <c r="AI94" s="6" t="b">
        <v>0</v>
      </c>
      <c r="AJ94" s="6" t="b">
        <v>0</v>
      </c>
      <c r="AK94" s="6" t="b">
        <v>0</v>
      </c>
      <c r="AL94" s="9" t="str">
        <f t="shared" si="1"/>
        <v>0 dari 31 (0%)</v>
      </c>
    </row>
    <row r="95" ht="22.5" customHeight="1">
      <c r="A95" s="10">
        <v>94.0</v>
      </c>
      <c r="B95" s="11"/>
      <c r="C95" s="140"/>
      <c r="D95" s="138"/>
      <c r="E95" s="138"/>
      <c r="F95" s="13"/>
      <c r="G95" s="6" t="b">
        <v>0</v>
      </c>
      <c r="H95" s="6" t="b">
        <v>0</v>
      </c>
      <c r="I95" s="6" t="b">
        <v>0</v>
      </c>
      <c r="J95" s="6" t="b">
        <v>0</v>
      </c>
      <c r="K95" s="6" t="b">
        <v>0</v>
      </c>
      <c r="L95" s="6" t="b">
        <v>0</v>
      </c>
      <c r="M95" s="6" t="b">
        <v>0</v>
      </c>
      <c r="N95" s="6" t="b">
        <v>0</v>
      </c>
      <c r="O95" s="6" t="b">
        <v>0</v>
      </c>
      <c r="P95" s="6" t="b">
        <v>0</v>
      </c>
      <c r="Q95" s="6" t="b">
        <v>0</v>
      </c>
      <c r="R95" s="6" t="b">
        <v>0</v>
      </c>
      <c r="S95" s="6" t="b">
        <v>0</v>
      </c>
      <c r="T95" s="6" t="b">
        <v>0</v>
      </c>
      <c r="U95" s="6" t="b">
        <v>0</v>
      </c>
      <c r="V95" s="6" t="b">
        <v>0</v>
      </c>
      <c r="W95" s="6" t="b">
        <v>0</v>
      </c>
      <c r="X95" s="6" t="b">
        <v>0</v>
      </c>
      <c r="Y95" s="6" t="b">
        <v>0</v>
      </c>
      <c r="Z95" s="6" t="b">
        <v>0</v>
      </c>
      <c r="AA95" s="6" t="b">
        <v>0</v>
      </c>
      <c r="AB95" s="6" t="b">
        <v>0</v>
      </c>
      <c r="AC95" s="6" t="b">
        <v>0</v>
      </c>
      <c r="AD95" s="6" t="b">
        <v>0</v>
      </c>
      <c r="AE95" s="6" t="b">
        <v>0</v>
      </c>
      <c r="AF95" s="6" t="b">
        <v>0</v>
      </c>
      <c r="AG95" s="6" t="b">
        <v>0</v>
      </c>
      <c r="AH95" s="6" t="b">
        <v>0</v>
      </c>
      <c r="AI95" s="6" t="b">
        <v>0</v>
      </c>
      <c r="AJ95" s="6" t="b">
        <v>0</v>
      </c>
      <c r="AK95" s="6" t="b">
        <v>0</v>
      </c>
      <c r="AL95" s="9" t="str">
        <f t="shared" si="1"/>
        <v>0 dari 31 (0%)</v>
      </c>
    </row>
    <row r="96" ht="22.5" customHeight="1">
      <c r="A96" s="10">
        <v>95.0</v>
      </c>
      <c r="B96" s="11"/>
      <c r="C96" s="140"/>
      <c r="D96" s="138"/>
      <c r="E96" s="138"/>
      <c r="F96" s="13"/>
      <c r="G96" s="6" t="b">
        <v>0</v>
      </c>
      <c r="H96" s="6" t="b">
        <v>0</v>
      </c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6" t="b">
        <v>0</v>
      </c>
      <c r="P96" s="6" t="b">
        <v>0</v>
      </c>
      <c r="Q96" s="6" t="b">
        <v>0</v>
      </c>
      <c r="R96" s="6" t="b">
        <v>0</v>
      </c>
      <c r="S96" s="6" t="b">
        <v>0</v>
      </c>
      <c r="T96" s="6" t="b">
        <v>0</v>
      </c>
      <c r="U96" s="6" t="b">
        <v>0</v>
      </c>
      <c r="V96" s="6" t="b">
        <v>0</v>
      </c>
      <c r="W96" s="6" t="b">
        <v>0</v>
      </c>
      <c r="X96" s="6" t="b">
        <v>0</v>
      </c>
      <c r="Y96" s="6" t="b">
        <v>0</v>
      </c>
      <c r="Z96" s="6" t="b">
        <v>0</v>
      </c>
      <c r="AA96" s="6" t="b">
        <v>0</v>
      </c>
      <c r="AB96" s="6" t="b">
        <v>0</v>
      </c>
      <c r="AC96" s="6" t="b">
        <v>0</v>
      </c>
      <c r="AD96" s="6" t="b">
        <v>0</v>
      </c>
      <c r="AE96" s="6" t="b">
        <v>0</v>
      </c>
      <c r="AF96" s="6" t="b">
        <v>0</v>
      </c>
      <c r="AG96" s="6" t="b">
        <v>0</v>
      </c>
      <c r="AH96" s="6" t="b">
        <v>0</v>
      </c>
      <c r="AI96" s="6" t="b">
        <v>0</v>
      </c>
      <c r="AJ96" s="6" t="b">
        <v>0</v>
      </c>
      <c r="AK96" s="6" t="b">
        <v>0</v>
      </c>
      <c r="AL96" s="17" t="str">
        <f t="shared" si="1"/>
        <v>0 dari 31 (0%)</v>
      </c>
    </row>
    <row r="97" ht="22.5" customHeight="1">
      <c r="A97" s="2">
        <v>96.0</v>
      </c>
      <c r="B97" s="11"/>
      <c r="C97" s="140"/>
      <c r="D97" s="138"/>
      <c r="E97" s="138"/>
      <c r="F97" s="13"/>
      <c r="G97" s="6" t="b">
        <v>0</v>
      </c>
      <c r="H97" s="6" t="b">
        <v>0</v>
      </c>
      <c r="I97" s="6" t="b">
        <v>0</v>
      </c>
      <c r="J97" s="6" t="b">
        <v>0</v>
      </c>
      <c r="K97" s="6" t="b">
        <v>0</v>
      </c>
      <c r="L97" s="6" t="b">
        <v>0</v>
      </c>
      <c r="M97" s="6" t="b">
        <v>0</v>
      </c>
      <c r="N97" s="6" t="b">
        <v>0</v>
      </c>
      <c r="O97" s="6" t="b">
        <v>0</v>
      </c>
      <c r="P97" s="6" t="b">
        <v>0</v>
      </c>
      <c r="Q97" s="6" t="b">
        <v>0</v>
      </c>
      <c r="R97" s="6" t="b">
        <v>0</v>
      </c>
      <c r="S97" s="6" t="b">
        <v>0</v>
      </c>
      <c r="T97" s="6" t="b">
        <v>0</v>
      </c>
      <c r="U97" s="6" t="b">
        <v>0</v>
      </c>
      <c r="V97" s="6" t="b">
        <v>0</v>
      </c>
      <c r="W97" s="6" t="b">
        <v>0</v>
      </c>
      <c r="X97" s="6" t="b">
        <v>0</v>
      </c>
      <c r="Y97" s="6" t="b">
        <v>0</v>
      </c>
      <c r="Z97" s="6" t="b">
        <v>0</v>
      </c>
      <c r="AA97" s="6" t="b">
        <v>0</v>
      </c>
      <c r="AB97" s="6" t="b">
        <v>0</v>
      </c>
      <c r="AC97" s="6" t="b">
        <v>0</v>
      </c>
      <c r="AD97" s="6" t="b">
        <v>0</v>
      </c>
      <c r="AE97" s="6" t="b">
        <v>0</v>
      </c>
      <c r="AF97" s="6" t="b">
        <v>0</v>
      </c>
      <c r="AG97" s="6" t="b">
        <v>0</v>
      </c>
      <c r="AH97" s="6" t="b">
        <v>0</v>
      </c>
      <c r="AI97" s="6" t="b">
        <v>0</v>
      </c>
      <c r="AJ97" s="6" t="b">
        <v>0</v>
      </c>
      <c r="AK97" s="6" t="b">
        <v>0</v>
      </c>
      <c r="AL97" s="9" t="str">
        <f t="shared" si="1"/>
        <v>0 dari 31 (0%)</v>
      </c>
    </row>
    <row r="98" ht="22.5" customHeight="1">
      <c r="A98" s="10">
        <v>97.0</v>
      </c>
      <c r="B98" s="11"/>
      <c r="C98" s="140"/>
      <c r="D98" s="138"/>
      <c r="E98" s="138"/>
      <c r="F98" s="13"/>
      <c r="G98" s="6" t="b">
        <v>0</v>
      </c>
      <c r="H98" s="6" t="b">
        <v>0</v>
      </c>
      <c r="I98" s="6" t="b">
        <v>0</v>
      </c>
      <c r="J98" s="6" t="b">
        <v>0</v>
      </c>
      <c r="K98" s="6" t="b">
        <v>0</v>
      </c>
      <c r="L98" s="6" t="b">
        <v>0</v>
      </c>
      <c r="M98" s="6" t="b">
        <v>0</v>
      </c>
      <c r="N98" s="6" t="b">
        <v>0</v>
      </c>
      <c r="O98" s="6" t="b">
        <v>0</v>
      </c>
      <c r="P98" s="6" t="b">
        <v>0</v>
      </c>
      <c r="Q98" s="6" t="b">
        <v>0</v>
      </c>
      <c r="R98" s="6" t="b">
        <v>0</v>
      </c>
      <c r="S98" s="6" t="b">
        <v>0</v>
      </c>
      <c r="T98" s="6" t="b">
        <v>0</v>
      </c>
      <c r="U98" s="6" t="b">
        <v>0</v>
      </c>
      <c r="V98" s="6" t="b">
        <v>0</v>
      </c>
      <c r="W98" s="6" t="b">
        <v>0</v>
      </c>
      <c r="X98" s="6" t="b">
        <v>0</v>
      </c>
      <c r="Y98" s="6" t="b">
        <v>0</v>
      </c>
      <c r="Z98" s="6" t="b">
        <v>0</v>
      </c>
      <c r="AA98" s="6" t="b">
        <v>0</v>
      </c>
      <c r="AB98" s="6" t="b">
        <v>0</v>
      </c>
      <c r="AC98" s="6" t="b">
        <v>0</v>
      </c>
      <c r="AD98" s="6" t="b">
        <v>0</v>
      </c>
      <c r="AE98" s="6" t="b">
        <v>0</v>
      </c>
      <c r="AF98" s="6" t="b">
        <v>0</v>
      </c>
      <c r="AG98" s="6" t="b">
        <v>0</v>
      </c>
      <c r="AH98" s="6" t="b">
        <v>0</v>
      </c>
      <c r="AI98" s="6" t="b">
        <v>0</v>
      </c>
      <c r="AJ98" s="6" t="b">
        <v>0</v>
      </c>
      <c r="AK98" s="6" t="b">
        <v>0</v>
      </c>
      <c r="AL98" s="9" t="str">
        <f t="shared" si="1"/>
        <v>0 dari 31 (0%)</v>
      </c>
    </row>
    <row r="99" ht="22.5" customHeight="1">
      <c r="A99" s="10">
        <v>98.0</v>
      </c>
      <c r="B99" s="11"/>
      <c r="C99" s="140"/>
      <c r="D99" s="138"/>
      <c r="E99" s="138"/>
      <c r="F99" s="13"/>
      <c r="G99" s="6" t="b">
        <v>0</v>
      </c>
      <c r="H99" s="6" t="b">
        <v>0</v>
      </c>
      <c r="I99" s="6" t="b">
        <v>0</v>
      </c>
      <c r="J99" s="6" t="b">
        <v>0</v>
      </c>
      <c r="K99" s="6" t="b">
        <v>0</v>
      </c>
      <c r="L99" s="6" t="b">
        <v>0</v>
      </c>
      <c r="M99" s="6" t="b">
        <v>0</v>
      </c>
      <c r="N99" s="6" t="b">
        <v>0</v>
      </c>
      <c r="O99" s="6" t="b">
        <v>0</v>
      </c>
      <c r="P99" s="6" t="b">
        <v>0</v>
      </c>
      <c r="Q99" s="6" t="b">
        <v>0</v>
      </c>
      <c r="R99" s="6" t="b">
        <v>0</v>
      </c>
      <c r="S99" s="6" t="b">
        <v>0</v>
      </c>
      <c r="T99" s="6" t="b">
        <v>0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0</v>
      </c>
      <c r="Z99" s="6" t="b">
        <v>0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0</v>
      </c>
      <c r="AF99" s="6" t="b">
        <v>0</v>
      </c>
      <c r="AG99" s="6" t="b">
        <v>0</v>
      </c>
      <c r="AH99" s="6" t="b">
        <v>0</v>
      </c>
      <c r="AI99" s="6" t="b">
        <v>0</v>
      </c>
      <c r="AJ99" s="6" t="b">
        <v>0</v>
      </c>
      <c r="AK99" s="6" t="b">
        <v>0</v>
      </c>
      <c r="AL99" s="17" t="str">
        <f t="shared" si="1"/>
        <v>0 dari 31 (0%)</v>
      </c>
    </row>
    <row r="100" ht="22.5" customHeight="1">
      <c r="A100" s="2">
        <v>99.0</v>
      </c>
      <c r="B100" s="11"/>
      <c r="C100" s="140"/>
      <c r="D100" s="138"/>
      <c r="E100" s="138"/>
      <c r="F100" s="13"/>
      <c r="G100" s="6" t="b">
        <v>0</v>
      </c>
      <c r="H100" s="6" t="b">
        <v>0</v>
      </c>
      <c r="I100" s="6" t="b">
        <v>0</v>
      </c>
      <c r="J100" s="6" t="b">
        <v>0</v>
      </c>
      <c r="K100" s="6" t="b">
        <v>0</v>
      </c>
      <c r="L100" s="6" t="b">
        <v>0</v>
      </c>
      <c r="M100" s="6" t="b">
        <v>0</v>
      </c>
      <c r="N100" s="6" t="b">
        <v>0</v>
      </c>
      <c r="O100" s="6" t="b">
        <v>0</v>
      </c>
      <c r="P100" s="6" t="b">
        <v>0</v>
      </c>
      <c r="Q100" s="6" t="b">
        <v>0</v>
      </c>
      <c r="R100" s="6" t="b">
        <v>0</v>
      </c>
      <c r="S100" s="6" t="b">
        <v>0</v>
      </c>
      <c r="T100" s="6" t="b">
        <v>0</v>
      </c>
      <c r="U100" s="6" t="b">
        <v>0</v>
      </c>
      <c r="V100" s="6" t="b">
        <v>0</v>
      </c>
      <c r="W100" s="6" t="b">
        <v>0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0</v>
      </c>
      <c r="AD100" s="6" t="b">
        <v>0</v>
      </c>
      <c r="AE100" s="6" t="b">
        <v>0</v>
      </c>
      <c r="AF100" s="6" t="b">
        <v>0</v>
      </c>
      <c r="AG100" s="6" t="b">
        <v>0</v>
      </c>
      <c r="AH100" s="6" t="b">
        <v>0</v>
      </c>
      <c r="AI100" s="6" t="b">
        <v>0</v>
      </c>
      <c r="AJ100" s="6" t="b">
        <v>0</v>
      </c>
      <c r="AK100" s="6" t="b">
        <v>0</v>
      </c>
      <c r="AL100" s="9" t="str">
        <f t="shared" si="1"/>
        <v>0 dari 31 (0%)</v>
      </c>
    </row>
    <row r="101" ht="22.5" customHeight="1">
      <c r="A101" s="10">
        <v>100.0</v>
      </c>
      <c r="B101" s="11"/>
      <c r="C101" s="140"/>
      <c r="D101" s="138"/>
      <c r="E101" s="138"/>
      <c r="F101" s="13"/>
      <c r="G101" s="6" t="b">
        <v>0</v>
      </c>
      <c r="H101" s="6" t="b">
        <v>0</v>
      </c>
      <c r="I101" s="6" t="b">
        <v>0</v>
      </c>
      <c r="J101" s="6" t="b">
        <v>0</v>
      </c>
      <c r="K101" s="6" t="b">
        <v>0</v>
      </c>
      <c r="L101" s="6" t="b">
        <v>0</v>
      </c>
      <c r="M101" s="6" t="b">
        <v>0</v>
      </c>
      <c r="N101" s="6" t="b">
        <v>0</v>
      </c>
      <c r="O101" s="6" t="b">
        <v>0</v>
      </c>
      <c r="P101" s="6" t="b">
        <v>0</v>
      </c>
      <c r="Q101" s="6" t="b">
        <v>0</v>
      </c>
      <c r="R101" s="6" t="b">
        <v>0</v>
      </c>
      <c r="S101" s="6" t="b">
        <v>0</v>
      </c>
      <c r="T101" s="6" t="b">
        <v>0</v>
      </c>
      <c r="U101" s="6" t="b">
        <v>0</v>
      </c>
      <c r="V101" s="6" t="b">
        <v>0</v>
      </c>
      <c r="W101" s="6" t="b">
        <v>0</v>
      </c>
      <c r="X101" s="6" t="b">
        <v>0</v>
      </c>
      <c r="Y101" s="6" t="b">
        <v>0</v>
      </c>
      <c r="Z101" s="6" t="b">
        <v>0</v>
      </c>
      <c r="AA101" s="6" t="b">
        <v>0</v>
      </c>
      <c r="AB101" s="6" t="b">
        <v>0</v>
      </c>
      <c r="AC101" s="6" t="b">
        <v>0</v>
      </c>
      <c r="AD101" s="6" t="b">
        <v>0</v>
      </c>
      <c r="AE101" s="6" t="b">
        <v>0</v>
      </c>
      <c r="AF101" s="6" t="b">
        <v>0</v>
      </c>
      <c r="AG101" s="6" t="b">
        <v>0</v>
      </c>
      <c r="AH101" s="6" t="b">
        <v>0</v>
      </c>
      <c r="AI101" s="6" t="b">
        <v>0</v>
      </c>
      <c r="AJ101" s="6" t="b">
        <v>0</v>
      </c>
      <c r="AK101" s="6" t="b">
        <v>0</v>
      </c>
      <c r="AL101" s="9" t="str">
        <f t="shared" si="1"/>
        <v>0 dari 31 (0%)</v>
      </c>
    </row>
    <row r="102" ht="22.5" customHeight="1">
      <c r="A102" s="10">
        <v>101.0</v>
      </c>
      <c r="B102" s="11"/>
      <c r="C102" s="140"/>
      <c r="D102" s="138"/>
      <c r="E102" s="138"/>
      <c r="F102" s="13"/>
      <c r="G102" s="6" t="b">
        <v>0</v>
      </c>
      <c r="H102" s="6" t="b">
        <v>0</v>
      </c>
      <c r="I102" s="6" t="b">
        <v>0</v>
      </c>
      <c r="J102" s="6" t="b">
        <v>0</v>
      </c>
      <c r="K102" s="6" t="b">
        <v>0</v>
      </c>
      <c r="L102" s="6" t="b">
        <v>0</v>
      </c>
      <c r="M102" s="6" t="b">
        <v>0</v>
      </c>
      <c r="N102" s="6" t="b">
        <v>0</v>
      </c>
      <c r="O102" s="6" t="b">
        <v>0</v>
      </c>
      <c r="P102" s="6" t="b">
        <v>0</v>
      </c>
      <c r="Q102" s="6" t="b">
        <v>0</v>
      </c>
      <c r="R102" s="6" t="b">
        <v>0</v>
      </c>
      <c r="S102" s="6" t="b">
        <v>0</v>
      </c>
      <c r="T102" s="6" t="b">
        <v>0</v>
      </c>
      <c r="U102" s="6" t="b">
        <v>0</v>
      </c>
      <c r="V102" s="6" t="b">
        <v>0</v>
      </c>
      <c r="W102" s="6" t="b">
        <v>0</v>
      </c>
      <c r="X102" s="6" t="b">
        <v>0</v>
      </c>
      <c r="Y102" s="6" t="b">
        <v>0</v>
      </c>
      <c r="Z102" s="6" t="b">
        <v>0</v>
      </c>
      <c r="AA102" s="6" t="b">
        <v>0</v>
      </c>
      <c r="AB102" s="6" t="b">
        <v>0</v>
      </c>
      <c r="AC102" s="6" t="b">
        <v>0</v>
      </c>
      <c r="AD102" s="6" t="b">
        <v>0</v>
      </c>
      <c r="AE102" s="6" t="b">
        <v>0</v>
      </c>
      <c r="AF102" s="6" t="b">
        <v>0</v>
      </c>
      <c r="AG102" s="6" t="b">
        <v>0</v>
      </c>
      <c r="AH102" s="6" t="b">
        <v>0</v>
      </c>
      <c r="AI102" s="6" t="b">
        <v>0</v>
      </c>
      <c r="AJ102" s="6" t="b">
        <v>0</v>
      </c>
      <c r="AK102" s="6" t="b">
        <v>0</v>
      </c>
      <c r="AL102" s="17" t="str">
        <f t="shared" si="1"/>
        <v>0 dari 31 (0%)</v>
      </c>
    </row>
    <row r="103" ht="22.5" customHeight="1">
      <c r="A103" s="2">
        <v>102.0</v>
      </c>
      <c r="B103" s="11"/>
      <c r="C103" s="140"/>
      <c r="D103" s="138"/>
      <c r="E103" s="138"/>
      <c r="F103" s="13"/>
      <c r="G103" s="6" t="b">
        <v>0</v>
      </c>
      <c r="H103" s="6" t="b">
        <v>0</v>
      </c>
      <c r="I103" s="6" t="b">
        <v>0</v>
      </c>
      <c r="J103" s="6" t="b">
        <v>0</v>
      </c>
      <c r="K103" s="6" t="b">
        <v>0</v>
      </c>
      <c r="L103" s="6" t="b">
        <v>0</v>
      </c>
      <c r="M103" s="6" t="b">
        <v>0</v>
      </c>
      <c r="N103" s="6" t="b">
        <v>0</v>
      </c>
      <c r="O103" s="6" t="b">
        <v>0</v>
      </c>
      <c r="P103" s="6" t="b">
        <v>0</v>
      </c>
      <c r="Q103" s="6" t="b">
        <v>0</v>
      </c>
      <c r="R103" s="6" t="b">
        <v>0</v>
      </c>
      <c r="S103" s="6" t="b">
        <v>0</v>
      </c>
      <c r="T103" s="6" t="b">
        <v>0</v>
      </c>
      <c r="U103" s="6" t="b">
        <v>0</v>
      </c>
      <c r="V103" s="6" t="b">
        <v>0</v>
      </c>
      <c r="W103" s="6" t="b">
        <v>0</v>
      </c>
      <c r="X103" s="6" t="b">
        <v>0</v>
      </c>
      <c r="Y103" s="6" t="b">
        <v>0</v>
      </c>
      <c r="Z103" s="6" t="b">
        <v>0</v>
      </c>
      <c r="AA103" s="6" t="b">
        <v>0</v>
      </c>
      <c r="AB103" s="6" t="b">
        <v>0</v>
      </c>
      <c r="AC103" s="6" t="b">
        <v>0</v>
      </c>
      <c r="AD103" s="6" t="b">
        <v>0</v>
      </c>
      <c r="AE103" s="6" t="b">
        <v>0</v>
      </c>
      <c r="AF103" s="6" t="b">
        <v>0</v>
      </c>
      <c r="AG103" s="6" t="b">
        <v>0</v>
      </c>
      <c r="AH103" s="6" t="b">
        <v>0</v>
      </c>
      <c r="AI103" s="6" t="b">
        <v>0</v>
      </c>
      <c r="AJ103" s="6" t="b">
        <v>0</v>
      </c>
      <c r="AK103" s="6" t="b">
        <v>0</v>
      </c>
      <c r="AL103" s="9" t="str">
        <f t="shared" si="1"/>
        <v>0 dari 31 (0%)</v>
      </c>
    </row>
    <row r="104" ht="22.5" customHeight="1">
      <c r="A104" s="10">
        <v>103.0</v>
      </c>
      <c r="B104" s="11"/>
      <c r="C104" s="140"/>
      <c r="D104" s="138"/>
      <c r="E104" s="138"/>
      <c r="F104" s="13"/>
      <c r="G104" s="6" t="b">
        <v>0</v>
      </c>
      <c r="H104" s="6" t="b">
        <v>0</v>
      </c>
      <c r="I104" s="6" t="b">
        <v>0</v>
      </c>
      <c r="J104" s="6" t="b">
        <v>0</v>
      </c>
      <c r="K104" s="6" t="b">
        <v>0</v>
      </c>
      <c r="L104" s="6" t="b">
        <v>0</v>
      </c>
      <c r="M104" s="6" t="b">
        <v>0</v>
      </c>
      <c r="N104" s="6" t="b">
        <v>0</v>
      </c>
      <c r="O104" s="6" t="b">
        <v>0</v>
      </c>
      <c r="P104" s="6" t="b">
        <v>0</v>
      </c>
      <c r="Q104" s="6" t="b">
        <v>0</v>
      </c>
      <c r="R104" s="6" t="b">
        <v>0</v>
      </c>
      <c r="S104" s="6" t="b">
        <v>0</v>
      </c>
      <c r="T104" s="6" t="b">
        <v>0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0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0</v>
      </c>
      <c r="AF104" s="6" t="b">
        <v>0</v>
      </c>
      <c r="AG104" s="6" t="b">
        <v>0</v>
      </c>
      <c r="AH104" s="6" t="b">
        <v>0</v>
      </c>
      <c r="AI104" s="6" t="b">
        <v>0</v>
      </c>
      <c r="AJ104" s="6" t="b">
        <v>0</v>
      </c>
      <c r="AK104" s="6" t="b">
        <v>0</v>
      </c>
      <c r="AL104" s="9" t="str">
        <f t="shared" si="1"/>
        <v>0 dari 31 (0%)</v>
      </c>
    </row>
    <row r="105" ht="22.5" customHeight="1">
      <c r="A105" s="10">
        <v>104.0</v>
      </c>
      <c r="B105" s="11"/>
      <c r="C105" s="140"/>
      <c r="D105" s="138"/>
      <c r="E105" s="138"/>
      <c r="F105" s="13"/>
      <c r="G105" s="6" t="b">
        <v>0</v>
      </c>
      <c r="H105" s="6" t="b">
        <v>0</v>
      </c>
      <c r="I105" s="6" t="b">
        <v>0</v>
      </c>
      <c r="J105" s="6" t="b">
        <v>0</v>
      </c>
      <c r="K105" s="6" t="b">
        <v>0</v>
      </c>
      <c r="L105" s="6" t="b">
        <v>0</v>
      </c>
      <c r="M105" s="6" t="b">
        <v>0</v>
      </c>
      <c r="N105" s="6" t="b">
        <v>0</v>
      </c>
      <c r="O105" s="6" t="b">
        <v>0</v>
      </c>
      <c r="P105" s="6" t="b">
        <v>0</v>
      </c>
      <c r="Q105" s="6" t="b">
        <v>0</v>
      </c>
      <c r="R105" s="6" t="b">
        <v>0</v>
      </c>
      <c r="S105" s="6" t="b">
        <v>0</v>
      </c>
      <c r="T105" s="6" t="b">
        <v>0</v>
      </c>
      <c r="U105" s="6" t="b">
        <v>0</v>
      </c>
      <c r="V105" s="6" t="b">
        <v>0</v>
      </c>
      <c r="W105" s="6" t="b">
        <v>0</v>
      </c>
      <c r="X105" s="6" t="b">
        <v>0</v>
      </c>
      <c r="Y105" s="6" t="b">
        <v>0</v>
      </c>
      <c r="Z105" s="6" t="b">
        <v>0</v>
      </c>
      <c r="AA105" s="6" t="b">
        <v>0</v>
      </c>
      <c r="AB105" s="6" t="b">
        <v>0</v>
      </c>
      <c r="AC105" s="6" t="b">
        <v>0</v>
      </c>
      <c r="AD105" s="6" t="b">
        <v>0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17" t="str">
        <f t="shared" si="1"/>
        <v>0 dari 31 (0%)</v>
      </c>
    </row>
    <row r="106" ht="22.5" customHeight="1">
      <c r="A106" s="2">
        <v>105.0</v>
      </c>
      <c r="B106" s="11"/>
      <c r="C106" s="140"/>
      <c r="D106" s="138"/>
      <c r="E106" s="138"/>
      <c r="F106" s="13"/>
      <c r="G106" s="6" t="b">
        <v>0</v>
      </c>
      <c r="H106" s="6" t="b">
        <v>0</v>
      </c>
      <c r="I106" s="6" t="b">
        <v>0</v>
      </c>
      <c r="J106" s="6" t="b">
        <v>0</v>
      </c>
      <c r="K106" s="6" t="b">
        <v>0</v>
      </c>
      <c r="L106" s="6" t="b">
        <v>0</v>
      </c>
      <c r="M106" s="6" t="b">
        <v>0</v>
      </c>
      <c r="N106" s="6" t="b">
        <v>0</v>
      </c>
      <c r="O106" s="6" t="b">
        <v>0</v>
      </c>
      <c r="P106" s="6" t="b">
        <v>0</v>
      </c>
      <c r="Q106" s="6" t="b">
        <v>0</v>
      </c>
      <c r="R106" s="6" t="b">
        <v>0</v>
      </c>
      <c r="S106" s="6" t="b">
        <v>0</v>
      </c>
      <c r="T106" s="6" t="b">
        <v>0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0</v>
      </c>
      <c r="AA106" s="6" t="b">
        <v>0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0</v>
      </c>
      <c r="AG106" s="6" t="b">
        <v>0</v>
      </c>
      <c r="AH106" s="6" t="b">
        <v>0</v>
      </c>
      <c r="AI106" s="6" t="b">
        <v>0</v>
      </c>
      <c r="AJ106" s="6" t="b">
        <v>0</v>
      </c>
      <c r="AK106" s="6" t="b">
        <v>0</v>
      </c>
      <c r="AL106" s="9" t="str">
        <f t="shared" si="1"/>
        <v>0 dari 31 (0%)</v>
      </c>
    </row>
    <row r="107" ht="22.5" customHeight="1">
      <c r="A107" s="10">
        <v>106.0</v>
      </c>
      <c r="B107" s="11"/>
      <c r="C107" s="140"/>
      <c r="D107" s="138"/>
      <c r="E107" s="138"/>
      <c r="F107" s="13"/>
      <c r="G107" s="6" t="b">
        <v>0</v>
      </c>
      <c r="H107" s="6" t="b">
        <v>0</v>
      </c>
      <c r="I107" s="6" t="b">
        <v>0</v>
      </c>
      <c r="J107" s="6" t="b">
        <v>0</v>
      </c>
      <c r="K107" s="6" t="b">
        <v>0</v>
      </c>
      <c r="L107" s="6" t="b">
        <v>0</v>
      </c>
      <c r="M107" s="6" t="b">
        <v>0</v>
      </c>
      <c r="N107" s="6" t="b">
        <v>0</v>
      </c>
      <c r="O107" s="6" t="b">
        <v>0</v>
      </c>
      <c r="P107" s="6" t="b">
        <v>0</v>
      </c>
      <c r="Q107" s="6" t="b">
        <v>0</v>
      </c>
      <c r="R107" s="6" t="b">
        <v>0</v>
      </c>
      <c r="S107" s="6" t="b">
        <v>0</v>
      </c>
      <c r="T107" s="6" t="b">
        <v>0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0</v>
      </c>
      <c r="AF107" s="6" t="b">
        <v>0</v>
      </c>
      <c r="AG107" s="6" t="b">
        <v>0</v>
      </c>
      <c r="AH107" s="6" t="b">
        <v>0</v>
      </c>
      <c r="AI107" s="6" t="b">
        <v>0</v>
      </c>
      <c r="AJ107" s="6" t="b">
        <v>0</v>
      </c>
      <c r="AK107" s="6" t="b">
        <v>0</v>
      </c>
      <c r="AL107" s="9" t="str">
        <f t="shared" si="1"/>
        <v>0 dari 31 (0%)</v>
      </c>
    </row>
    <row r="108" ht="22.5" customHeight="1">
      <c r="A108" s="10">
        <v>107.0</v>
      </c>
      <c r="B108" s="11"/>
      <c r="C108" s="140"/>
      <c r="D108" s="138"/>
      <c r="E108" s="138"/>
      <c r="F108" s="13"/>
      <c r="G108" s="6" t="b">
        <v>0</v>
      </c>
      <c r="H108" s="6" t="b">
        <v>0</v>
      </c>
      <c r="I108" s="6" t="b">
        <v>0</v>
      </c>
      <c r="J108" s="6" t="b">
        <v>0</v>
      </c>
      <c r="K108" s="6" t="b">
        <v>0</v>
      </c>
      <c r="L108" s="6" t="b">
        <v>0</v>
      </c>
      <c r="M108" s="6" t="b">
        <v>0</v>
      </c>
      <c r="N108" s="6" t="b">
        <v>0</v>
      </c>
      <c r="O108" s="6" t="b">
        <v>0</v>
      </c>
      <c r="P108" s="6" t="b">
        <v>0</v>
      </c>
      <c r="Q108" s="6" t="b">
        <v>0</v>
      </c>
      <c r="R108" s="6" t="b">
        <v>0</v>
      </c>
      <c r="S108" s="6" t="b">
        <v>0</v>
      </c>
      <c r="T108" s="6" t="b">
        <v>0</v>
      </c>
      <c r="U108" s="6" t="b">
        <v>0</v>
      </c>
      <c r="V108" s="6" t="b">
        <v>0</v>
      </c>
      <c r="W108" s="6" t="b">
        <v>0</v>
      </c>
      <c r="X108" s="6" t="b">
        <v>0</v>
      </c>
      <c r="Y108" s="6" t="b">
        <v>0</v>
      </c>
      <c r="Z108" s="6" t="b">
        <v>0</v>
      </c>
      <c r="AA108" s="6" t="b">
        <v>0</v>
      </c>
      <c r="AB108" s="6" t="b">
        <v>0</v>
      </c>
      <c r="AC108" s="6" t="b">
        <v>0</v>
      </c>
      <c r="AD108" s="6" t="b">
        <v>0</v>
      </c>
      <c r="AE108" s="6" t="b">
        <v>0</v>
      </c>
      <c r="AF108" s="6" t="b">
        <v>0</v>
      </c>
      <c r="AG108" s="6" t="b">
        <v>0</v>
      </c>
      <c r="AH108" s="6" t="b">
        <v>0</v>
      </c>
      <c r="AI108" s="6" t="b">
        <v>0</v>
      </c>
      <c r="AJ108" s="6" t="b">
        <v>0</v>
      </c>
      <c r="AK108" s="6" t="b">
        <v>0</v>
      </c>
      <c r="AL108" s="17" t="str">
        <f t="shared" si="1"/>
        <v>0 dari 31 (0%)</v>
      </c>
    </row>
    <row r="109" ht="22.5" customHeight="1">
      <c r="A109" s="2">
        <v>108.0</v>
      </c>
      <c r="B109" s="11"/>
      <c r="C109" s="140"/>
      <c r="D109" s="138"/>
      <c r="E109" s="138"/>
      <c r="F109" s="13"/>
      <c r="G109" s="6" t="b">
        <v>0</v>
      </c>
      <c r="H109" s="6" t="b">
        <v>0</v>
      </c>
      <c r="I109" s="6" t="b">
        <v>0</v>
      </c>
      <c r="J109" s="6" t="b">
        <v>0</v>
      </c>
      <c r="K109" s="6" t="b">
        <v>0</v>
      </c>
      <c r="L109" s="6" t="b">
        <v>0</v>
      </c>
      <c r="M109" s="6" t="b">
        <v>0</v>
      </c>
      <c r="N109" s="6" t="b">
        <v>0</v>
      </c>
      <c r="O109" s="6" t="b">
        <v>0</v>
      </c>
      <c r="P109" s="6" t="b">
        <v>0</v>
      </c>
      <c r="Q109" s="6" t="b">
        <v>0</v>
      </c>
      <c r="R109" s="6" t="b">
        <v>0</v>
      </c>
      <c r="S109" s="6" t="b">
        <v>0</v>
      </c>
      <c r="T109" s="6" t="b">
        <v>0</v>
      </c>
      <c r="U109" s="6" t="b">
        <v>0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0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0</v>
      </c>
      <c r="AI109" s="6" t="b">
        <v>0</v>
      </c>
      <c r="AJ109" s="6" t="b">
        <v>0</v>
      </c>
      <c r="AK109" s="6" t="b">
        <v>0</v>
      </c>
      <c r="AL109" s="9" t="str">
        <f t="shared" si="1"/>
        <v>0 dari 31 (0%)</v>
      </c>
    </row>
    <row r="110" ht="22.5" customHeight="1">
      <c r="A110" s="10">
        <v>109.0</v>
      </c>
      <c r="B110" s="11"/>
      <c r="C110" s="140"/>
      <c r="D110" s="138"/>
      <c r="E110" s="138"/>
      <c r="F110" s="13"/>
      <c r="G110" s="6" t="b">
        <v>0</v>
      </c>
      <c r="H110" s="6" t="b">
        <v>0</v>
      </c>
      <c r="I110" s="6" t="b">
        <v>0</v>
      </c>
      <c r="J110" s="6" t="b">
        <v>0</v>
      </c>
      <c r="K110" s="6" t="b">
        <v>0</v>
      </c>
      <c r="L110" s="6" t="b">
        <v>0</v>
      </c>
      <c r="M110" s="6" t="b">
        <v>0</v>
      </c>
      <c r="N110" s="6" t="b">
        <v>0</v>
      </c>
      <c r="O110" s="6" t="b">
        <v>0</v>
      </c>
      <c r="P110" s="6" t="b">
        <v>0</v>
      </c>
      <c r="Q110" s="6" t="b">
        <v>0</v>
      </c>
      <c r="R110" s="6" t="b">
        <v>0</v>
      </c>
      <c r="S110" s="6" t="b">
        <v>0</v>
      </c>
      <c r="T110" s="6" t="b">
        <v>0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0</v>
      </c>
      <c r="Z110" s="6" t="b">
        <v>0</v>
      </c>
      <c r="AA110" s="6" t="b">
        <v>0</v>
      </c>
      <c r="AB110" s="6" t="b">
        <v>0</v>
      </c>
      <c r="AC110" s="6" t="b">
        <v>0</v>
      </c>
      <c r="AD110" s="6" t="b">
        <v>0</v>
      </c>
      <c r="AE110" s="6" t="b">
        <v>0</v>
      </c>
      <c r="AF110" s="6" t="b">
        <v>0</v>
      </c>
      <c r="AG110" s="6" t="b">
        <v>0</v>
      </c>
      <c r="AH110" s="6" t="b">
        <v>0</v>
      </c>
      <c r="AI110" s="6" t="b">
        <v>0</v>
      </c>
      <c r="AJ110" s="6" t="b">
        <v>0</v>
      </c>
      <c r="AK110" s="6" t="b">
        <v>0</v>
      </c>
      <c r="AL110" s="9" t="str">
        <f t="shared" si="1"/>
        <v>0 dari 31 (0%)</v>
      </c>
    </row>
    <row r="111" ht="22.5" customHeight="1">
      <c r="A111" s="10">
        <v>110.0</v>
      </c>
      <c r="B111" s="11"/>
      <c r="C111" s="140"/>
      <c r="D111" s="138"/>
      <c r="E111" s="138"/>
      <c r="F111" s="13"/>
      <c r="G111" s="6" t="b">
        <v>0</v>
      </c>
      <c r="H111" s="6" t="b">
        <v>0</v>
      </c>
      <c r="I111" s="6" t="b">
        <v>0</v>
      </c>
      <c r="J111" s="6" t="b">
        <v>0</v>
      </c>
      <c r="K111" s="6" t="b">
        <v>0</v>
      </c>
      <c r="L111" s="6" t="b">
        <v>0</v>
      </c>
      <c r="M111" s="6" t="b">
        <v>0</v>
      </c>
      <c r="N111" s="6" t="b">
        <v>0</v>
      </c>
      <c r="O111" s="6" t="b">
        <v>0</v>
      </c>
      <c r="P111" s="6" t="b">
        <v>0</v>
      </c>
      <c r="Q111" s="6" t="b">
        <v>0</v>
      </c>
      <c r="R111" s="6" t="b">
        <v>0</v>
      </c>
      <c r="S111" s="6" t="b">
        <v>0</v>
      </c>
      <c r="T111" s="6" t="b">
        <v>0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0</v>
      </c>
      <c r="AD111" s="6" t="b">
        <v>0</v>
      </c>
      <c r="AE111" s="6" t="b">
        <v>0</v>
      </c>
      <c r="AF111" s="6" t="b">
        <v>0</v>
      </c>
      <c r="AG111" s="6" t="b">
        <v>0</v>
      </c>
      <c r="AH111" s="6" t="b">
        <v>0</v>
      </c>
      <c r="AI111" s="6" t="b">
        <v>0</v>
      </c>
      <c r="AJ111" s="6" t="b">
        <v>0</v>
      </c>
      <c r="AK111" s="6" t="b">
        <v>0</v>
      </c>
      <c r="AL111" s="17" t="str">
        <f t="shared" si="1"/>
        <v>0 dari 31 (0%)</v>
      </c>
    </row>
    <row r="112" ht="22.5" customHeight="1">
      <c r="A112" s="2">
        <v>111.0</v>
      </c>
      <c r="B112" s="11"/>
      <c r="C112" s="140"/>
      <c r="D112" s="138"/>
      <c r="E112" s="138"/>
      <c r="F112" s="13"/>
      <c r="G112" s="6" t="b">
        <v>0</v>
      </c>
      <c r="H112" s="6" t="b">
        <v>0</v>
      </c>
      <c r="I112" s="6" t="b">
        <v>0</v>
      </c>
      <c r="J112" s="6" t="b">
        <v>0</v>
      </c>
      <c r="K112" s="6" t="b">
        <v>0</v>
      </c>
      <c r="L112" s="6" t="b">
        <v>0</v>
      </c>
      <c r="M112" s="6" t="b">
        <v>0</v>
      </c>
      <c r="N112" s="6" t="b">
        <v>0</v>
      </c>
      <c r="O112" s="6" t="b">
        <v>0</v>
      </c>
      <c r="P112" s="6" t="b">
        <v>0</v>
      </c>
      <c r="Q112" s="6" t="b">
        <v>0</v>
      </c>
      <c r="R112" s="6" t="b">
        <v>0</v>
      </c>
      <c r="S112" s="6" t="b">
        <v>0</v>
      </c>
      <c r="T112" s="6" t="b">
        <v>0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0</v>
      </c>
      <c r="AD112" s="6" t="b">
        <v>0</v>
      </c>
      <c r="AE112" s="6" t="b">
        <v>0</v>
      </c>
      <c r="AF112" s="6" t="b">
        <v>0</v>
      </c>
      <c r="AG112" s="6" t="b">
        <v>0</v>
      </c>
      <c r="AH112" s="6" t="b">
        <v>0</v>
      </c>
      <c r="AI112" s="6" t="b">
        <v>0</v>
      </c>
      <c r="AJ112" s="6" t="b">
        <v>0</v>
      </c>
      <c r="AK112" s="6" t="b">
        <v>0</v>
      </c>
      <c r="AL112" s="9" t="str">
        <f t="shared" si="1"/>
        <v>0 dari 31 (0%)</v>
      </c>
    </row>
    <row r="113" ht="22.5" customHeight="1">
      <c r="A113" s="10">
        <v>112.0</v>
      </c>
      <c r="B113" s="11"/>
      <c r="C113" s="140"/>
      <c r="D113" s="138"/>
      <c r="E113" s="138"/>
      <c r="F113" s="13"/>
      <c r="G113" s="6" t="b">
        <v>0</v>
      </c>
      <c r="H113" s="6" t="b">
        <v>0</v>
      </c>
      <c r="I113" s="6" t="b">
        <v>0</v>
      </c>
      <c r="J113" s="6" t="b">
        <v>0</v>
      </c>
      <c r="K113" s="6" t="b">
        <v>0</v>
      </c>
      <c r="L113" s="6" t="b">
        <v>0</v>
      </c>
      <c r="M113" s="6" t="b">
        <v>0</v>
      </c>
      <c r="N113" s="6" t="b">
        <v>0</v>
      </c>
      <c r="O113" s="6" t="b">
        <v>0</v>
      </c>
      <c r="P113" s="6" t="b">
        <v>0</v>
      </c>
      <c r="Q113" s="6" t="b">
        <v>0</v>
      </c>
      <c r="R113" s="6" t="b">
        <v>0</v>
      </c>
      <c r="S113" s="6" t="b">
        <v>0</v>
      </c>
      <c r="T113" s="6" t="b">
        <v>0</v>
      </c>
      <c r="U113" s="6" t="b">
        <v>0</v>
      </c>
      <c r="V113" s="6" t="b">
        <v>0</v>
      </c>
      <c r="W113" s="6" t="b">
        <v>0</v>
      </c>
      <c r="X113" s="6" t="b">
        <v>0</v>
      </c>
      <c r="Y113" s="6" t="b">
        <v>0</v>
      </c>
      <c r="Z113" s="6" t="b">
        <v>0</v>
      </c>
      <c r="AA113" s="6" t="b">
        <v>0</v>
      </c>
      <c r="AB113" s="6" t="b">
        <v>0</v>
      </c>
      <c r="AC113" s="6" t="b">
        <v>0</v>
      </c>
      <c r="AD113" s="6" t="b">
        <v>0</v>
      </c>
      <c r="AE113" s="6" t="b">
        <v>0</v>
      </c>
      <c r="AF113" s="6" t="b">
        <v>0</v>
      </c>
      <c r="AG113" s="6" t="b">
        <v>0</v>
      </c>
      <c r="AH113" s="6" t="b">
        <v>0</v>
      </c>
      <c r="AI113" s="6" t="b">
        <v>0</v>
      </c>
      <c r="AJ113" s="6" t="b">
        <v>0</v>
      </c>
      <c r="AK113" s="6" t="b">
        <v>0</v>
      </c>
      <c r="AL113" s="9" t="str">
        <f t="shared" si="1"/>
        <v>0 dari 31 (0%)</v>
      </c>
    </row>
    <row r="114" ht="22.5" customHeight="1">
      <c r="A114" s="10">
        <v>113.0</v>
      </c>
      <c r="B114" s="11"/>
      <c r="C114" s="140"/>
      <c r="D114" s="138"/>
      <c r="E114" s="138"/>
      <c r="F114" s="13"/>
      <c r="G114" s="6" t="b">
        <v>0</v>
      </c>
      <c r="H114" s="6" t="b">
        <v>0</v>
      </c>
      <c r="I114" s="6" t="b">
        <v>0</v>
      </c>
      <c r="J114" s="6" t="b">
        <v>0</v>
      </c>
      <c r="K114" s="6" t="b">
        <v>0</v>
      </c>
      <c r="L114" s="6" t="b">
        <v>0</v>
      </c>
      <c r="M114" s="6" t="b">
        <v>0</v>
      </c>
      <c r="N114" s="6" t="b">
        <v>0</v>
      </c>
      <c r="O114" s="6" t="b">
        <v>0</v>
      </c>
      <c r="P114" s="6" t="b">
        <v>0</v>
      </c>
      <c r="Q114" s="6" t="b">
        <v>0</v>
      </c>
      <c r="R114" s="6" t="b">
        <v>0</v>
      </c>
      <c r="S114" s="6" t="b">
        <v>0</v>
      </c>
      <c r="T114" s="6" t="b">
        <v>0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0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0</v>
      </c>
      <c r="AI114" s="6" t="b">
        <v>0</v>
      </c>
      <c r="AJ114" s="6" t="b">
        <v>0</v>
      </c>
      <c r="AK114" s="6" t="b">
        <v>0</v>
      </c>
      <c r="AL114" s="17" t="str">
        <f t="shared" si="1"/>
        <v>0 dari 31 (0%)</v>
      </c>
    </row>
    <row r="115" ht="22.5" customHeight="1">
      <c r="A115" s="2">
        <v>114.0</v>
      </c>
      <c r="B115" s="11"/>
      <c r="C115" s="140"/>
      <c r="D115" s="138"/>
      <c r="E115" s="138"/>
      <c r="F115" s="13"/>
      <c r="G115" s="6" t="b">
        <v>0</v>
      </c>
      <c r="H115" s="6" t="b">
        <v>0</v>
      </c>
      <c r="I115" s="6" t="b">
        <v>0</v>
      </c>
      <c r="J115" s="6" t="b">
        <v>0</v>
      </c>
      <c r="K115" s="6" t="b">
        <v>0</v>
      </c>
      <c r="L115" s="6" t="b">
        <v>0</v>
      </c>
      <c r="M115" s="6" t="b">
        <v>0</v>
      </c>
      <c r="N115" s="6" t="b">
        <v>0</v>
      </c>
      <c r="O115" s="6" t="b">
        <v>0</v>
      </c>
      <c r="P115" s="6" t="b">
        <v>0</v>
      </c>
      <c r="Q115" s="6" t="b">
        <v>0</v>
      </c>
      <c r="R115" s="6" t="b">
        <v>0</v>
      </c>
      <c r="S115" s="6" t="b">
        <v>0</v>
      </c>
      <c r="T115" s="6" t="b">
        <v>0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0</v>
      </c>
      <c r="AE115" s="6" t="b">
        <v>0</v>
      </c>
      <c r="AF115" s="6" t="b">
        <v>0</v>
      </c>
      <c r="AG115" s="6" t="b">
        <v>0</v>
      </c>
      <c r="AH115" s="6" t="b">
        <v>0</v>
      </c>
      <c r="AI115" s="6" t="b">
        <v>0</v>
      </c>
      <c r="AJ115" s="6" t="b">
        <v>0</v>
      </c>
      <c r="AK115" s="6" t="b">
        <v>0</v>
      </c>
      <c r="AL115" s="9" t="str">
        <f t="shared" si="1"/>
        <v>0 dari 31 (0%)</v>
      </c>
    </row>
    <row r="116" ht="22.5" customHeight="1">
      <c r="A116" s="10">
        <v>115.0</v>
      </c>
      <c r="B116" s="11"/>
      <c r="C116" s="140"/>
      <c r="D116" s="138"/>
      <c r="E116" s="138"/>
      <c r="F116" s="13"/>
      <c r="G116" s="6" t="b">
        <v>0</v>
      </c>
      <c r="H116" s="6" t="b">
        <v>0</v>
      </c>
      <c r="I116" s="6" t="b">
        <v>0</v>
      </c>
      <c r="J116" s="6" t="b">
        <v>0</v>
      </c>
      <c r="K116" s="6" t="b">
        <v>0</v>
      </c>
      <c r="L116" s="6" t="b">
        <v>0</v>
      </c>
      <c r="M116" s="6" t="b">
        <v>0</v>
      </c>
      <c r="N116" s="6" t="b">
        <v>0</v>
      </c>
      <c r="O116" s="6" t="b">
        <v>0</v>
      </c>
      <c r="P116" s="6" t="b">
        <v>0</v>
      </c>
      <c r="Q116" s="6" t="b">
        <v>0</v>
      </c>
      <c r="R116" s="6" t="b">
        <v>0</v>
      </c>
      <c r="S116" s="6" t="b">
        <v>0</v>
      </c>
      <c r="T116" s="6" t="b">
        <v>0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0</v>
      </c>
      <c r="AA116" s="6" t="b">
        <v>0</v>
      </c>
      <c r="AB116" s="6" t="b">
        <v>0</v>
      </c>
      <c r="AC116" s="6" t="b">
        <v>0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0</v>
      </c>
      <c r="AI116" s="6" t="b">
        <v>0</v>
      </c>
      <c r="AJ116" s="6" t="b">
        <v>0</v>
      </c>
      <c r="AK116" s="6" t="b">
        <v>0</v>
      </c>
      <c r="AL116" s="9" t="str">
        <f t="shared" si="1"/>
        <v>0 dari 31 (0%)</v>
      </c>
    </row>
    <row r="117" ht="22.5" customHeight="1">
      <c r="A117" s="10">
        <v>116.0</v>
      </c>
      <c r="B117" s="11"/>
      <c r="C117" s="140"/>
      <c r="D117" s="138"/>
      <c r="E117" s="138"/>
      <c r="F117" s="13"/>
      <c r="G117" s="6" t="b">
        <v>0</v>
      </c>
      <c r="H117" s="6" t="b">
        <v>0</v>
      </c>
      <c r="I117" s="6" t="b">
        <v>0</v>
      </c>
      <c r="J117" s="6" t="b">
        <v>0</v>
      </c>
      <c r="K117" s="6" t="b">
        <v>0</v>
      </c>
      <c r="L117" s="6" t="b">
        <v>0</v>
      </c>
      <c r="M117" s="6" t="b">
        <v>0</v>
      </c>
      <c r="N117" s="6" t="b">
        <v>0</v>
      </c>
      <c r="O117" s="6" t="b">
        <v>0</v>
      </c>
      <c r="P117" s="6" t="b">
        <v>0</v>
      </c>
      <c r="Q117" s="6" t="b">
        <v>0</v>
      </c>
      <c r="R117" s="6" t="b">
        <v>0</v>
      </c>
      <c r="S117" s="6" t="b">
        <v>0</v>
      </c>
      <c r="T117" s="6" t="b">
        <v>0</v>
      </c>
      <c r="U117" s="6" t="b">
        <v>0</v>
      </c>
      <c r="V117" s="6" t="b">
        <v>0</v>
      </c>
      <c r="W117" s="6" t="b">
        <v>0</v>
      </c>
      <c r="X117" s="6" t="b">
        <v>0</v>
      </c>
      <c r="Y117" s="6" t="b">
        <v>0</v>
      </c>
      <c r="Z117" s="6" t="b">
        <v>0</v>
      </c>
      <c r="AA117" s="6" t="b">
        <v>0</v>
      </c>
      <c r="AB117" s="6" t="b">
        <v>0</v>
      </c>
      <c r="AC117" s="6" t="b">
        <v>0</v>
      </c>
      <c r="AD117" s="6" t="b">
        <v>0</v>
      </c>
      <c r="AE117" s="6" t="b">
        <v>0</v>
      </c>
      <c r="AF117" s="6" t="b">
        <v>0</v>
      </c>
      <c r="AG117" s="6" t="b">
        <v>0</v>
      </c>
      <c r="AH117" s="6" t="b">
        <v>0</v>
      </c>
      <c r="AI117" s="6" t="b">
        <v>0</v>
      </c>
      <c r="AJ117" s="6" t="b">
        <v>0</v>
      </c>
      <c r="AK117" s="6" t="b">
        <v>0</v>
      </c>
      <c r="AL117" s="17" t="str">
        <f t="shared" si="1"/>
        <v>0 dari 31 (0%)</v>
      </c>
    </row>
    <row r="118" ht="22.5" customHeight="1">
      <c r="A118" s="2">
        <v>117.0</v>
      </c>
      <c r="B118" s="11"/>
      <c r="C118" s="140"/>
      <c r="D118" s="138"/>
      <c r="E118" s="138"/>
      <c r="F118" s="13"/>
      <c r="G118" s="6" t="b">
        <v>0</v>
      </c>
      <c r="H118" s="6" t="b">
        <v>0</v>
      </c>
      <c r="I118" s="6" t="b">
        <v>0</v>
      </c>
      <c r="J118" s="6" t="b">
        <v>0</v>
      </c>
      <c r="K118" s="6" t="b">
        <v>0</v>
      </c>
      <c r="L118" s="6" t="b">
        <v>0</v>
      </c>
      <c r="M118" s="6" t="b">
        <v>0</v>
      </c>
      <c r="N118" s="6" t="b">
        <v>0</v>
      </c>
      <c r="O118" s="6" t="b">
        <v>0</v>
      </c>
      <c r="P118" s="6" t="b">
        <v>0</v>
      </c>
      <c r="Q118" s="6" t="b">
        <v>0</v>
      </c>
      <c r="R118" s="6" t="b">
        <v>0</v>
      </c>
      <c r="S118" s="6" t="b">
        <v>0</v>
      </c>
      <c r="T118" s="6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0</v>
      </c>
      <c r="AA118" s="6" t="b">
        <v>0</v>
      </c>
      <c r="AB118" s="6" t="b">
        <v>0</v>
      </c>
      <c r="AC118" s="6" t="b">
        <v>0</v>
      </c>
      <c r="AD118" s="6" t="b">
        <v>0</v>
      </c>
      <c r="AE118" s="6" t="b">
        <v>0</v>
      </c>
      <c r="AF118" s="6" t="b">
        <v>0</v>
      </c>
      <c r="AG118" s="6" t="b">
        <v>0</v>
      </c>
      <c r="AH118" s="6" t="b">
        <v>0</v>
      </c>
      <c r="AI118" s="6" t="b">
        <v>0</v>
      </c>
      <c r="AJ118" s="6" t="b">
        <v>0</v>
      </c>
      <c r="AK118" s="6" t="b">
        <v>0</v>
      </c>
      <c r="AL118" s="9" t="str">
        <f t="shared" si="1"/>
        <v>0 dari 31 (0%)</v>
      </c>
    </row>
    <row r="119" ht="22.5" customHeight="1">
      <c r="A119" s="10">
        <v>118.0</v>
      </c>
      <c r="B119" s="11"/>
      <c r="C119" s="140"/>
      <c r="D119" s="138"/>
      <c r="E119" s="138"/>
      <c r="F119" s="13"/>
      <c r="G119" s="6" t="b">
        <v>0</v>
      </c>
      <c r="H119" s="6" t="b">
        <v>0</v>
      </c>
      <c r="I119" s="6" t="b">
        <v>0</v>
      </c>
      <c r="J119" s="6" t="b">
        <v>0</v>
      </c>
      <c r="K119" s="6" t="b">
        <v>0</v>
      </c>
      <c r="L119" s="6" t="b">
        <v>0</v>
      </c>
      <c r="M119" s="6" t="b">
        <v>0</v>
      </c>
      <c r="N119" s="6" t="b">
        <v>0</v>
      </c>
      <c r="O119" s="6" t="b">
        <v>0</v>
      </c>
      <c r="P119" s="6" t="b">
        <v>0</v>
      </c>
      <c r="Q119" s="6" t="b">
        <v>0</v>
      </c>
      <c r="R119" s="6" t="b">
        <v>0</v>
      </c>
      <c r="S119" s="6" t="b">
        <v>0</v>
      </c>
      <c r="T119" s="6" t="b">
        <v>0</v>
      </c>
      <c r="U119" s="6" t="b">
        <v>0</v>
      </c>
      <c r="V119" s="6" t="b">
        <v>0</v>
      </c>
      <c r="W119" s="6" t="b">
        <v>0</v>
      </c>
      <c r="X119" s="6" t="b">
        <v>0</v>
      </c>
      <c r="Y119" s="6" t="b">
        <v>0</v>
      </c>
      <c r="Z119" s="6" t="b">
        <v>0</v>
      </c>
      <c r="AA119" s="6" t="b">
        <v>0</v>
      </c>
      <c r="AB119" s="6" t="b">
        <v>0</v>
      </c>
      <c r="AC119" s="6" t="b">
        <v>0</v>
      </c>
      <c r="AD119" s="6" t="b">
        <v>0</v>
      </c>
      <c r="AE119" s="6" t="b">
        <v>0</v>
      </c>
      <c r="AF119" s="6" t="b">
        <v>0</v>
      </c>
      <c r="AG119" s="6" t="b">
        <v>0</v>
      </c>
      <c r="AH119" s="6" t="b">
        <v>0</v>
      </c>
      <c r="AI119" s="6" t="b">
        <v>0</v>
      </c>
      <c r="AJ119" s="6" t="b">
        <v>0</v>
      </c>
      <c r="AK119" s="6" t="b">
        <v>0</v>
      </c>
      <c r="AL119" s="9" t="str">
        <f t="shared" si="1"/>
        <v>0 dari 31 (0%)</v>
      </c>
    </row>
    <row r="120" ht="22.5" customHeight="1">
      <c r="A120" s="10">
        <v>119.0</v>
      </c>
      <c r="B120" s="11"/>
      <c r="C120" s="140"/>
      <c r="D120" s="138"/>
      <c r="E120" s="138"/>
      <c r="F120" s="13"/>
      <c r="G120" s="6" t="b">
        <v>0</v>
      </c>
      <c r="H120" s="6" t="b">
        <v>0</v>
      </c>
      <c r="I120" s="6" t="b">
        <v>0</v>
      </c>
      <c r="J120" s="6" t="b">
        <v>0</v>
      </c>
      <c r="K120" s="6" t="b">
        <v>0</v>
      </c>
      <c r="L120" s="6" t="b">
        <v>0</v>
      </c>
      <c r="M120" s="6" t="b">
        <v>0</v>
      </c>
      <c r="N120" s="6" t="b">
        <v>0</v>
      </c>
      <c r="O120" s="6" t="b">
        <v>0</v>
      </c>
      <c r="P120" s="6" t="b">
        <v>0</v>
      </c>
      <c r="Q120" s="6" t="b">
        <v>0</v>
      </c>
      <c r="R120" s="6" t="b">
        <v>0</v>
      </c>
      <c r="S120" s="6" t="b">
        <v>0</v>
      </c>
      <c r="T120" s="6" t="b">
        <v>0</v>
      </c>
      <c r="U120" s="6" t="b">
        <v>0</v>
      </c>
      <c r="V120" s="6" t="b">
        <v>0</v>
      </c>
      <c r="W120" s="6" t="b">
        <v>0</v>
      </c>
      <c r="X120" s="6" t="b">
        <v>0</v>
      </c>
      <c r="Y120" s="6" t="b">
        <v>0</v>
      </c>
      <c r="Z120" s="6" t="b">
        <v>0</v>
      </c>
      <c r="AA120" s="6" t="b">
        <v>0</v>
      </c>
      <c r="AB120" s="6" t="b">
        <v>0</v>
      </c>
      <c r="AC120" s="6" t="b">
        <v>0</v>
      </c>
      <c r="AD120" s="6" t="b">
        <v>0</v>
      </c>
      <c r="AE120" s="6" t="b">
        <v>0</v>
      </c>
      <c r="AF120" s="6" t="b">
        <v>0</v>
      </c>
      <c r="AG120" s="6" t="b">
        <v>0</v>
      </c>
      <c r="AH120" s="6" t="b">
        <v>0</v>
      </c>
      <c r="AI120" s="6" t="b">
        <v>0</v>
      </c>
      <c r="AJ120" s="6" t="b">
        <v>0</v>
      </c>
      <c r="AK120" s="6" t="b">
        <v>0</v>
      </c>
      <c r="AL120" s="17" t="str">
        <f t="shared" si="1"/>
        <v>0 dari 31 (0%)</v>
      </c>
    </row>
    <row r="121" ht="22.5" customHeight="1">
      <c r="A121" s="2">
        <v>120.0</v>
      </c>
      <c r="B121" s="11"/>
      <c r="C121" s="140"/>
      <c r="D121" s="138"/>
      <c r="E121" s="138"/>
      <c r="F121" s="13"/>
      <c r="G121" s="6" t="b">
        <v>0</v>
      </c>
      <c r="H121" s="6" t="b">
        <v>0</v>
      </c>
      <c r="I121" s="6" t="b">
        <v>0</v>
      </c>
      <c r="J121" s="6" t="b">
        <v>0</v>
      </c>
      <c r="K121" s="6" t="b">
        <v>0</v>
      </c>
      <c r="L121" s="6" t="b">
        <v>0</v>
      </c>
      <c r="M121" s="6" t="b">
        <v>0</v>
      </c>
      <c r="N121" s="6" t="b">
        <v>0</v>
      </c>
      <c r="O121" s="6" t="b">
        <v>0</v>
      </c>
      <c r="P121" s="6" t="b">
        <v>0</v>
      </c>
      <c r="Q121" s="6" t="b">
        <v>0</v>
      </c>
      <c r="R121" s="6" t="b">
        <v>0</v>
      </c>
      <c r="S121" s="6" t="b">
        <v>0</v>
      </c>
      <c r="T121" s="6" t="b">
        <v>0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0</v>
      </c>
      <c r="AE121" s="6" t="b">
        <v>0</v>
      </c>
      <c r="AF121" s="6" t="b">
        <v>0</v>
      </c>
      <c r="AG121" s="6" t="b">
        <v>0</v>
      </c>
      <c r="AH121" s="6" t="b">
        <v>0</v>
      </c>
      <c r="AI121" s="6" t="b">
        <v>0</v>
      </c>
      <c r="AJ121" s="6" t="b">
        <v>0</v>
      </c>
      <c r="AK121" s="6" t="b">
        <v>0</v>
      </c>
      <c r="AL121" s="9" t="str">
        <f t="shared" si="1"/>
        <v>0 dari 31 (0%)</v>
      </c>
    </row>
    <row r="122" ht="22.5" customHeight="1">
      <c r="A122" s="10">
        <v>121.0</v>
      </c>
      <c r="B122" s="11"/>
      <c r="C122" s="140"/>
      <c r="D122" s="138"/>
      <c r="E122" s="138"/>
      <c r="F122" s="13"/>
      <c r="G122" s="6" t="b">
        <v>0</v>
      </c>
      <c r="H122" s="6" t="b">
        <v>0</v>
      </c>
      <c r="I122" s="6" t="b">
        <v>0</v>
      </c>
      <c r="J122" s="6" t="b">
        <v>0</v>
      </c>
      <c r="K122" s="6" t="b">
        <v>0</v>
      </c>
      <c r="L122" s="6" t="b">
        <v>0</v>
      </c>
      <c r="M122" s="6" t="b">
        <v>0</v>
      </c>
      <c r="N122" s="6" t="b">
        <v>0</v>
      </c>
      <c r="O122" s="6" t="b">
        <v>0</v>
      </c>
      <c r="P122" s="6" t="b">
        <v>0</v>
      </c>
      <c r="Q122" s="6" t="b">
        <v>0</v>
      </c>
      <c r="R122" s="6" t="b">
        <v>0</v>
      </c>
      <c r="S122" s="6" t="b">
        <v>0</v>
      </c>
      <c r="T122" s="6" t="b">
        <v>0</v>
      </c>
      <c r="U122" s="6" t="b">
        <v>0</v>
      </c>
      <c r="V122" s="6" t="b">
        <v>0</v>
      </c>
      <c r="W122" s="6" t="b">
        <v>0</v>
      </c>
      <c r="X122" s="6" t="b">
        <v>0</v>
      </c>
      <c r="Y122" s="6" t="b">
        <v>0</v>
      </c>
      <c r="Z122" s="6" t="b">
        <v>0</v>
      </c>
      <c r="AA122" s="6" t="b">
        <v>0</v>
      </c>
      <c r="AB122" s="6" t="b">
        <v>0</v>
      </c>
      <c r="AC122" s="6" t="b">
        <v>0</v>
      </c>
      <c r="AD122" s="6" t="b">
        <v>0</v>
      </c>
      <c r="AE122" s="6" t="b">
        <v>0</v>
      </c>
      <c r="AF122" s="6" t="b">
        <v>0</v>
      </c>
      <c r="AG122" s="6" t="b">
        <v>0</v>
      </c>
      <c r="AH122" s="6" t="b">
        <v>0</v>
      </c>
      <c r="AI122" s="6" t="b">
        <v>0</v>
      </c>
      <c r="AJ122" s="6" t="b">
        <v>0</v>
      </c>
      <c r="AK122" s="6" t="b">
        <v>0</v>
      </c>
      <c r="AL122" s="9" t="str">
        <f t="shared" si="1"/>
        <v>0 dari 31 (0%)</v>
      </c>
    </row>
    <row r="123" ht="22.5" customHeight="1">
      <c r="A123" s="10">
        <v>122.0</v>
      </c>
      <c r="B123" s="11"/>
      <c r="C123" s="140"/>
      <c r="D123" s="138"/>
      <c r="E123" s="138"/>
      <c r="F123" s="13"/>
      <c r="G123" s="6" t="b">
        <v>0</v>
      </c>
      <c r="H123" s="6" t="b">
        <v>0</v>
      </c>
      <c r="I123" s="6" t="b">
        <v>0</v>
      </c>
      <c r="J123" s="6" t="b">
        <v>0</v>
      </c>
      <c r="K123" s="6" t="b">
        <v>0</v>
      </c>
      <c r="L123" s="6" t="b">
        <v>0</v>
      </c>
      <c r="M123" s="6" t="b">
        <v>0</v>
      </c>
      <c r="N123" s="6" t="b">
        <v>0</v>
      </c>
      <c r="O123" s="6" t="b">
        <v>0</v>
      </c>
      <c r="P123" s="6" t="b">
        <v>0</v>
      </c>
      <c r="Q123" s="6" t="b">
        <v>0</v>
      </c>
      <c r="R123" s="6" t="b">
        <v>0</v>
      </c>
      <c r="S123" s="6" t="b">
        <v>0</v>
      </c>
      <c r="T123" s="6" t="b">
        <v>0</v>
      </c>
      <c r="U123" s="6" t="b">
        <v>0</v>
      </c>
      <c r="V123" s="6" t="b">
        <v>0</v>
      </c>
      <c r="W123" s="6" t="b">
        <v>0</v>
      </c>
      <c r="X123" s="6" t="b">
        <v>0</v>
      </c>
      <c r="Y123" s="6" t="b">
        <v>0</v>
      </c>
      <c r="Z123" s="6" t="b">
        <v>0</v>
      </c>
      <c r="AA123" s="6" t="b">
        <v>0</v>
      </c>
      <c r="AB123" s="6" t="b">
        <v>0</v>
      </c>
      <c r="AC123" s="6" t="b">
        <v>0</v>
      </c>
      <c r="AD123" s="6" t="b">
        <v>0</v>
      </c>
      <c r="AE123" s="6" t="b">
        <v>0</v>
      </c>
      <c r="AF123" s="6" t="b">
        <v>0</v>
      </c>
      <c r="AG123" s="6" t="b">
        <v>0</v>
      </c>
      <c r="AH123" s="6" t="b">
        <v>0</v>
      </c>
      <c r="AI123" s="6" t="b">
        <v>0</v>
      </c>
      <c r="AJ123" s="6" t="b">
        <v>0</v>
      </c>
      <c r="AK123" s="6" t="b">
        <v>0</v>
      </c>
      <c r="AL123" s="17" t="str">
        <f t="shared" si="1"/>
        <v>0 dari 31 (0%)</v>
      </c>
    </row>
    <row r="124" ht="22.5" customHeight="1">
      <c r="A124" s="2">
        <v>123.0</v>
      </c>
      <c r="B124" s="11"/>
      <c r="C124" s="140"/>
      <c r="D124" s="138"/>
      <c r="E124" s="138"/>
      <c r="F124" s="13"/>
      <c r="G124" s="6" t="b">
        <v>0</v>
      </c>
      <c r="H124" s="6" t="b">
        <v>0</v>
      </c>
      <c r="I124" s="6" t="b">
        <v>0</v>
      </c>
      <c r="J124" s="6" t="b">
        <v>0</v>
      </c>
      <c r="K124" s="6" t="b">
        <v>0</v>
      </c>
      <c r="L124" s="6" t="b">
        <v>0</v>
      </c>
      <c r="M124" s="6" t="b">
        <v>0</v>
      </c>
      <c r="N124" s="6" t="b">
        <v>0</v>
      </c>
      <c r="O124" s="6" t="b">
        <v>0</v>
      </c>
      <c r="P124" s="6" t="b">
        <v>0</v>
      </c>
      <c r="Q124" s="6" t="b">
        <v>0</v>
      </c>
      <c r="R124" s="6" t="b">
        <v>0</v>
      </c>
      <c r="S124" s="6" t="b">
        <v>0</v>
      </c>
      <c r="T124" s="6" t="b">
        <v>0</v>
      </c>
      <c r="U124" s="6" t="b">
        <v>0</v>
      </c>
      <c r="V124" s="6" t="b">
        <v>0</v>
      </c>
      <c r="W124" s="6" t="b">
        <v>0</v>
      </c>
      <c r="X124" s="6" t="b">
        <v>0</v>
      </c>
      <c r="Y124" s="6" t="b">
        <v>0</v>
      </c>
      <c r="Z124" s="6" t="b">
        <v>0</v>
      </c>
      <c r="AA124" s="6" t="b">
        <v>0</v>
      </c>
      <c r="AB124" s="6" t="b">
        <v>0</v>
      </c>
      <c r="AC124" s="6" t="b">
        <v>0</v>
      </c>
      <c r="AD124" s="6" t="b">
        <v>0</v>
      </c>
      <c r="AE124" s="6" t="b">
        <v>0</v>
      </c>
      <c r="AF124" s="6" t="b">
        <v>0</v>
      </c>
      <c r="AG124" s="6" t="b">
        <v>0</v>
      </c>
      <c r="AH124" s="6" t="b">
        <v>0</v>
      </c>
      <c r="AI124" s="6" t="b">
        <v>0</v>
      </c>
      <c r="AJ124" s="6" t="b">
        <v>0</v>
      </c>
      <c r="AK124" s="6" t="b">
        <v>0</v>
      </c>
      <c r="AL124" s="9" t="str">
        <f t="shared" si="1"/>
        <v>0 dari 31 (0%)</v>
      </c>
    </row>
    <row r="125" ht="22.5" customHeight="1">
      <c r="A125" s="10">
        <v>124.0</v>
      </c>
      <c r="B125" s="11"/>
      <c r="C125" s="140"/>
      <c r="D125" s="138"/>
      <c r="E125" s="138"/>
      <c r="F125" s="13"/>
      <c r="G125" s="6" t="b">
        <v>0</v>
      </c>
      <c r="H125" s="6" t="b">
        <v>0</v>
      </c>
      <c r="I125" s="6" t="b">
        <v>0</v>
      </c>
      <c r="J125" s="6" t="b">
        <v>0</v>
      </c>
      <c r="K125" s="6" t="b">
        <v>0</v>
      </c>
      <c r="L125" s="6" t="b">
        <v>0</v>
      </c>
      <c r="M125" s="6" t="b">
        <v>0</v>
      </c>
      <c r="N125" s="6" t="b">
        <v>0</v>
      </c>
      <c r="O125" s="6" t="b">
        <v>0</v>
      </c>
      <c r="P125" s="6" t="b">
        <v>0</v>
      </c>
      <c r="Q125" s="6" t="b">
        <v>0</v>
      </c>
      <c r="R125" s="6" t="b">
        <v>0</v>
      </c>
      <c r="S125" s="6" t="b">
        <v>0</v>
      </c>
      <c r="T125" s="6" t="b">
        <v>0</v>
      </c>
      <c r="U125" s="6" t="b">
        <v>0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0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0</v>
      </c>
      <c r="AG125" s="6" t="b">
        <v>0</v>
      </c>
      <c r="AH125" s="6" t="b">
        <v>0</v>
      </c>
      <c r="AI125" s="6" t="b">
        <v>0</v>
      </c>
      <c r="AJ125" s="6" t="b">
        <v>0</v>
      </c>
      <c r="AK125" s="6" t="b">
        <v>0</v>
      </c>
      <c r="AL125" s="9" t="str">
        <f t="shared" si="1"/>
        <v>0 dari 31 (0%)</v>
      </c>
    </row>
    <row r="126" ht="22.5" customHeight="1">
      <c r="A126" s="10">
        <v>125.0</v>
      </c>
      <c r="B126" s="11"/>
      <c r="C126" s="140"/>
      <c r="D126" s="138"/>
      <c r="E126" s="138"/>
      <c r="F126" s="13"/>
      <c r="G126" s="6" t="b">
        <v>0</v>
      </c>
      <c r="H126" s="6" t="b">
        <v>0</v>
      </c>
      <c r="I126" s="6" t="b">
        <v>0</v>
      </c>
      <c r="J126" s="6" t="b">
        <v>0</v>
      </c>
      <c r="K126" s="6" t="b">
        <v>0</v>
      </c>
      <c r="L126" s="6" t="b">
        <v>0</v>
      </c>
      <c r="M126" s="6" t="b">
        <v>0</v>
      </c>
      <c r="N126" s="6" t="b">
        <v>0</v>
      </c>
      <c r="O126" s="6" t="b">
        <v>0</v>
      </c>
      <c r="P126" s="6" t="b">
        <v>0</v>
      </c>
      <c r="Q126" s="6" t="b">
        <v>0</v>
      </c>
      <c r="R126" s="6" t="b">
        <v>0</v>
      </c>
      <c r="S126" s="6" t="b">
        <v>0</v>
      </c>
      <c r="T126" s="6" t="b">
        <v>0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0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0</v>
      </c>
      <c r="AF126" s="6" t="b">
        <v>0</v>
      </c>
      <c r="AG126" s="6" t="b">
        <v>0</v>
      </c>
      <c r="AH126" s="6" t="b">
        <v>0</v>
      </c>
      <c r="AI126" s="6" t="b">
        <v>0</v>
      </c>
      <c r="AJ126" s="6" t="b">
        <v>0</v>
      </c>
      <c r="AK126" s="6" t="b">
        <v>0</v>
      </c>
      <c r="AL126" s="17" t="str">
        <f t="shared" si="1"/>
        <v>0 dari 31 (0%)</v>
      </c>
    </row>
    <row r="127" ht="22.5" customHeight="1">
      <c r="A127" s="2">
        <v>126.0</v>
      </c>
      <c r="B127" s="11"/>
      <c r="C127" s="140"/>
      <c r="D127" s="138"/>
      <c r="E127" s="138"/>
      <c r="F127" s="13"/>
      <c r="G127" s="6" t="b">
        <v>0</v>
      </c>
      <c r="H127" s="6" t="b">
        <v>0</v>
      </c>
      <c r="I127" s="6" t="b">
        <v>0</v>
      </c>
      <c r="J127" s="6" t="b">
        <v>0</v>
      </c>
      <c r="K127" s="6" t="b">
        <v>0</v>
      </c>
      <c r="L127" s="6" t="b">
        <v>0</v>
      </c>
      <c r="M127" s="6" t="b">
        <v>0</v>
      </c>
      <c r="N127" s="6" t="b">
        <v>0</v>
      </c>
      <c r="O127" s="6" t="b">
        <v>0</v>
      </c>
      <c r="P127" s="6" t="b">
        <v>0</v>
      </c>
      <c r="Q127" s="6" t="b">
        <v>0</v>
      </c>
      <c r="R127" s="6" t="b">
        <v>0</v>
      </c>
      <c r="S127" s="6" t="b">
        <v>0</v>
      </c>
      <c r="T127" s="6" t="b">
        <v>0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0</v>
      </c>
      <c r="AA127" s="6" t="b">
        <v>0</v>
      </c>
      <c r="AB127" s="6" t="b">
        <v>0</v>
      </c>
      <c r="AC127" s="6" t="b">
        <v>0</v>
      </c>
      <c r="AD127" s="6" t="b">
        <v>0</v>
      </c>
      <c r="AE127" s="6" t="b">
        <v>0</v>
      </c>
      <c r="AF127" s="6" t="b">
        <v>0</v>
      </c>
      <c r="AG127" s="6" t="b">
        <v>0</v>
      </c>
      <c r="AH127" s="6" t="b">
        <v>0</v>
      </c>
      <c r="AI127" s="6" t="b">
        <v>0</v>
      </c>
      <c r="AJ127" s="6" t="b">
        <v>0</v>
      </c>
      <c r="AK127" s="6" t="b">
        <v>0</v>
      </c>
      <c r="AL127" s="9" t="str">
        <f t="shared" si="1"/>
        <v>0 dari 31 (0%)</v>
      </c>
    </row>
    <row r="128" ht="22.5" customHeight="1">
      <c r="A128" s="10">
        <v>127.0</v>
      </c>
      <c r="B128" s="11"/>
      <c r="C128" s="147"/>
      <c r="D128" s="148"/>
      <c r="E128" s="148"/>
      <c r="F128" s="57"/>
      <c r="G128" s="6" t="b">
        <v>0</v>
      </c>
      <c r="H128" s="6" t="b">
        <v>0</v>
      </c>
      <c r="I128" s="6" t="b">
        <v>0</v>
      </c>
      <c r="J128" s="6" t="b">
        <v>0</v>
      </c>
      <c r="K128" s="6" t="b">
        <v>0</v>
      </c>
      <c r="L128" s="6" t="b">
        <v>0</v>
      </c>
      <c r="M128" s="6" t="b">
        <v>0</v>
      </c>
      <c r="N128" s="6" t="b">
        <v>0</v>
      </c>
      <c r="O128" s="6" t="b">
        <v>0</v>
      </c>
      <c r="P128" s="6" t="b">
        <v>0</v>
      </c>
      <c r="Q128" s="6" t="b">
        <v>0</v>
      </c>
      <c r="R128" s="6" t="b">
        <v>0</v>
      </c>
      <c r="S128" s="6" t="b">
        <v>0</v>
      </c>
      <c r="T128" s="6" t="b">
        <v>0</v>
      </c>
      <c r="U128" s="6" t="b">
        <v>0</v>
      </c>
      <c r="V128" s="6" t="b">
        <v>0</v>
      </c>
      <c r="W128" s="6" t="b">
        <v>0</v>
      </c>
      <c r="X128" s="6" t="b">
        <v>0</v>
      </c>
      <c r="Y128" s="6" t="b">
        <v>0</v>
      </c>
      <c r="Z128" s="6" t="b">
        <v>0</v>
      </c>
      <c r="AA128" s="6" t="b">
        <v>0</v>
      </c>
      <c r="AB128" s="6" t="b">
        <v>0</v>
      </c>
      <c r="AC128" s="6" t="b">
        <v>0</v>
      </c>
      <c r="AD128" s="6" t="b">
        <v>0</v>
      </c>
      <c r="AE128" s="6" t="b">
        <v>0</v>
      </c>
      <c r="AF128" s="6" t="b">
        <v>0</v>
      </c>
      <c r="AG128" s="6" t="b">
        <v>0</v>
      </c>
      <c r="AH128" s="6" t="b">
        <v>0</v>
      </c>
      <c r="AI128" s="6" t="b">
        <v>0</v>
      </c>
      <c r="AJ128" s="6" t="b">
        <v>0</v>
      </c>
      <c r="AK128" s="6" t="b">
        <v>0</v>
      </c>
      <c r="AL128" s="9" t="str">
        <f t="shared" si="1"/>
        <v>0 dari 31 (0%)</v>
      </c>
    </row>
    <row r="129" ht="22.5" customHeight="1">
      <c r="A129" s="10">
        <v>128.0</v>
      </c>
      <c r="B129" s="11"/>
      <c r="C129" s="140"/>
      <c r="D129" s="138"/>
      <c r="E129" s="138"/>
      <c r="F129" s="13"/>
      <c r="G129" s="6" t="b">
        <v>0</v>
      </c>
      <c r="H129" s="6" t="b">
        <v>0</v>
      </c>
      <c r="I129" s="6" t="b">
        <v>0</v>
      </c>
      <c r="J129" s="6" t="b">
        <v>0</v>
      </c>
      <c r="K129" s="6" t="b">
        <v>0</v>
      </c>
      <c r="L129" s="6" t="b">
        <v>0</v>
      </c>
      <c r="M129" s="6" t="b">
        <v>0</v>
      </c>
      <c r="N129" s="6" t="b">
        <v>0</v>
      </c>
      <c r="O129" s="6" t="b">
        <v>0</v>
      </c>
      <c r="P129" s="6" t="b">
        <v>0</v>
      </c>
      <c r="Q129" s="6" t="b">
        <v>0</v>
      </c>
      <c r="R129" s="6" t="b">
        <v>0</v>
      </c>
      <c r="S129" s="6" t="b">
        <v>0</v>
      </c>
      <c r="T129" s="6" t="b">
        <v>0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0</v>
      </c>
      <c r="AA129" s="6" t="b">
        <v>0</v>
      </c>
      <c r="AB129" s="6" t="b">
        <v>0</v>
      </c>
      <c r="AC129" s="6" t="b">
        <v>0</v>
      </c>
      <c r="AD129" s="6" t="b">
        <v>0</v>
      </c>
      <c r="AE129" s="6" t="b">
        <v>0</v>
      </c>
      <c r="AF129" s="6" t="b">
        <v>0</v>
      </c>
      <c r="AG129" s="6" t="b">
        <v>0</v>
      </c>
      <c r="AH129" s="6" t="b">
        <v>0</v>
      </c>
      <c r="AI129" s="6" t="b">
        <v>0</v>
      </c>
      <c r="AJ129" s="6" t="b">
        <v>0</v>
      </c>
      <c r="AK129" s="6" t="b">
        <v>0</v>
      </c>
      <c r="AL129" s="17" t="str">
        <f t="shared" si="1"/>
        <v>0 dari 31 (0%)</v>
      </c>
    </row>
    <row r="130" ht="22.5" customHeight="1">
      <c r="A130" s="2">
        <v>129.0</v>
      </c>
      <c r="B130" s="11"/>
      <c r="C130" s="140"/>
      <c r="D130" s="138"/>
      <c r="E130" s="138"/>
      <c r="F130" s="13"/>
      <c r="G130" s="6" t="b">
        <v>0</v>
      </c>
      <c r="H130" s="6" t="b">
        <v>0</v>
      </c>
      <c r="I130" s="6" t="b">
        <v>0</v>
      </c>
      <c r="J130" s="6" t="b">
        <v>0</v>
      </c>
      <c r="K130" s="6" t="b">
        <v>0</v>
      </c>
      <c r="L130" s="6" t="b">
        <v>0</v>
      </c>
      <c r="M130" s="6" t="b">
        <v>0</v>
      </c>
      <c r="N130" s="6" t="b">
        <v>0</v>
      </c>
      <c r="O130" s="6" t="b">
        <v>0</v>
      </c>
      <c r="P130" s="6" t="b">
        <v>0</v>
      </c>
      <c r="Q130" s="6" t="b">
        <v>0</v>
      </c>
      <c r="R130" s="6" t="b">
        <v>0</v>
      </c>
      <c r="S130" s="6" t="b">
        <v>0</v>
      </c>
      <c r="T130" s="6" t="b">
        <v>0</v>
      </c>
      <c r="U130" s="6" t="b">
        <v>0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0</v>
      </c>
      <c r="AD130" s="6" t="b">
        <v>0</v>
      </c>
      <c r="AE130" s="6" t="b">
        <v>0</v>
      </c>
      <c r="AF130" s="6" t="b">
        <v>0</v>
      </c>
      <c r="AG130" s="6" t="b">
        <v>0</v>
      </c>
      <c r="AH130" s="6" t="b">
        <v>0</v>
      </c>
      <c r="AI130" s="6" t="b">
        <v>0</v>
      </c>
      <c r="AJ130" s="6" t="b">
        <v>0</v>
      </c>
      <c r="AK130" s="6" t="b">
        <v>0</v>
      </c>
      <c r="AL130" s="9" t="str">
        <f t="shared" si="1"/>
        <v>0 dari 31 (0%)</v>
      </c>
    </row>
    <row r="131" ht="22.5" customHeight="1">
      <c r="A131" s="10">
        <v>130.0</v>
      </c>
      <c r="B131" s="11"/>
      <c r="C131" s="140"/>
      <c r="D131" s="138"/>
      <c r="E131" s="138"/>
      <c r="F131" s="13"/>
      <c r="G131" s="6" t="b">
        <v>0</v>
      </c>
      <c r="H131" s="6" t="b">
        <v>0</v>
      </c>
      <c r="I131" s="6" t="b">
        <v>0</v>
      </c>
      <c r="J131" s="6" t="b">
        <v>0</v>
      </c>
      <c r="K131" s="6" t="b">
        <v>0</v>
      </c>
      <c r="L131" s="6" t="b">
        <v>0</v>
      </c>
      <c r="M131" s="6" t="b">
        <v>0</v>
      </c>
      <c r="N131" s="6" t="b">
        <v>0</v>
      </c>
      <c r="O131" s="6" t="b">
        <v>0</v>
      </c>
      <c r="P131" s="6" t="b">
        <v>0</v>
      </c>
      <c r="Q131" s="6" t="b">
        <v>0</v>
      </c>
      <c r="R131" s="6" t="b">
        <v>0</v>
      </c>
      <c r="S131" s="6" t="b">
        <v>0</v>
      </c>
      <c r="T131" s="6" t="b">
        <v>0</v>
      </c>
      <c r="U131" s="6" t="b">
        <v>0</v>
      </c>
      <c r="V131" s="6" t="b">
        <v>0</v>
      </c>
      <c r="W131" s="6" t="b">
        <v>0</v>
      </c>
      <c r="X131" s="6" t="b">
        <v>0</v>
      </c>
      <c r="Y131" s="6" t="b">
        <v>0</v>
      </c>
      <c r="Z131" s="6" t="b">
        <v>0</v>
      </c>
      <c r="AA131" s="6" t="b">
        <v>0</v>
      </c>
      <c r="AB131" s="6" t="b">
        <v>0</v>
      </c>
      <c r="AC131" s="6" t="b">
        <v>0</v>
      </c>
      <c r="AD131" s="6" t="b">
        <v>0</v>
      </c>
      <c r="AE131" s="6" t="b">
        <v>0</v>
      </c>
      <c r="AF131" s="6" t="b">
        <v>0</v>
      </c>
      <c r="AG131" s="6" t="b">
        <v>0</v>
      </c>
      <c r="AH131" s="6" t="b">
        <v>0</v>
      </c>
      <c r="AI131" s="6" t="b">
        <v>0</v>
      </c>
      <c r="AJ131" s="6" t="b">
        <v>0</v>
      </c>
      <c r="AK131" s="6" t="b">
        <v>0</v>
      </c>
      <c r="AL131" s="9" t="str">
        <f t="shared" si="1"/>
        <v>0 dari 31 (0%)</v>
      </c>
    </row>
    <row r="132" ht="22.5" customHeight="1">
      <c r="A132" s="10">
        <v>131.0</v>
      </c>
      <c r="B132" s="11"/>
      <c r="C132" s="140"/>
      <c r="D132" s="138"/>
      <c r="E132" s="138"/>
      <c r="F132" s="13"/>
      <c r="G132" s="6" t="b">
        <v>0</v>
      </c>
      <c r="H132" s="6" t="b">
        <v>0</v>
      </c>
      <c r="I132" s="6" t="b">
        <v>0</v>
      </c>
      <c r="J132" s="6" t="b">
        <v>0</v>
      </c>
      <c r="K132" s="6" t="b">
        <v>0</v>
      </c>
      <c r="L132" s="6" t="b">
        <v>0</v>
      </c>
      <c r="M132" s="6" t="b">
        <v>0</v>
      </c>
      <c r="N132" s="6" t="b">
        <v>0</v>
      </c>
      <c r="O132" s="6" t="b">
        <v>0</v>
      </c>
      <c r="P132" s="6" t="b">
        <v>0</v>
      </c>
      <c r="Q132" s="6" t="b">
        <v>0</v>
      </c>
      <c r="R132" s="6" t="b">
        <v>0</v>
      </c>
      <c r="S132" s="6" t="b">
        <v>0</v>
      </c>
      <c r="T132" s="6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0</v>
      </c>
      <c r="AA132" s="6" t="b">
        <v>0</v>
      </c>
      <c r="AB132" s="6" t="b">
        <v>0</v>
      </c>
      <c r="AC132" s="6" t="b">
        <v>0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17" t="str">
        <f t="shared" si="1"/>
        <v>0 dari 31 (0%)</v>
      </c>
    </row>
    <row r="133" ht="22.5" customHeight="1">
      <c r="A133" s="2">
        <v>132.0</v>
      </c>
      <c r="B133" s="11"/>
      <c r="C133" s="140"/>
      <c r="D133" s="138"/>
      <c r="E133" s="138"/>
      <c r="F133" s="13"/>
      <c r="G133" s="6" t="b">
        <v>0</v>
      </c>
      <c r="H133" s="6" t="b">
        <v>0</v>
      </c>
      <c r="I133" s="6" t="b">
        <v>0</v>
      </c>
      <c r="J133" s="6" t="b">
        <v>0</v>
      </c>
      <c r="K133" s="6" t="b">
        <v>0</v>
      </c>
      <c r="L133" s="6" t="b">
        <v>0</v>
      </c>
      <c r="M133" s="6" t="b">
        <v>0</v>
      </c>
      <c r="N133" s="6" t="b">
        <v>0</v>
      </c>
      <c r="O133" s="6" t="b">
        <v>0</v>
      </c>
      <c r="P133" s="6" t="b">
        <v>0</v>
      </c>
      <c r="Q133" s="6" t="b">
        <v>0</v>
      </c>
      <c r="R133" s="6" t="b">
        <v>0</v>
      </c>
      <c r="S133" s="6" t="b">
        <v>0</v>
      </c>
      <c r="T133" s="6" t="b">
        <v>0</v>
      </c>
      <c r="U133" s="6" t="b">
        <v>0</v>
      </c>
      <c r="V133" s="6" t="b">
        <v>0</v>
      </c>
      <c r="W133" s="6" t="b">
        <v>0</v>
      </c>
      <c r="X133" s="6" t="b">
        <v>0</v>
      </c>
      <c r="Y133" s="6" t="b">
        <v>0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0</v>
      </c>
      <c r="AE133" s="6" t="b">
        <v>0</v>
      </c>
      <c r="AF133" s="6" t="b">
        <v>0</v>
      </c>
      <c r="AG133" s="6" t="b">
        <v>0</v>
      </c>
      <c r="AH133" s="6" t="b">
        <v>0</v>
      </c>
      <c r="AI133" s="6" t="b">
        <v>0</v>
      </c>
      <c r="AJ133" s="6" t="b">
        <v>0</v>
      </c>
      <c r="AK133" s="6" t="b">
        <v>0</v>
      </c>
      <c r="AL133" s="9" t="str">
        <f t="shared" si="1"/>
        <v>0 dari 31 (0%)</v>
      </c>
    </row>
    <row r="134" ht="22.5" customHeight="1">
      <c r="A134" s="10">
        <v>133.0</v>
      </c>
      <c r="B134" s="11"/>
      <c r="C134" s="140"/>
      <c r="D134" s="138"/>
      <c r="E134" s="138"/>
      <c r="F134" s="13"/>
      <c r="G134" s="6" t="b">
        <v>0</v>
      </c>
      <c r="H134" s="6" t="b">
        <v>0</v>
      </c>
      <c r="I134" s="6" t="b">
        <v>0</v>
      </c>
      <c r="J134" s="6" t="b">
        <v>0</v>
      </c>
      <c r="K134" s="6" t="b">
        <v>0</v>
      </c>
      <c r="L134" s="6" t="b">
        <v>0</v>
      </c>
      <c r="M134" s="6" t="b">
        <v>0</v>
      </c>
      <c r="N134" s="6" t="b">
        <v>0</v>
      </c>
      <c r="O134" s="6" t="b">
        <v>0</v>
      </c>
      <c r="P134" s="6" t="b">
        <v>0</v>
      </c>
      <c r="Q134" s="6" t="b">
        <v>0</v>
      </c>
      <c r="R134" s="6" t="b">
        <v>0</v>
      </c>
      <c r="S134" s="6" t="b">
        <v>0</v>
      </c>
      <c r="T134" s="6" t="b">
        <v>0</v>
      </c>
      <c r="U134" s="6" t="b">
        <v>0</v>
      </c>
      <c r="V134" s="6" t="b">
        <v>0</v>
      </c>
      <c r="W134" s="6" t="b">
        <v>0</v>
      </c>
      <c r="X134" s="6" t="b">
        <v>0</v>
      </c>
      <c r="Y134" s="6" t="b">
        <v>0</v>
      </c>
      <c r="Z134" s="6" t="b">
        <v>0</v>
      </c>
      <c r="AA134" s="6" t="b">
        <v>0</v>
      </c>
      <c r="AB134" s="6" t="b">
        <v>0</v>
      </c>
      <c r="AC134" s="6" t="b">
        <v>0</v>
      </c>
      <c r="AD134" s="6" t="b">
        <v>0</v>
      </c>
      <c r="AE134" s="6" t="b">
        <v>0</v>
      </c>
      <c r="AF134" s="6" t="b">
        <v>0</v>
      </c>
      <c r="AG134" s="6" t="b">
        <v>0</v>
      </c>
      <c r="AH134" s="6" t="b">
        <v>0</v>
      </c>
      <c r="AI134" s="6" t="b">
        <v>0</v>
      </c>
      <c r="AJ134" s="6" t="b">
        <v>0</v>
      </c>
      <c r="AK134" s="6" t="b">
        <v>0</v>
      </c>
      <c r="AL134" s="9" t="str">
        <f t="shared" si="1"/>
        <v>0 dari 31 (0%)</v>
      </c>
    </row>
    <row r="135" ht="22.5" customHeight="1">
      <c r="A135" s="10">
        <v>134.0</v>
      </c>
      <c r="B135" s="11"/>
      <c r="C135" s="140"/>
      <c r="D135" s="138"/>
      <c r="E135" s="138"/>
      <c r="F135" s="13"/>
      <c r="G135" s="6" t="b">
        <v>0</v>
      </c>
      <c r="H135" s="6" t="b">
        <v>0</v>
      </c>
      <c r="I135" s="6" t="b">
        <v>0</v>
      </c>
      <c r="J135" s="6" t="b">
        <v>0</v>
      </c>
      <c r="K135" s="6" t="b">
        <v>0</v>
      </c>
      <c r="L135" s="6" t="b">
        <v>0</v>
      </c>
      <c r="M135" s="6" t="b">
        <v>0</v>
      </c>
      <c r="N135" s="6" t="b">
        <v>0</v>
      </c>
      <c r="O135" s="6" t="b">
        <v>0</v>
      </c>
      <c r="P135" s="6" t="b">
        <v>0</v>
      </c>
      <c r="Q135" s="6" t="b">
        <v>0</v>
      </c>
      <c r="R135" s="6" t="b">
        <v>0</v>
      </c>
      <c r="S135" s="6" t="b">
        <v>0</v>
      </c>
      <c r="T135" s="6" t="b">
        <v>0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0</v>
      </c>
      <c r="AB135" s="6" t="b">
        <v>0</v>
      </c>
      <c r="AC135" s="6" t="b">
        <v>0</v>
      </c>
      <c r="AD135" s="6" t="b">
        <v>0</v>
      </c>
      <c r="AE135" s="6" t="b">
        <v>0</v>
      </c>
      <c r="AF135" s="6" t="b">
        <v>0</v>
      </c>
      <c r="AG135" s="6" t="b">
        <v>0</v>
      </c>
      <c r="AH135" s="6" t="b">
        <v>0</v>
      </c>
      <c r="AI135" s="6" t="b">
        <v>0</v>
      </c>
      <c r="AJ135" s="6" t="b">
        <v>0</v>
      </c>
      <c r="AK135" s="6" t="b">
        <v>0</v>
      </c>
      <c r="AL135" s="17" t="str">
        <f t="shared" si="1"/>
        <v>0 dari 31 (0%)</v>
      </c>
    </row>
    <row r="136" ht="22.5" customHeight="1">
      <c r="A136" s="2">
        <v>135.0</v>
      </c>
      <c r="B136" s="11"/>
      <c r="C136" s="140"/>
      <c r="D136" s="138"/>
      <c r="E136" s="138"/>
      <c r="F136" s="13"/>
      <c r="G136" s="6" t="b">
        <v>0</v>
      </c>
      <c r="H136" s="6" t="b">
        <v>0</v>
      </c>
      <c r="I136" s="6" t="b">
        <v>0</v>
      </c>
      <c r="J136" s="6" t="b">
        <v>0</v>
      </c>
      <c r="K136" s="6" t="b">
        <v>0</v>
      </c>
      <c r="L136" s="6" t="b">
        <v>0</v>
      </c>
      <c r="M136" s="6" t="b">
        <v>0</v>
      </c>
      <c r="N136" s="6" t="b">
        <v>0</v>
      </c>
      <c r="O136" s="6" t="b">
        <v>0</v>
      </c>
      <c r="P136" s="6" t="b">
        <v>0</v>
      </c>
      <c r="Q136" s="6" t="b">
        <v>0</v>
      </c>
      <c r="R136" s="6" t="b">
        <v>0</v>
      </c>
      <c r="S136" s="6" t="b">
        <v>0</v>
      </c>
      <c r="T136" s="6" t="b">
        <v>0</v>
      </c>
      <c r="U136" s="6" t="b">
        <v>0</v>
      </c>
      <c r="V136" s="6" t="b">
        <v>0</v>
      </c>
      <c r="W136" s="6" t="b">
        <v>0</v>
      </c>
      <c r="X136" s="6" t="b">
        <v>0</v>
      </c>
      <c r="Y136" s="6" t="b">
        <v>0</v>
      </c>
      <c r="Z136" s="6" t="b">
        <v>0</v>
      </c>
      <c r="AA136" s="6" t="b">
        <v>0</v>
      </c>
      <c r="AB136" s="6" t="b">
        <v>0</v>
      </c>
      <c r="AC136" s="6" t="b">
        <v>0</v>
      </c>
      <c r="AD136" s="6" t="b">
        <v>0</v>
      </c>
      <c r="AE136" s="6" t="b">
        <v>0</v>
      </c>
      <c r="AF136" s="6" t="b">
        <v>0</v>
      </c>
      <c r="AG136" s="6" t="b">
        <v>0</v>
      </c>
      <c r="AH136" s="6" t="b">
        <v>0</v>
      </c>
      <c r="AI136" s="6" t="b">
        <v>0</v>
      </c>
      <c r="AJ136" s="6" t="b">
        <v>0</v>
      </c>
      <c r="AK136" s="6" t="b">
        <v>0</v>
      </c>
      <c r="AL136" s="9" t="str">
        <f t="shared" si="1"/>
        <v>0 dari 31 (0%)</v>
      </c>
    </row>
    <row r="137" ht="22.5" customHeight="1">
      <c r="A137" s="10">
        <v>136.0</v>
      </c>
      <c r="B137" s="11"/>
      <c r="C137" s="140"/>
      <c r="D137" s="138"/>
      <c r="E137" s="138"/>
      <c r="F137" s="13"/>
      <c r="G137" s="6" t="b">
        <v>0</v>
      </c>
      <c r="H137" s="6" t="b">
        <v>0</v>
      </c>
      <c r="I137" s="6" t="b">
        <v>0</v>
      </c>
      <c r="J137" s="6" t="b">
        <v>0</v>
      </c>
      <c r="K137" s="6" t="b">
        <v>0</v>
      </c>
      <c r="L137" s="6" t="b">
        <v>0</v>
      </c>
      <c r="M137" s="6" t="b">
        <v>0</v>
      </c>
      <c r="N137" s="6" t="b">
        <v>0</v>
      </c>
      <c r="O137" s="6" t="b">
        <v>0</v>
      </c>
      <c r="P137" s="6" t="b">
        <v>0</v>
      </c>
      <c r="Q137" s="6" t="b">
        <v>0</v>
      </c>
      <c r="R137" s="6" t="b">
        <v>0</v>
      </c>
      <c r="S137" s="6" t="b">
        <v>0</v>
      </c>
      <c r="T137" s="6" t="b">
        <v>0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0</v>
      </c>
      <c r="AD137" s="6" t="b">
        <v>0</v>
      </c>
      <c r="AE137" s="6" t="b">
        <v>0</v>
      </c>
      <c r="AF137" s="6" t="b">
        <v>0</v>
      </c>
      <c r="AG137" s="6" t="b">
        <v>0</v>
      </c>
      <c r="AH137" s="6" t="b">
        <v>0</v>
      </c>
      <c r="AI137" s="6" t="b">
        <v>0</v>
      </c>
      <c r="AJ137" s="6" t="b">
        <v>0</v>
      </c>
      <c r="AK137" s="6" t="b">
        <v>0</v>
      </c>
      <c r="AL137" s="9" t="str">
        <f t="shared" si="1"/>
        <v>0 dari 31 (0%)</v>
      </c>
    </row>
    <row r="138" ht="22.5" customHeight="1">
      <c r="A138" s="10">
        <v>137.0</v>
      </c>
      <c r="B138" s="11"/>
      <c r="C138" s="140"/>
      <c r="D138" s="138"/>
      <c r="E138" s="138"/>
      <c r="F138" s="13"/>
      <c r="G138" s="6" t="b">
        <v>0</v>
      </c>
      <c r="H138" s="6" t="b">
        <v>0</v>
      </c>
      <c r="I138" s="6" t="b">
        <v>0</v>
      </c>
      <c r="J138" s="6" t="b">
        <v>0</v>
      </c>
      <c r="K138" s="6" t="b">
        <v>0</v>
      </c>
      <c r="L138" s="6" t="b">
        <v>0</v>
      </c>
      <c r="M138" s="6" t="b">
        <v>0</v>
      </c>
      <c r="N138" s="6" t="b">
        <v>0</v>
      </c>
      <c r="O138" s="6" t="b">
        <v>0</v>
      </c>
      <c r="P138" s="6" t="b">
        <v>0</v>
      </c>
      <c r="Q138" s="6" t="b">
        <v>0</v>
      </c>
      <c r="R138" s="6" t="b">
        <v>0</v>
      </c>
      <c r="S138" s="6" t="b">
        <v>0</v>
      </c>
      <c r="T138" s="6" t="b">
        <v>0</v>
      </c>
      <c r="U138" s="6" t="b">
        <v>0</v>
      </c>
      <c r="V138" s="6" t="b">
        <v>0</v>
      </c>
      <c r="W138" s="6" t="b">
        <v>0</v>
      </c>
      <c r="X138" s="6" t="b">
        <v>0</v>
      </c>
      <c r="Y138" s="6" t="b">
        <v>0</v>
      </c>
      <c r="Z138" s="6" t="b">
        <v>0</v>
      </c>
      <c r="AA138" s="6" t="b">
        <v>0</v>
      </c>
      <c r="AB138" s="6" t="b">
        <v>0</v>
      </c>
      <c r="AC138" s="6" t="b">
        <v>0</v>
      </c>
      <c r="AD138" s="6" t="b">
        <v>0</v>
      </c>
      <c r="AE138" s="6" t="b">
        <v>0</v>
      </c>
      <c r="AF138" s="6" t="b">
        <v>0</v>
      </c>
      <c r="AG138" s="6" t="b">
        <v>0</v>
      </c>
      <c r="AH138" s="6" t="b">
        <v>0</v>
      </c>
      <c r="AI138" s="6" t="b">
        <v>0</v>
      </c>
      <c r="AJ138" s="6" t="b">
        <v>0</v>
      </c>
      <c r="AK138" s="6" t="b">
        <v>0</v>
      </c>
      <c r="AL138" s="17" t="str">
        <f t="shared" si="1"/>
        <v>0 dari 31 (0%)</v>
      </c>
    </row>
    <row r="139" ht="22.5" customHeight="1">
      <c r="A139" s="2">
        <v>138.0</v>
      </c>
      <c r="B139" s="11"/>
      <c r="C139" s="140"/>
      <c r="D139" s="138"/>
      <c r="E139" s="138"/>
      <c r="F139" s="13"/>
      <c r="G139" s="6" t="b">
        <v>0</v>
      </c>
      <c r="H139" s="6" t="b">
        <v>0</v>
      </c>
      <c r="I139" s="6" t="b">
        <v>0</v>
      </c>
      <c r="J139" s="6" t="b">
        <v>0</v>
      </c>
      <c r="K139" s="6" t="b">
        <v>0</v>
      </c>
      <c r="L139" s="6" t="b">
        <v>0</v>
      </c>
      <c r="M139" s="6" t="b">
        <v>0</v>
      </c>
      <c r="N139" s="6" t="b">
        <v>0</v>
      </c>
      <c r="O139" s="6" t="b">
        <v>0</v>
      </c>
      <c r="P139" s="6" t="b">
        <v>0</v>
      </c>
      <c r="Q139" s="6" t="b">
        <v>0</v>
      </c>
      <c r="R139" s="6" t="b">
        <v>0</v>
      </c>
      <c r="S139" s="6" t="b">
        <v>0</v>
      </c>
      <c r="T139" s="6" t="b">
        <v>0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0</v>
      </c>
      <c r="AE139" s="6" t="b">
        <v>0</v>
      </c>
      <c r="AF139" s="6" t="b">
        <v>0</v>
      </c>
      <c r="AG139" s="6" t="b">
        <v>0</v>
      </c>
      <c r="AH139" s="6" t="b">
        <v>0</v>
      </c>
      <c r="AI139" s="6" t="b">
        <v>0</v>
      </c>
      <c r="AJ139" s="6" t="b">
        <v>0</v>
      </c>
      <c r="AK139" s="6" t="b">
        <v>0</v>
      </c>
      <c r="AL139" s="9" t="str">
        <f t="shared" si="1"/>
        <v>0 dari 31 (0%)</v>
      </c>
    </row>
    <row r="140" ht="22.5" customHeight="1">
      <c r="A140" s="10">
        <v>139.0</v>
      </c>
      <c r="B140" s="11"/>
      <c r="C140" s="140"/>
      <c r="D140" s="138"/>
      <c r="E140" s="138"/>
      <c r="F140" s="13"/>
      <c r="G140" s="6" t="b">
        <v>0</v>
      </c>
      <c r="H140" s="6" t="b">
        <v>0</v>
      </c>
      <c r="I140" s="6" t="b">
        <v>0</v>
      </c>
      <c r="J140" s="6" t="b">
        <v>0</v>
      </c>
      <c r="K140" s="6" t="b">
        <v>0</v>
      </c>
      <c r="L140" s="6" t="b">
        <v>0</v>
      </c>
      <c r="M140" s="6" t="b">
        <v>0</v>
      </c>
      <c r="N140" s="6" t="b">
        <v>0</v>
      </c>
      <c r="O140" s="6" t="b">
        <v>0</v>
      </c>
      <c r="P140" s="6" t="b">
        <v>0</v>
      </c>
      <c r="Q140" s="6" t="b">
        <v>0</v>
      </c>
      <c r="R140" s="6" t="b">
        <v>0</v>
      </c>
      <c r="S140" s="6" t="b">
        <v>0</v>
      </c>
      <c r="T140" s="6" t="b">
        <v>0</v>
      </c>
      <c r="U140" s="6" t="b">
        <v>0</v>
      </c>
      <c r="V140" s="6" t="b">
        <v>0</v>
      </c>
      <c r="W140" s="6" t="b">
        <v>0</v>
      </c>
      <c r="X140" s="6" t="b">
        <v>0</v>
      </c>
      <c r="Y140" s="6" t="b">
        <v>0</v>
      </c>
      <c r="Z140" s="6" t="b">
        <v>0</v>
      </c>
      <c r="AA140" s="6" t="b">
        <v>0</v>
      </c>
      <c r="AB140" s="6" t="b">
        <v>0</v>
      </c>
      <c r="AC140" s="6" t="b">
        <v>0</v>
      </c>
      <c r="AD140" s="6" t="b">
        <v>0</v>
      </c>
      <c r="AE140" s="6" t="b">
        <v>0</v>
      </c>
      <c r="AF140" s="6" t="b">
        <v>0</v>
      </c>
      <c r="AG140" s="6" t="b">
        <v>0</v>
      </c>
      <c r="AH140" s="6" t="b">
        <v>0</v>
      </c>
      <c r="AI140" s="6" t="b">
        <v>0</v>
      </c>
      <c r="AJ140" s="6" t="b">
        <v>0</v>
      </c>
      <c r="AK140" s="6" t="b">
        <v>0</v>
      </c>
      <c r="AL140" s="9" t="str">
        <f t="shared" si="1"/>
        <v>0 dari 31 (0%)</v>
      </c>
    </row>
    <row r="141" ht="22.5" customHeight="1">
      <c r="A141" s="10">
        <v>140.0</v>
      </c>
      <c r="B141" s="11"/>
      <c r="C141" s="140"/>
      <c r="D141" s="138"/>
      <c r="E141" s="138"/>
      <c r="F141" s="13"/>
      <c r="G141" s="6" t="b">
        <v>0</v>
      </c>
      <c r="H141" s="6" t="b">
        <v>0</v>
      </c>
      <c r="I141" s="6" t="b">
        <v>0</v>
      </c>
      <c r="J141" s="6" t="b">
        <v>0</v>
      </c>
      <c r="K141" s="6" t="b">
        <v>0</v>
      </c>
      <c r="L141" s="6" t="b">
        <v>0</v>
      </c>
      <c r="M141" s="6" t="b">
        <v>0</v>
      </c>
      <c r="N141" s="6" t="b">
        <v>0</v>
      </c>
      <c r="O141" s="6" t="b">
        <v>0</v>
      </c>
      <c r="P141" s="6" t="b">
        <v>0</v>
      </c>
      <c r="Q141" s="6" t="b">
        <v>0</v>
      </c>
      <c r="R141" s="6" t="b">
        <v>0</v>
      </c>
      <c r="S141" s="6" t="b">
        <v>0</v>
      </c>
      <c r="T141" s="6" t="b">
        <v>0</v>
      </c>
      <c r="U141" s="6" t="b">
        <v>0</v>
      </c>
      <c r="V141" s="6" t="b">
        <v>0</v>
      </c>
      <c r="W141" s="6" t="b">
        <v>0</v>
      </c>
      <c r="X141" s="6" t="b">
        <v>0</v>
      </c>
      <c r="Y141" s="6" t="b">
        <v>0</v>
      </c>
      <c r="Z141" s="6" t="b">
        <v>0</v>
      </c>
      <c r="AA141" s="6" t="b">
        <v>0</v>
      </c>
      <c r="AB141" s="6" t="b">
        <v>0</v>
      </c>
      <c r="AC141" s="6" t="b">
        <v>0</v>
      </c>
      <c r="AD141" s="6" t="b">
        <v>0</v>
      </c>
      <c r="AE141" s="6" t="b">
        <v>0</v>
      </c>
      <c r="AF141" s="6" t="b">
        <v>0</v>
      </c>
      <c r="AG141" s="6" t="b">
        <v>0</v>
      </c>
      <c r="AH141" s="6" t="b">
        <v>0</v>
      </c>
      <c r="AI141" s="6" t="b">
        <v>0</v>
      </c>
      <c r="AJ141" s="6" t="b">
        <v>0</v>
      </c>
      <c r="AK141" s="6" t="b">
        <v>0</v>
      </c>
      <c r="AL141" s="17" t="str">
        <f t="shared" si="1"/>
        <v>0 dari 31 (0%)</v>
      </c>
    </row>
    <row r="142" ht="22.5" customHeight="1">
      <c r="A142" s="2">
        <v>141.0</v>
      </c>
      <c r="B142" s="11"/>
      <c r="C142" s="140"/>
      <c r="D142" s="138"/>
      <c r="E142" s="138"/>
      <c r="F142" s="13"/>
      <c r="G142" s="6" t="b">
        <v>0</v>
      </c>
      <c r="H142" s="6" t="b">
        <v>0</v>
      </c>
      <c r="I142" s="6" t="b">
        <v>0</v>
      </c>
      <c r="J142" s="6" t="b">
        <v>0</v>
      </c>
      <c r="K142" s="6" t="b">
        <v>0</v>
      </c>
      <c r="L142" s="6" t="b">
        <v>0</v>
      </c>
      <c r="M142" s="6" t="b">
        <v>0</v>
      </c>
      <c r="N142" s="6" t="b">
        <v>0</v>
      </c>
      <c r="O142" s="6" t="b">
        <v>0</v>
      </c>
      <c r="P142" s="6" t="b">
        <v>0</v>
      </c>
      <c r="Q142" s="6" t="b">
        <v>0</v>
      </c>
      <c r="R142" s="6" t="b">
        <v>0</v>
      </c>
      <c r="S142" s="6" t="b">
        <v>0</v>
      </c>
      <c r="T142" s="6" t="b">
        <v>0</v>
      </c>
      <c r="U142" s="6" t="b">
        <v>0</v>
      </c>
      <c r="V142" s="6" t="b">
        <v>0</v>
      </c>
      <c r="W142" s="6" t="b">
        <v>0</v>
      </c>
      <c r="X142" s="6" t="b">
        <v>0</v>
      </c>
      <c r="Y142" s="6" t="b">
        <v>0</v>
      </c>
      <c r="Z142" s="6" t="b">
        <v>0</v>
      </c>
      <c r="AA142" s="6" t="b">
        <v>0</v>
      </c>
      <c r="AB142" s="6" t="b">
        <v>0</v>
      </c>
      <c r="AC142" s="6" t="b">
        <v>0</v>
      </c>
      <c r="AD142" s="6" t="b">
        <v>0</v>
      </c>
      <c r="AE142" s="6" t="b">
        <v>0</v>
      </c>
      <c r="AF142" s="6" t="b">
        <v>0</v>
      </c>
      <c r="AG142" s="6" t="b">
        <v>0</v>
      </c>
      <c r="AH142" s="6" t="b">
        <v>0</v>
      </c>
      <c r="AI142" s="6" t="b">
        <v>0</v>
      </c>
      <c r="AJ142" s="6" t="b">
        <v>0</v>
      </c>
      <c r="AK142" s="6" t="b">
        <v>0</v>
      </c>
      <c r="AL142" s="9" t="str">
        <f t="shared" si="1"/>
        <v>0 dari 31 (0%)</v>
      </c>
    </row>
    <row r="143" ht="22.5" customHeight="1">
      <c r="A143" s="10">
        <v>142.0</v>
      </c>
      <c r="B143" s="11"/>
      <c r="C143" s="140"/>
      <c r="D143" s="138"/>
      <c r="E143" s="138"/>
      <c r="F143" s="13"/>
      <c r="G143" s="6" t="b">
        <v>0</v>
      </c>
      <c r="H143" s="6" t="b">
        <v>0</v>
      </c>
      <c r="I143" s="6" t="b">
        <v>0</v>
      </c>
      <c r="J143" s="6" t="b">
        <v>0</v>
      </c>
      <c r="K143" s="6" t="b">
        <v>0</v>
      </c>
      <c r="L143" s="6" t="b">
        <v>0</v>
      </c>
      <c r="M143" s="6" t="b">
        <v>0</v>
      </c>
      <c r="N143" s="6" t="b">
        <v>0</v>
      </c>
      <c r="O143" s="6" t="b">
        <v>0</v>
      </c>
      <c r="P143" s="6" t="b">
        <v>0</v>
      </c>
      <c r="Q143" s="6" t="b">
        <v>0</v>
      </c>
      <c r="R143" s="6" t="b">
        <v>0</v>
      </c>
      <c r="S143" s="6" t="b">
        <v>0</v>
      </c>
      <c r="T143" s="6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0</v>
      </c>
      <c r="Z143" s="6" t="b">
        <v>0</v>
      </c>
      <c r="AA143" s="6" t="b">
        <v>0</v>
      </c>
      <c r="AB143" s="6" t="b">
        <v>0</v>
      </c>
      <c r="AC143" s="6" t="b">
        <v>0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0</v>
      </c>
      <c r="AI143" s="6" t="b">
        <v>0</v>
      </c>
      <c r="AJ143" s="6" t="b">
        <v>0</v>
      </c>
      <c r="AK143" s="6" t="b">
        <v>0</v>
      </c>
      <c r="AL143" s="9" t="str">
        <f t="shared" si="1"/>
        <v>0 dari 31 (0%)</v>
      </c>
    </row>
    <row r="144" ht="22.5" customHeight="1">
      <c r="A144" s="10">
        <v>143.0</v>
      </c>
      <c r="B144" s="11"/>
      <c r="C144" s="140"/>
      <c r="D144" s="138"/>
      <c r="E144" s="138"/>
      <c r="F144" s="13"/>
      <c r="G144" s="6" t="b">
        <v>0</v>
      </c>
      <c r="H144" s="6" t="b">
        <v>0</v>
      </c>
      <c r="I144" s="6" t="b">
        <v>0</v>
      </c>
      <c r="J144" s="6" t="b">
        <v>0</v>
      </c>
      <c r="K144" s="6" t="b">
        <v>0</v>
      </c>
      <c r="L144" s="6" t="b">
        <v>0</v>
      </c>
      <c r="M144" s="6" t="b">
        <v>0</v>
      </c>
      <c r="N144" s="6" t="b">
        <v>0</v>
      </c>
      <c r="O144" s="6" t="b">
        <v>0</v>
      </c>
      <c r="P144" s="6" t="b">
        <v>0</v>
      </c>
      <c r="Q144" s="6" t="b">
        <v>0</v>
      </c>
      <c r="R144" s="6" t="b">
        <v>0</v>
      </c>
      <c r="S144" s="6" t="b">
        <v>0</v>
      </c>
      <c r="T144" s="6" t="b">
        <v>0</v>
      </c>
      <c r="U144" s="6" t="b">
        <v>0</v>
      </c>
      <c r="V144" s="6" t="b">
        <v>0</v>
      </c>
      <c r="W144" s="6" t="b">
        <v>0</v>
      </c>
      <c r="X144" s="6" t="b">
        <v>0</v>
      </c>
      <c r="Y144" s="6" t="b">
        <v>0</v>
      </c>
      <c r="Z144" s="6" t="b">
        <v>0</v>
      </c>
      <c r="AA144" s="6" t="b">
        <v>0</v>
      </c>
      <c r="AB144" s="6" t="b">
        <v>0</v>
      </c>
      <c r="AC144" s="6" t="b">
        <v>0</v>
      </c>
      <c r="AD144" s="6" t="b">
        <v>0</v>
      </c>
      <c r="AE144" s="6" t="b">
        <v>0</v>
      </c>
      <c r="AF144" s="6" t="b">
        <v>0</v>
      </c>
      <c r="AG144" s="6" t="b">
        <v>0</v>
      </c>
      <c r="AH144" s="6" t="b">
        <v>0</v>
      </c>
      <c r="AI144" s="6" t="b">
        <v>0</v>
      </c>
      <c r="AJ144" s="6" t="b">
        <v>0</v>
      </c>
      <c r="AK144" s="6" t="b">
        <v>0</v>
      </c>
      <c r="AL144" s="17" t="str">
        <f t="shared" si="1"/>
        <v>0 dari 31 (0%)</v>
      </c>
    </row>
    <row r="145" ht="22.5" customHeight="1">
      <c r="A145" s="2">
        <v>144.0</v>
      </c>
      <c r="B145" s="11"/>
      <c r="C145" s="140"/>
      <c r="D145" s="138"/>
      <c r="E145" s="138"/>
      <c r="F145" s="13"/>
      <c r="G145" s="6" t="b">
        <v>0</v>
      </c>
      <c r="H145" s="6" t="b">
        <v>0</v>
      </c>
      <c r="I145" s="6" t="b">
        <v>0</v>
      </c>
      <c r="J145" s="6" t="b">
        <v>0</v>
      </c>
      <c r="K145" s="6" t="b">
        <v>0</v>
      </c>
      <c r="L145" s="6" t="b">
        <v>0</v>
      </c>
      <c r="M145" s="6" t="b">
        <v>0</v>
      </c>
      <c r="N145" s="6" t="b">
        <v>0</v>
      </c>
      <c r="O145" s="6" t="b">
        <v>0</v>
      </c>
      <c r="P145" s="6" t="b">
        <v>0</v>
      </c>
      <c r="Q145" s="6" t="b">
        <v>0</v>
      </c>
      <c r="R145" s="6" t="b">
        <v>0</v>
      </c>
      <c r="S145" s="6" t="b">
        <v>0</v>
      </c>
      <c r="T145" s="6" t="b">
        <v>0</v>
      </c>
      <c r="U145" s="6" t="b">
        <v>0</v>
      </c>
      <c r="V145" s="6" t="b">
        <v>0</v>
      </c>
      <c r="W145" s="6" t="b">
        <v>0</v>
      </c>
      <c r="X145" s="6" t="b">
        <v>0</v>
      </c>
      <c r="Y145" s="6" t="b">
        <v>0</v>
      </c>
      <c r="Z145" s="6" t="b">
        <v>0</v>
      </c>
      <c r="AA145" s="6" t="b">
        <v>0</v>
      </c>
      <c r="AB145" s="6" t="b">
        <v>0</v>
      </c>
      <c r="AC145" s="6" t="b">
        <v>0</v>
      </c>
      <c r="AD145" s="6" t="b">
        <v>0</v>
      </c>
      <c r="AE145" s="6" t="b">
        <v>0</v>
      </c>
      <c r="AF145" s="6" t="b">
        <v>0</v>
      </c>
      <c r="AG145" s="6" t="b">
        <v>0</v>
      </c>
      <c r="AH145" s="6" t="b">
        <v>0</v>
      </c>
      <c r="AI145" s="6" t="b">
        <v>0</v>
      </c>
      <c r="AJ145" s="6" t="b">
        <v>0</v>
      </c>
      <c r="AK145" s="6" t="b">
        <v>0</v>
      </c>
      <c r="AL145" s="9" t="str">
        <f t="shared" si="1"/>
        <v>0 dari 31 (0%)</v>
      </c>
    </row>
    <row r="146" ht="22.5" customHeight="1">
      <c r="A146" s="10">
        <v>145.0</v>
      </c>
      <c r="B146" s="11"/>
      <c r="C146" s="140"/>
      <c r="D146" s="138"/>
      <c r="E146" s="138"/>
      <c r="F146" s="13"/>
      <c r="G146" s="6" t="b">
        <v>0</v>
      </c>
      <c r="H146" s="6" t="b">
        <v>0</v>
      </c>
      <c r="I146" s="6" t="b">
        <v>0</v>
      </c>
      <c r="J146" s="6" t="b">
        <v>0</v>
      </c>
      <c r="K146" s="6" t="b">
        <v>0</v>
      </c>
      <c r="L146" s="6" t="b">
        <v>0</v>
      </c>
      <c r="M146" s="6" t="b">
        <v>0</v>
      </c>
      <c r="N146" s="6" t="b">
        <v>0</v>
      </c>
      <c r="O146" s="6" t="b">
        <v>0</v>
      </c>
      <c r="P146" s="6" t="b">
        <v>0</v>
      </c>
      <c r="Q146" s="6" t="b">
        <v>0</v>
      </c>
      <c r="R146" s="6" t="b">
        <v>0</v>
      </c>
      <c r="S146" s="6" t="b">
        <v>0</v>
      </c>
      <c r="T146" s="6" t="b">
        <v>0</v>
      </c>
      <c r="U146" s="6" t="b">
        <v>0</v>
      </c>
      <c r="V146" s="6" t="b">
        <v>0</v>
      </c>
      <c r="W146" s="6" t="b">
        <v>0</v>
      </c>
      <c r="X146" s="6" t="b">
        <v>0</v>
      </c>
      <c r="Y146" s="6" t="b">
        <v>0</v>
      </c>
      <c r="Z146" s="6" t="b">
        <v>0</v>
      </c>
      <c r="AA146" s="6" t="b">
        <v>0</v>
      </c>
      <c r="AB146" s="6" t="b">
        <v>0</v>
      </c>
      <c r="AC146" s="6" t="b">
        <v>0</v>
      </c>
      <c r="AD146" s="6" t="b">
        <v>0</v>
      </c>
      <c r="AE146" s="6" t="b">
        <v>0</v>
      </c>
      <c r="AF146" s="6" t="b">
        <v>0</v>
      </c>
      <c r="AG146" s="6" t="b">
        <v>0</v>
      </c>
      <c r="AH146" s="6" t="b">
        <v>0</v>
      </c>
      <c r="AI146" s="6" t="b">
        <v>0</v>
      </c>
      <c r="AJ146" s="6" t="b">
        <v>0</v>
      </c>
      <c r="AK146" s="6" t="b">
        <v>0</v>
      </c>
      <c r="AL146" s="9" t="str">
        <f t="shared" si="1"/>
        <v>0 dari 31 (0%)</v>
      </c>
    </row>
    <row r="147" ht="22.5" customHeight="1">
      <c r="A147" s="10">
        <v>146.0</v>
      </c>
      <c r="B147" s="11"/>
      <c r="C147" s="140"/>
      <c r="D147" s="138"/>
      <c r="E147" s="138"/>
      <c r="F147" s="13"/>
      <c r="G147" s="6" t="b">
        <v>0</v>
      </c>
      <c r="H147" s="6" t="b">
        <v>0</v>
      </c>
      <c r="I147" s="6" t="b">
        <v>0</v>
      </c>
      <c r="J147" s="6" t="b">
        <v>0</v>
      </c>
      <c r="K147" s="6" t="b">
        <v>0</v>
      </c>
      <c r="L147" s="6" t="b">
        <v>0</v>
      </c>
      <c r="M147" s="6" t="b">
        <v>0</v>
      </c>
      <c r="N147" s="6" t="b">
        <v>0</v>
      </c>
      <c r="O147" s="6" t="b">
        <v>0</v>
      </c>
      <c r="P147" s="6" t="b">
        <v>0</v>
      </c>
      <c r="Q147" s="6" t="b">
        <v>0</v>
      </c>
      <c r="R147" s="6" t="b">
        <v>0</v>
      </c>
      <c r="S147" s="6" t="b">
        <v>0</v>
      </c>
      <c r="T147" s="6" t="b">
        <v>0</v>
      </c>
      <c r="U147" s="6" t="b">
        <v>0</v>
      </c>
      <c r="V147" s="6" t="b">
        <v>0</v>
      </c>
      <c r="W147" s="6" t="b">
        <v>0</v>
      </c>
      <c r="X147" s="6" t="b">
        <v>0</v>
      </c>
      <c r="Y147" s="6" t="b">
        <v>0</v>
      </c>
      <c r="Z147" s="6" t="b">
        <v>0</v>
      </c>
      <c r="AA147" s="6" t="b">
        <v>0</v>
      </c>
      <c r="AB147" s="6" t="b">
        <v>0</v>
      </c>
      <c r="AC147" s="6" t="b">
        <v>0</v>
      </c>
      <c r="AD147" s="6" t="b">
        <v>0</v>
      </c>
      <c r="AE147" s="6" t="b">
        <v>0</v>
      </c>
      <c r="AF147" s="6" t="b">
        <v>0</v>
      </c>
      <c r="AG147" s="6" t="b">
        <v>0</v>
      </c>
      <c r="AH147" s="6" t="b">
        <v>0</v>
      </c>
      <c r="AI147" s="6" t="b">
        <v>0</v>
      </c>
      <c r="AJ147" s="6" t="b">
        <v>0</v>
      </c>
      <c r="AK147" s="6" t="b">
        <v>0</v>
      </c>
      <c r="AL147" s="17" t="str">
        <f t="shared" si="1"/>
        <v>0 dari 31 (0%)</v>
      </c>
    </row>
    <row r="148" ht="22.5" customHeight="1">
      <c r="A148" s="2">
        <v>147.0</v>
      </c>
      <c r="B148" s="11"/>
      <c r="C148" s="140"/>
      <c r="D148" s="138"/>
      <c r="E148" s="138"/>
      <c r="F148" s="13"/>
      <c r="G148" s="6" t="b">
        <v>0</v>
      </c>
      <c r="H148" s="6" t="b">
        <v>0</v>
      </c>
      <c r="I148" s="6" t="b">
        <v>0</v>
      </c>
      <c r="J148" s="6" t="b">
        <v>0</v>
      </c>
      <c r="K148" s="6" t="b">
        <v>0</v>
      </c>
      <c r="L148" s="6" t="b">
        <v>0</v>
      </c>
      <c r="M148" s="6" t="b">
        <v>0</v>
      </c>
      <c r="N148" s="6" t="b">
        <v>0</v>
      </c>
      <c r="O148" s="6" t="b">
        <v>0</v>
      </c>
      <c r="P148" s="6" t="b">
        <v>0</v>
      </c>
      <c r="Q148" s="6" t="b">
        <v>0</v>
      </c>
      <c r="R148" s="6" t="b">
        <v>0</v>
      </c>
      <c r="S148" s="6" t="b">
        <v>0</v>
      </c>
      <c r="T148" s="6" t="b">
        <v>0</v>
      </c>
      <c r="U148" s="6" t="b">
        <v>0</v>
      </c>
      <c r="V148" s="6" t="b">
        <v>0</v>
      </c>
      <c r="W148" s="6" t="b">
        <v>0</v>
      </c>
      <c r="X148" s="6" t="b">
        <v>0</v>
      </c>
      <c r="Y148" s="6" t="b">
        <v>0</v>
      </c>
      <c r="Z148" s="6" t="b">
        <v>0</v>
      </c>
      <c r="AA148" s="6" t="b">
        <v>0</v>
      </c>
      <c r="AB148" s="6" t="b">
        <v>0</v>
      </c>
      <c r="AC148" s="6" t="b">
        <v>0</v>
      </c>
      <c r="AD148" s="6" t="b">
        <v>0</v>
      </c>
      <c r="AE148" s="6" t="b">
        <v>0</v>
      </c>
      <c r="AF148" s="6" t="b">
        <v>0</v>
      </c>
      <c r="AG148" s="6" t="b">
        <v>0</v>
      </c>
      <c r="AH148" s="6" t="b">
        <v>0</v>
      </c>
      <c r="AI148" s="6" t="b">
        <v>0</v>
      </c>
      <c r="AJ148" s="6" t="b">
        <v>0</v>
      </c>
      <c r="AK148" s="6" t="b">
        <v>0</v>
      </c>
      <c r="AL148" s="9" t="str">
        <f t="shared" si="1"/>
        <v>0 dari 31 (0%)</v>
      </c>
    </row>
    <row r="149" ht="22.5" customHeight="1">
      <c r="A149" s="10">
        <v>148.0</v>
      </c>
      <c r="B149" s="11"/>
      <c r="C149" s="140"/>
      <c r="D149" s="138"/>
      <c r="E149" s="138"/>
      <c r="F149" s="13"/>
      <c r="G149" s="6" t="b">
        <v>0</v>
      </c>
      <c r="H149" s="6" t="b">
        <v>0</v>
      </c>
      <c r="I149" s="6" t="b">
        <v>0</v>
      </c>
      <c r="J149" s="6" t="b">
        <v>0</v>
      </c>
      <c r="K149" s="6" t="b">
        <v>0</v>
      </c>
      <c r="L149" s="6" t="b">
        <v>0</v>
      </c>
      <c r="M149" s="6" t="b">
        <v>0</v>
      </c>
      <c r="N149" s="6" t="b">
        <v>0</v>
      </c>
      <c r="O149" s="6" t="b">
        <v>0</v>
      </c>
      <c r="P149" s="6" t="b">
        <v>0</v>
      </c>
      <c r="Q149" s="6" t="b">
        <v>0</v>
      </c>
      <c r="R149" s="6" t="b">
        <v>0</v>
      </c>
      <c r="S149" s="6" t="b">
        <v>0</v>
      </c>
      <c r="T149" s="6" t="b">
        <v>0</v>
      </c>
      <c r="U149" s="6" t="b">
        <v>0</v>
      </c>
      <c r="V149" s="6" t="b">
        <v>0</v>
      </c>
      <c r="W149" s="6" t="b">
        <v>0</v>
      </c>
      <c r="X149" s="6" t="b">
        <v>0</v>
      </c>
      <c r="Y149" s="6" t="b">
        <v>0</v>
      </c>
      <c r="Z149" s="6" t="b">
        <v>0</v>
      </c>
      <c r="AA149" s="6" t="b">
        <v>0</v>
      </c>
      <c r="AB149" s="6" t="b">
        <v>0</v>
      </c>
      <c r="AC149" s="6" t="b">
        <v>0</v>
      </c>
      <c r="AD149" s="6" t="b">
        <v>0</v>
      </c>
      <c r="AE149" s="6" t="b">
        <v>0</v>
      </c>
      <c r="AF149" s="6" t="b">
        <v>0</v>
      </c>
      <c r="AG149" s="6" t="b">
        <v>0</v>
      </c>
      <c r="AH149" s="6" t="b">
        <v>0</v>
      </c>
      <c r="AI149" s="6" t="b">
        <v>0</v>
      </c>
      <c r="AJ149" s="6" t="b">
        <v>0</v>
      </c>
      <c r="AK149" s="6" t="b">
        <v>0</v>
      </c>
      <c r="AL149" s="9" t="str">
        <f t="shared" si="1"/>
        <v>0 dari 31 (0%)</v>
      </c>
    </row>
    <row r="150" ht="22.5" customHeight="1">
      <c r="A150" s="10">
        <v>149.0</v>
      </c>
      <c r="B150" s="11"/>
      <c r="C150" s="140"/>
      <c r="D150" s="138"/>
      <c r="E150" s="138"/>
      <c r="F150" s="13"/>
      <c r="G150" s="6" t="b">
        <v>0</v>
      </c>
      <c r="H150" s="6" t="b">
        <v>0</v>
      </c>
      <c r="I150" s="6" t="b">
        <v>0</v>
      </c>
      <c r="J150" s="6" t="b">
        <v>0</v>
      </c>
      <c r="K150" s="6" t="b">
        <v>0</v>
      </c>
      <c r="L150" s="6" t="b">
        <v>0</v>
      </c>
      <c r="M150" s="6" t="b">
        <v>0</v>
      </c>
      <c r="N150" s="6" t="b">
        <v>0</v>
      </c>
      <c r="O150" s="6" t="b">
        <v>0</v>
      </c>
      <c r="P150" s="6" t="b">
        <v>0</v>
      </c>
      <c r="Q150" s="6" t="b">
        <v>0</v>
      </c>
      <c r="R150" s="6" t="b">
        <v>0</v>
      </c>
      <c r="S150" s="6" t="b">
        <v>0</v>
      </c>
      <c r="T150" s="6" t="b">
        <v>0</v>
      </c>
      <c r="U150" s="6" t="b">
        <v>0</v>
      </c>
      <c r="V150" s="6" t="b">
        <v>0</v>
      </c>
      <c r="W150" s="6" t="b">
        <v>0</v>
      </c>
      <c r="X150" s="6" t="b">
        <v>0</v>
      </c>
      <c r="Y150" s="6" t="b">
        <v>0</v>
      </c>
      <c r="Z150" s="6" t="b">
        <v>0</v>
      </c>
      <c r="AA150" s="6" t="b">
        <v>0</v>
      </c>
      <c r="AB150" s="6" t="b">
        <v>0</v>
      </c>
      <c r="AC150" s="6" t="b">
        <v>0</v>
      </c>
      <c r="AD150" s="6" t="b">
        <v>0</v>
      </c>
      <c r="AE150" s="6" t="b">
        <v>0</v>
      </c>
      <c r="AF150" s="6" t="b">
        <v>0</v>
      </c>
      <c r="AG150" s="6" t="b">
        <v>0</v>
      </c>
      <c r="AH150" s="6" t="b">
        <v>0</v>
      </c>
      <c r="AI150" s="6" t="b">
        <v>0</v>
      </c>
      <c r="AJ150" s="6" t="b">
        <v>0</v>
      </c>
      <c r="AK150" s="6" t="b">
        <v>0</v>
      </c>
      <c r="AL150" s="17" t="str">
        <f t="shared" si="1"/>
        <v>0 dari 31 (0%)</v>
      </c>
    </row>
    <row r="151" ht="22.5" customHeight="1">
      <c r="A151" s="2">
        <v>150.0</v>
      </c>
      <c r="B151" s="11"/>
      <c r="C151" s="140"/>
      <c r="D151" s="138"/>
      <c r="E151" s="138"/>
      <c r="F151" s="13"/>
      <c r="G151" s="6" t="b">
        <v>0</v>
      </c>
      <c r="H151" s="6" t="b">
        <v>0</v>
      </c>
      <c r="I151" s="6" t="b">
        <v>0</v>
      </c>
      <c r="J151" s="6" t="b">
        <v>0</v>
      </c>
      <c r="K151" s="6" t="b">
        <v>0</v>
      </c>
      <c r="L151" s="6" t="b">
        <v>0</v>
      </c>
      <c r="M151" s="6" t="b">
        <v>0</v>
      </c>
      <c r="N151" s="6" t="b">
        <v>0</v>
      </c>
      <c r="O151" s="6" t="b">
        <v>0</v>
      </c>
      <c r="P151" s="6" t="b">
        <v>0</v>
      </c>
      <c r="Q151" s="6" t="b">
        <v>0</v>
      </c>
      <c r="R151" s="6" t="b">
        <v>0</v>
      </c>
      <c r="S151" s="6" t="b">
        <v>0</v>
      </c>
      <c r="T151" s="6" t="b">
        <v>0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0</v>
      </c>
      <c r="AF151" s="6" t="b">
        <v>0</v>
      </c>
      <c r="AG151" s="6" t="b">
        <v>0</v>
      </c>
      <c r="AH151" s="6" t="b">
        <v>0</v>
      </c>
      <c r="AI151" s="6" t="b">
        <v>0</v>
      </c>
      <c r="AJ151" s="6" t="b">
        <v>0</v>
      </c>
      <c r="AK151" s="6" t="b">
        <v>0</v>
      </c>
      <c r="AL151" s="9" t="str">
        <f t="shared" si="1"/>
        <v>0 dari 31 (0%)</v>
      </c>
    </row>
    <row r="152" ht="22.5" customHeight="1">
      <c r="A152" s="10">
        <v>151.0</v>
      </c>
      <c r="B152" s="11"/>
      <c r="C152" s="140"/>
      <c r="D152" s="138"/>
      <c r="E152" s="138"/>
      <c r="F152" s="13"/>
      <c r="G152" s="6" t="b">
        <v>0</v>
      </c>
      <c r="H152" s="6" t="b">
        <v>0</v>
      </c>
      <c r="I152" s="6" t="b">
        <v>0</v>
      </c>
      <c r="J152" s="6" t="b">
        <v>0</v>
      </c>
      <c r="K152" s="6" t="b">
        <v>0</v>
      </c>
      <c r="L152" s="6" t="b">
        <v>0</v>
      </c>
      <c r="M152" s="6" t="b">
        <v>0</v>
      </c>
      <c r="N152" s="6" t="b">
        <v>0</v>
      </c>
      <c r="O152" s="6" t="b">
        <v>0</v>
      </c>
      <c r="P152" s="6" t="b">
        <v>0</v>
      </c>
      <c r="Q152" s="6" t="b">
        <v>0</v>
      </c>
      <c r="R152" s="6" t="b">
        <v>0</v>
      </c>
      <c r="S152" s="6" t="b">
        <v>0</v>
      </c>
      <c r="T152" s="6" t="b">
        <v>0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0</v>
      </c>
      <c r="Z152" s="6" t="b">
        <v>0</v>
      </c>
      <c r="AA152" s="6" t="b">
        <v>0</v>
      </c>
      <c r="AB152" s="6" t="b">
        <v>0</v>
      </c>
      <c r="AC152" s="6" t="b">
        <v>0</v>
      </c>
      <c r="AD152" s="6" t="b">
        <v>0</v>
      </c>
      <c r="AE152" s="6" t="b">
        <v>0</v>
      </c>
      <c r="AF152" s="6" t="b">
        <v>0</v>
      </c>
      <c r="AG152" s="6" t="b">
        <v>0</v>
      </c>
      <c r="AH152" s="6" t="b">
        <v>0</v>
      </c>
      <c r="AI152" s="6" t="b">
        <v>0</v>
      </c>
      <c r="AJ152" s="6" t="b">
        <v>0</v>
      </c>
      <c r="AK152" s="6" t="b">
        <v>0</v>
      </c>
      <c r="AL152" s="9" t="str">
        <f t="shared" si="1"/>
        <v>0 dari 31 (0%)</v>
      </c>
    </row>
    <row r="153" ht="22.5" customHeight="1">
      <c r="A153" s="10">
        <v>152.0</v>
      </c>
      <c r="B153" s="11"/>
      <c r="C153" s="140"/>
      <c r="D153" s="138"/>
      <c r="E153" s="138"/>
      <c r="F153" s="13"/>
      <c r="G153" s="112" t="b">
        <v>0</v>
      </c>
      <c r="H153" s="112" t="b">
        <v>0</v>
      </c>
      <c r="I153" s="112" t="b">
        <v>0</v>
      </c>
      <c r="J153" s="112" t="b">
        <v>0</v>
      </c>
      <c r="K153" s="112" t="b">
        <v>0</v>
      </c>
      <c r="L153" s="112" t="b">
        <v>0</v>
      </c>
      <c r="M153" s="112" t="b">
        <v>0</v>
      </c>
      <c r="N153" s="112" t="b">
        <v>0</v>
      </c>
      <c r="O153" s="112" t="b">
        <v>0</v>
      </c>
      <c r="P153" s="112" t="b">
        <v>0</v>
      </c>
      <c r="Q153" s="112" t="b">
        <v>0</v>
      </c>
      <c r="R153" s="112" t="b">
        <v>0</v>
      </c>
      <c r="S153" s="112" t="b">
        <v>0</v>
      </c>
      <c r="T153" s="112" t="b">
        <v>0</v>
      </c>
      <c r="U153" s="112" t="b">
        <v>0</v>
      </c>
      <c r="V153" s="112" t="b">
        <v>0</v>
      </c>
      <c r="W153" s="112" t="b">
        <v>0</v>
      </c>
      <c r="X153" s="112" t="b">
        <v>0</v>
      </c>
      <c r="Y153" s="112" t="b">
        <v>0</v>
      </c>
      <c r="Z153" s="112" t="b">
        <v>0</v>
      </c>
      <c r="AA153" s="112" t="b">
        <v>0</v>
      </c>
      <c r="AB153" s="112" t="b">
        <v>0</v>
      </c>
      <c r="AC153" s="112" t="b">
        <v>0</v>
      </c>
      <c r="AD153" s="112" t="b">
        <v>0</v>
      </c>
      <c r="AE153" s="112" t="b">
        <v>0</v>
      </c>
      <c r="AF153" s="112" t="b">
        <v>0</v>
      </c>
      <c r="AG153" s="112" t="b">
        <v>0</v>
      </c>
      <c r="AH153" s="112" t="b">
        <v>0</v>
      </c>
      <c r="AI153" s="112" t="b">
        <v>0</v>
      </c>
      <c r="AJ153" s="112" t="b">
        <v>0</v>
      </c>
      <c r="AK153" s="112" t="b">
        <v>0</v>
      </c>
      <c r="AL153" s="113" t="str">
        <f t="shared" si="1"/>
        <v>0 dari 31 (0%)</v>
      </c>
    </row>
    <row r="154" ht="22.5" customHeight="1">
      <c r="A154" s="2">
        <v>153.0</v>
      </c>
      <c r="B154" s="11"/>
      <c r="C154" s="140"/>
      <c r="D154" s="138"/>
      <c r="E154" s="138"/>
      <c r="F154" s="135"/>
      <c r="G154" s="114" t="b">
        <v>0</v>
      </c>
      <c r="H154" s="114" t="b">
        <v>0</v>
      </c>
      <c r="I154" s="114" t="b">
        <v>0</v>
      </c>
      <c r="J154" s="114" t="b">
        <v>0</v>
      </c>
      <c r="K154" s="114" t="b">
        <v>0</v>
      </c>
      <c r="L154" s="114" t="b">
        <v>0</v>
      </c>
      <c r="M154" s="114" t="b">
        <v>0</v>
      </c>
      <c r="N154" s="114" t="b">
        <v>0</v>
      </c>
      <c r="O154" s="114" t="b">
        <v>0</v>
      </c>
      <c r="P154" s="114" t="b">
        <v>0</v>
      </c>
      <c r="Q154" s="114" t="b">
        <v>0</v>
      </c>
      <c r="R154" s="114" t="b">
        <v>0</v>
      </c>
      <c r="S154" s="114" t="b">
        <v>0</v>
      </c>
      <c r="T154" s="114" t="b">
        <v>0</v>
      </c>
      <c r="U154" s="114" t="b">
        <v>0</v>
      </c>
      <c r="V154" s="114" t="b">
        <v>0</v>
      </c>
      <c r="W154" s="114" t="b">
        <v>0</v>
      </c>
      <c r="X154" s="114" t="b">
        <v>0</v>
      </c>
      <c r="Y154" s="114" t="b">
        <v>0</v>
      </c>
      <c r="Z154" s="114" t="b">
        <v>0</v>
      </c>
      <c r="AA154" s="114" t="b">
        <v>0</v>
      </c>
      <c r="AB154" s="114" t="b">
        <v>0</v>
      </c>
      <c r="AC154" s="114" t="b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 t="b">
        <v>0</v>
      </c>
      <c r="AI154" s="114" t="b">
        <v>0</v>
      </c>
      <c r="AJ154" s="114" t="b">
        <v>0</v>
      </c>
      <c r="AK154" s="114" t="b">
        <v>0</v>
      </c>
      <c r="AL154" s="115" t="str">
        <f t="shared" si="1"/>
        <v>0 dari 31 (0%)</v>
      </c>
    </row>
    <row r="155" ht="22.5" customHeight="1">
      <c r="A155" s="10">
        <v>154.0</v>
      </c>
      <c r="B155" s="11"/>
      <c r="C155" s="140"/>
      <c r="D155" s="138"/>
      <c r="E155" s="138"/>
      <c r="F155" s="13"/>
      <c r="G155" s="114" t="b">
        <v>0</v>
      </c>
      <c r="H155" s="114" t="b">
        <v>0</v>
      </c>
      <c r="I155" s="114" t="b">
        <v>0</v>
      </c>
      <c r="J155" s="114" t="b">
        <v>0</v>
      </c>
      <c r="K155" s="114" t="b">
        <v>0</v>
      </c>
      <c r="L155" s="114" t="b">
        <v>0</v>
      </c>
      <c r="M155" s="114" t="b">
        <v>0</v>
      </c>
      <c r="N155" s="114" t="b">
        <v>0</v>
      </c>
      <c r="O155" s="114" t="b">
        <v>0</v>
      </c>
      <c r="P155" s="114" t="b">
        <v>0</v>
      </c>
      <c r="Q155" s="114" t="b">
        <v>0</v>
      </c>
      <c r="R155" s="114" t="b">
        <v>0</v>
      </c>
      <c r="S155" s="114" t="b">
        <v>0</v>
      </c>
      <c r="T155" s="114" t="b">
        <v>0</v>
      </c>
      <c r="U155" s="114" t="b">
        <v>0</v>
      </c>
      <c r="V155" s="114" t="b">
        <v>0</v>
      </c>
      <c r="W155" s="114" t="b">
        <v>0</v>
      </c>
      <c r="X155" s="114" t="b">
        <v>0</v>
      </c>
      <c r="Y155" s="114" t="b">
        <v>0</v>
      </c>
      <c r="Z155" s="114" t="b">
        <v>0</v>
      </c>
      <c r="AA155" s="114" t="b">
        <v>0</v>
      </c>
      <c r="AB155" s="114" t="b">
        <v>0</v>
      </c>
      <c r="AC155" s="114" t="b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5" t="str">
        <f t="shared" si="1"/>
        <v>0 dari 31 (0%)</v>
      </c>
    </row>
    <row r="156" ht="22.5" customHeight="1">
      <c r="A156" s="10">
        <v>155.0</v>
      </c>
      <c r="B156" s="11"/>
      <c r="C156" s="140"/>
      <c r="D156" s="138"/>
      <c r="E156" s="138"/>
      <c r="F156" s="13"/>
      <c r="G156" s="114" t="b">
        <v>0</v>
      </c>
      <c r="H156" s="114" t="b">
        <v>0</v>
      </c>
      <c r="I156" s="114" t="b">
        <v>0</v>
      </c>
      <c r="J156" s="114" t="b">
        <v>0</v>
      </c>
      <c r="K156" s="114" t="b">
        <v>0</v>
      </c>
      <c r="L156" s="114" t="b">
        <v>0</v>
      </c>
      <c r="M156" s="114" t="b">
        <v>0</v>
      </c>
      <c r="N156" s="114" t="b">
        <v>0</v>
      </c>
      <c r="O156" s="114" t="b">
        <v>0</v>
      </c>
      <c r="P156" s="114" t="b">
        <v>0</v>
      </c>
      <c r="Q156" s="114" t="b">
        <v>0</v>
      </c>
      <c r="R156" s="114" t="b">
        <v>0</v>
      </c>
      <c r="S156" s="114" t="b">
        <v>0</v>
      </c>
      <c r="T156" s="114" t="b">
        <v>0</v>
      </c>
      <c r="U156" s="114" t="b">
        <v>0</v>
      </c>
      <c r="V156" s="114" t="b">
        <v>0</v>
      </c>
      <c r="W156" s="114" t="b">
        <v>0</v>
      </c>
      <c r="X156" s="114" t="b">
        <v>0</v>
      </c>
      <c r="Y156" s="114" t="b">
        <v>0</v>
      </c>
      <c r="Z156" s="114" t="b">
        <v>0</v>
      </c>
      <c r="AA156" s="114" t="b">
        <v>0</v>
      </c>
      <c r="AB156" s="114" t="b">
        <v>0</v>
      </c>
      <c r="AC156" s="114" t="b">
        <v>0</v>
      </c>
      <c r="AD156" s="114" t="b">
        <v>0</v>
      </c>
      <c r="AE156" s="114" t="b">
        <v>0</v>
      </c>
      <c r="AF156" s="114" t="b">
        <v>0</v>
      </c>
      <c r="AG156" s="114" t="b">
        <v>0</v>
      </c>
      <c r="AH156" s="114" t="b">
        <v>0</v>
      </c>
      <c r="AI156" s="114" t="b">
        <v>0</v>
      </c>
      <c r="AJ156" s="114" t="b">
        <v>0</v>
      </c>
      <c r="AK156" s="114" t="b">
        <v>0</v>
      </c>
      <c r="AL156" s="115" t="str">
        <f t="shared" si="1"/>
        <v>0 dari 31 (0%)</v>
      </c>
    </row>
    <row r="157" ht="22.5" customHeight="1">
      <c r="A157" s="2">
        <v>156.0</v>
      </c>
      <c r="B157" s="11"/>
      <c r="C157" s="140"/>
      <c r="D157" s="138"/>
      <c r="E157" s="138"/>
      <c r="F157" s="13"/>
      <c r="G157" s="114" t="b">
        <v>0</v>
      </c>
      <c r="H157" s="114" t="b">
        <v>0</v>
      </c>
      <c r="I157" s="114" t="b">
        <v>0</v>
      </c>
      <c r="J157" s="114" t="b">
        <v>0</v>
      </c>
      <c r="K157" s="114" t="b">
        <v>0</v>
      </c>
      <c r="L157" s="114" t="b">
        <v>0</v>
      </c>
      <c r="M157" s="114" t="b">
        <v>0</v>
      </c>
      <c r="N157" s="114" t="b">
        <v>0</v>
      </c>
      <c r="O157" s="114" t="b">
        <v>0</v>
      </c>
      <c r="P157" s="114" t="b">
        <v>0</v>
      </c>
      <c r="Q157" s="114" t="b">
        <v>0</v>
      </c>
      <c r="R157" s="114" t="b">
        <v>0</v>
      </c>
      <c r="S157" s="114" t="b">
        <v>0</v>
      </c>
      <c r="T157" s="114" t="b">
        <v>0</v>
      </c>
      <c r="U157" s="114" t="b">
        <v>0</v>
      </c>
      <c r="V157" s="114" t="b">
        <v>0</v>
      </c>
      <c r="W157" s="114" t="b">
        <v>0</v>
      </c>
      <c r="X157" s="114" t="b">
        <v>0</v>
      </c>
      <c r="Y157" s="114" t="b">
        <v>0</v>
      </c>
      <c r="Z157" s="114" t="b">
        <v>0</v>
      </c>
      <c r="AA157" s="114" t="b">
        <v>0</v>
      </c>
      <c r="AB157" s="114" t="b">
        <v>0</v>
      </c>
      <c r="AC157" s="114" t="b">
        <v>0</v>
      </c>
      <c r="AD157" s="114" t="b">
        <v>0</v>
      </c>
      <c r="AE157" s="114" t="b">
        <v>0</v>
      </c>
      <c r="AF157" s="114" t="b">
        <v>0</v>
      </c>
      <c r="AG157" s="114" t="b">
        <v>0</v>
      </c>
      <c r="AH157" s="114" t="b">
        <v>0</v>
      </c>
      <c r="AI157" s="114" t="b">
        <v>0</v>
      </c>
      <c r="AJ157" s="114" t="b">
        <v>0</v>
      </c>
      <c r="AK157" s="114" t="b">
        <v>0</v>
      </c>
      <c r="AL157" s="115" t="str">
        <f t="shared" si="1"/>
        <v>0 dari 31 (0%)</v>
      </c>
    </row>
    <row r="158" ht="22.5" customHeight="1">
      <c r="A158" s="10">
        <v>157.0</v>
      </c>
      <c r="B158" s="11"/>
      <c r="C158" s="140"/>
      <c r="D158" s="138"/>
      <c r="E158" s="138"/>
      <c r="F158" s="13"/>
      <c r="G158" s="114" t="b">
        <v>0</v>
      </c>
      <c r="H158" s="114" t="b">
        <v>0</v>
      </c>
      <c r="I158" s="114" t="b">
        <v>0</v>
      </c>
      <c r="J158" s="114" t="b">
        <v>0</v>
      </c>
      <c r="K158" s="114" t="b">
        <v>0</v>
      </c>
      <c r="L158" s="114" t="b">
        <v>0</v>
      </c>
      <c r="M158" s="114" t="b">
        <v>0</v>
      </c>
      <c r="N158" s="114" t="b">
        <v>0</v>
      </c>
      <c r="O158" s="114" t="b">
        <v>0</v>
      </c>
      <c r="P158" s="114" t="b">
        <v>0</v>
      </c>
      <c r="Q158" s="114" t="b">
        <v>0</v>
      </c>
      <c r="R158" s="114" t="b">
        <v>0</v>
      </c>
      <c r="S158" s="114" t="b">
        <v>0</v>
      </c>
      <c r="T158" s="114" t="b">
        <v>0</v>
      </c>
      <c r="U158" s="114" t="b">
        <v>0</v>
      </c>
      <c r="V158" s="114" t="b">
        <v>0</v>
      </c>
      <c r="W158" s="114" t="b">
        <v>0</v>
      </c>
      <c r="X158" s="114" t="b">
        <v>0</v>
      </c>
      <c r="Y158" s="114" t="b">
        <v>0</v>
      </c>
      <c r="Z158" s="114" t="b">
        <v>0</v>
      </c>
      <c r="AA158" s="114" t="b">
        <v>0</v>
      </c>
      <c r="AB158" s="114" t="b">
        <v>0</v>
      </c>
      <c r="AC158" s="114" t="b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 t="b">
        <v>0</v>
      </c>
      <c r="AI158" s="114" t="b">
        <v>0</v>
      </c>
      <c r="AJ158" s="114" t="b">
        <v>0</v>
      </c>
      <c r="AK158" s="114" t="b">
        <v>0</v>
      </c>
      <c r="AL158" s="115" t="str">
        <f t="shared" si="1"/>
        <v>0 dari 31 (0%)</v>
      </c>
    </row>
    <row r="159" ht="22.5" customHeight="1">
      <c r="A159" s="10">
        <v>158.0</v>
      </c>
      <c r="B159" s="11"/>
      <c r="C159" s="140"/>
      <c r="D159" s="138"/>
      <c r="E159" s="138"/>
      <c r="F159" s="13"/>
      <c r="G159" s="114" t="b">
        <v>0</v>
      </c>
      <c r="H159" s="114" t="b">
        <v>0</v>
      </c>
      <c r="I159" s="114" t="b">
        <v>0</v>
      </c>
      <c r="J159" s="114" t="b">
        <v>0</v>
      </c>
      <c r="K159" s="114" t="b">
        <v>0</v>
      </c>
      <c r="L159" s="114" t="b">
        <v>0</v>
      </c>
      <c r="M159" s="114" t="b">
        <v>0</v>
      </c>
      <c r="N159" s="114" t="b">
        <v>0</v>
      </c>
      <c r="O159" s="114" t="b">
        <v>0</v>
      </c>
      <c r="P159" s="114" t="b">
        <v>0</v>
      </c>
      <c r="Q159" s="114" t="b">
        <v>0</v>
      </c>
      <c r="R159" s="114" t="b">
        <v>0</v>
      </c>
      <c r="S159" s="114" t="b">
        <v>0</v>
      </c>
      <c r="T159" s="114" t="b">
        <v>0</v>
      </c>
      <c r="U159" s="114" t="b">
        <v>0</v>
      </c>
      <c r="V159" s="114" t="b">
        <v>0</v>
      </c>
      <c r="W159" s="114" t="b">
        <v>0</v>
      </c>
      <c r="X159" s="114" t="b">
        <v>0</v>
      </c>
      <c r="Y159" s="114" t="b">
        <v>0</v>
      </c>
      <c r="Z159" s="114" t="b">
        <v>0</v>
      </c>
      <c r="AA159" s="114" t="b">
        <v>0</v>
      </c>
      <c r="AB159" s="114" t="b">
        <v>0</v>
      </c>
      <c r="AC159" s="114" t="b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 t="b">
        <v>0</v>
      </c>
      <c r="AI159" s="114" t="b">
        <v>0</v>
      </c>
      <c r="AJ159" s="114" t="b">
        <v>0</v>
      </c>
      <c r="AK159" s="114" t="b">
        <v>0</v>
      </c>
      <c r="AL159" s="115" t="str">
        <f t="shared" si="1"/>
        <v>0 dari 31 (0%)</v>
      </c>
    </row>
    <row r="160" ht="22.5" customHeight="1">
      <c r="A160" s="2">
        <v>159.0</v>
      </c>
      <c r="B160" s="11"/>
      <c r="C160" s="140"/>
      <c r="D160" s="138"/>
      <c r="E160" s="138"/>
      <c r="F160" s="13"/>
      <c r="G160" s="114" t="b">
        <v>0</v>
      </c>
      <c r="H160" s="114" t="b">
        <v>0</v>
      </c>
      <c r="I160" s="114" t="b">
        <v>0</v>
      </c>
      <c r="J160" s="114" t="b">
        <v>0</v>
      </c>
      <c r="K160" s="114" t="b">
        <v>0</v>
      </c>
      <c r="L160" s="114" t="b">
        <v>0</v>
      </c>
      <c r="M160" s="114" t="b">
        <v>0</v>
      </c>
      <c r="N160" s="114" t="b">
        <v>0</v>
      </c>
      <c r="O160" s="114" t="b">
        <v>0</v>
      </c>
      <c r="P160" s="114" t="b">
        <v>0</v>
      </c>
      <c r="Q160" s="114" t="b">
        <v>0</v>
      </c>
      <c r="R160" s="114" t="b">
        <v>0</v>
      </c>
      <c r="S160" s="114" t="b">
        <v>0</v>
      </c>
      <c r="T160" s="114" t="b">
        <v>0</v>
      </c>
      <c r="U160" s="114" t="b">
        <v>0</v>
      </c>
      <c r="V160" s="114" t="b">
        <v>0</v>
      </c>
      <c r="W160" s="114" t="b">
        <v>0</v>
      </c>
      <c r="X160" s="114" t="b">
        <v>0</v>
      </c>
      <c r="Y160" s="114" t="b">
        <v>0</v>
      </c>
      <c r="Z160" s="114" t="b">
        <v>0</v>
      </c>
      <c r="AA160" s="114" t="b">
        <v>0</v>
      </c>
      <c r="AB160" s="114" t="b">
        <v>0</v>
      </c>
      <c r="AC160" s="114" t="b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 t="b">
        <v>0</v>
      </c>
      <c r="AI160" s="114" t="b">
        <v>0</v>
      </c>
      <c r="AJ160" s="114" t="b">
        <v>0</v>
      </c>
      <c r="AK160" s="114" t="b">
        <v>0</v>
      </c>
      <c r="AL160" s="115" t="str">
        <f t="shared" si="1"/>
        <v>0 dari 31 (0%)</v>
      </c>
    </row>
    <row r="161" ht="22.5" customHeight="1">
      <c r="A161" s="10">
        <v>160.0</v>
      </c>
      <c r="B161" s="11"/>
      <c r="C161" s="140"/>
      <c r="D161" s="138"/>
      <c r="E161" s="138"/>
      <c r="F161" s="13"/>
      <c r="G161" s="114" t="b">
        <v>0</v>
      </c>
      <c r="H161" s="114" t="b">
        <v>0</v>
      </c>
      <c r="I161" s="114" t="b">
        <v>0</v>
      </c>
      <c r="J161" s="114" t="b">
        <v>0</v>
      </c>
      <c r="K161" s="114" t="b">
        <v>0</v>
      </c>
      <c r="L161" s="114" t="b">
        <v>0</v>
      </c>
      <c r="M161" s="114" t="b">
        <v>0</v>
      </c>
      <c r="N161" s="114" t="b">
        <v>0</v>
      </c>
      <c r="O161" s="114" t="b">
        <v>0</v>
      </c>
      <c r="P161" s="114" t="b">
        <v>0</v>
      </c>
      <c r="Q161" s="114" t="b">
        <v>0</v>
      </c>
      <c r="R161" s="114" t="b">
        <v>0</v>
      </c>
      <c r="S161" s="114" t="b">
        <v>0</v>
      </c>
      <c r="T161" s="114" t="b">
        <v>0</v>
      </c>
      <c r="U161" s="114" t="b">
        <v>0</v>
      </c>
      <c r="V161" s="114" t="b">
        <v>0</v>
      </c>
      <c r="W161" s="114" t="b">
        <v>0</v>
      </c>
      <c r="X161" s="114" t="b">
        <v>0</v>
      </c>
      <c r="Y161" s="114" t="b">
        <v>0</v>
      </c>
      <c r="Z161" s="114" t="b">
        <v>0</v>
      </c>
      <c r="AA161" s="114" t="b">
        <v>0</v>
      </c>
      <c r="AB161" s="114" t="b">
        <v>0</v>
      </c>
      <c r="AC161" s="114" t="b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 t="b">
        <v>0</v>
      </c>
      <c r="AI161" s="114" t="b">
        <v>0</v>
      </c>
      <c r="AJ161" s="114" t="b">
        <v>0</v>
      </c>
      <c r="AK161" s="114" t="b">
        <v>0</v>
      </c>
      <c r="AL161" s="115" t="str">
        <f t="shared" si="1"/>
        <v>0 dari 31 (0%)</v>
      </c>
    </row>
    <row r="162" ht="22.5" customHeight="1">
      <c r="A162" s="10">
        <v>161.0</v>
      </c>
      <c r="B162" s="11"/>
      <c r="C162" s="140"/>
      <c r="D162" s="138"/>
      <c r="E162" s="138"/>
      <c r="F162" s="13"/>
      <c r="G162" s="114" t="b">
        <v>0</v>
      </c>
      <c r="H162" s="114" t="b">
        <v>0</v>
      </c>
      <c r="I162" s="114" t="b">
        <v>0</v>
      </c>
      <c r="J162" s="114" t="b">
        <v>0</v>
      </c>
      <c r="K162" s="114" t="b">
        <v>0</v>
      </c>
      <c r="L162" s="114" t="b">
        <v>0</v>
      </c>
      <c r="M162" s="114" t="b">
        <v>0</v>
      </c>
      <c r="N162" s="114" t="b">
        <v>0</v>
      </c>
      <c r="O162" s="114" t="b">
        <v>0</v>
      </c>
      <c r="P162" s="114" t="b">
        <v>0</v>
      </c>
      <c r="Q162" s="114" t="b">
        <v>0</v>
      </c>
      <c r="R162" s="114" t="b">
        <v>0</v>
      </c>
      <c r="S162" s="114" t="b">
        <v>0</v>
      </c>
      <c r="T162" s="114" t="b">
        <v>0</v>
      </c>
      <c r="U162" s="114" t="b">
        <v>0</v>
      </c>
      <c r="V162" s="114" t="b">
        <v>0</v>
      </c>
      <c r="W162" s="114" t="b">
        <v>0</v>
      </c>
      <c r="X162" s="114" t="b">
        <v>0</v>
      </c>
      <c r="Y162" s="114" t="b">
        <v>0</v>
      </c>
      <c r="Z162" s="114" t="b">
        <v>0</v>
      </c>
      <c r="AA162" s="114" t="b">
        <v>0</v>
      </c>
      <c r="AB162" s="114" t="b">
        <v>0</v>
      </c>
      <c r="AC162" s="114" t="b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 t="b">
        <v>0</v>
      </c>
      <c r="AI162" s="114" t="b">
        <v>0</v>
      </c>
      <c r="AJ162" s="114" t="b">
        <v>0</v>
      </c>
      <c r="AK162" s="114" t="b">
        <v>0</v>
      </c>
      <c r="AL162" s="115" t="str">
        <f t="shared" si="1"/>
        <v>0 dari 31 (0%)</v>
      </c>
    </row>
    <row r="163" ht="22.5" customHeight="1">
      <c r="A163" s="2">
        <v>162.0</v>
      </c>
      <c r="B163" s="11"/>
      <c r="C163" s="140"/>
      <c r="D163" s="138"/>
      <c r="E163" s="138"/>
      <c r="F163" s="13"/>
      <c r="G163" s="114" t="b">
        <v>0</v>
      </c>
      <c r="H163" s="114" t="b">
        <v>0</v>
      </c>
      <c r="I163" s="114" t="b">
        <v>0</v>
      </c>
      <c r="J163" s="114" t="b">
        <v>0</v>
      </c>
      <c r="K163" s="114" t="b">
        <v>0</v>
      </c>
      <c r="L163" s="114" t="b">
        <v>0</v>
      </c>
      <c r="M163" s="114" t="b">
        <v>0</v>
      </c>
      <c r="N163" s="114" t="b">
        <v>0</v>
      </c>
      <c r="O163" s="114" t="b">
        <v>0</v>
      </c>
      <c r="P163" s="114" t="b">
        <v>0</v>
      </c>
      <c r="Q163" s="114" t="b">
        <v>0</v>
      </c>
      <c r="R163" s="114" t="b">
        <v>0</v>
      </c>
      <c r="S163" s="114" t="b">
        <v>0</v>
      </c>
      <c r="T163" s="114" t="b">
        <v>0</v>
      </c>
      <c r="U163" s="114" t="b">
        <v>0</v>
      </c>
      <c r="V163" s="114" t="b">
        <v>0</v>
      </c>
      <c r="W163" s="114" t="b">
        <v>0</v>
      </c>
      <c r="X163" s="114" t="b">
        <v>0</v>
      </c>
      <c r="Y163" s="114" t="b">
        <v>0</v>
      </c>
      <c r="Z163" s="114" t="b">
        <v>0</v>
      </c>
      <c r="AA163" s="114" t="b">
        <v>0</v>
      </c>
      <c r="AB163" s="114" t="b">
        <v>0</v>
      </c>
      <c r="AC163" s="114" t="b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 t="b">
        <v>0</v>
      </c>
      <c r="AI163" s="114" t="b">
        <v>0</v>
      </c>
      <c r="AJ163" s="114" t="b">
        <v>0</v>
      </c>
      <c r="AK163" s="114" t="b">
        <v>0</v>
      </c>
      <c r="AL163" s="115" t="str">
        <f t="shared" si="1"/>
        <v>0 dari 31 (0%)</v>
      </c>
    </row>
    <row r="164" ht="22.5" customHeight="1">
      <c r="A164" s="10">
        <v>163.0</v>
      </c>
      <c r="B164" s="11"/>
      <c r="C164" s="140"/>
      <c r="D164" s="138"/>
      <c r="E164" s="138"/>
      <c r="F164" s="13"/>
      <c r="G164" s="114" t="b">
        <v>0</v>
      </c>
      <c r="H164" s="114" t="b">
        <v>0</v>
      </c>
      <c r="I164" s="114" t="b">
        <v>0</v>
      </c>
      <c r="J164" s="114" t="b">
        <v>0</v>
      </c>
      <c r="K164" s="114" t="b">
        <v>0</v>
      </c>
      <c r="L164" s="114" t="b">
        <v>0</v>
      </c>
      <c r="M164" s="114" t="b">
        <v>0</v>
      </c>
      <c r="N164" s="114" t="b">
        <v>0</v>
      </c>
      <c r="O164" s="114" t="b">
        <v>0</v>
      </c>
      <c r="P164" s="114" t="b">
        <v>0</v>
      </c>
      <c r="Q164" s="114" t="b">
        <v>0</v>
      </c>
      <c r="R164" s="114" t="b">
        <v>0</v>
      </c>
      <c r="S164" s="114" t="b">
        <v>0</v>
      </c>
      <c r="T164" s="114" t="b">
        <v>0</v>
      </c>
      <c r="U164" s="114" t="b">
        <v>0</v>
      </c>
      <c r="V164" s="114" t="b">
        <v>0</v>
      </c>
      <c r="W164" s="114" t="b">
        <v>0</v>
      </c>
      <c r="X164" s="114" t="b">
        <v>0</v>
      </c>
      <c r="Y164" s="114" t="b">
        <v>0</v>
      </c>
      <c r="Z164" s="114" t="b">
        <v>0</v>
      </c>
      <c r="AA164" s="114" t="b">
        <v>0</v>
      </c>
      <c r="AB164" s="114" t="b">
        <v>0</v>
      </c>
      <c r="AC164" s="114" t="b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 t="b">
        <v>0</v>
      </c>
      <c r="AI164" s="114" t="b">
        <v>0</v>
      </c>
      <c r="AJ164" s="114" t="b">
        <v>0</v>
      </c>
      <c r="AK164" s="114" t="b">
        <v>0</v>
      </c>
      <c r="AL164" s="115" t="str">
        <f t="shared" si="1"/>
        <v>0 dari 31 (0%)</v>
      </c>
    </row>
    <row r="165" ht="22.5" customHeight="1">
      <c r="A165" s="10">
        <v>164.0</v>
      </c>
      <c r="B165" s="11"/>
      <c r="C165" s="140"/>
      <c r="D165" s="138"/>
      <c r="E165" s="138"/>
      <c r="F165" s="13"/>
      <c r="G165" s="114" t="b">
        <v>0</v>
      </c>
      <c r="H165" s="114" t="b">
        <v>0</v>
      </c>
      <c r="I165" s="114" t="b">
        <v>0</v>
      </c>
      <c r="J165" s="114" t="b">
        <v>0</v>
      </c>
      <c r="K165" s="114" t="b">
        <v>0</v>
      </c>
      <c r="L165" s="114" t="b">
        <v>0</v>
      </c>
      <c r="M165" s="114" t="b">
        <v>0</v>
      </c>
      <c r="N165" s="114" t="b">
        <v>0</v>
      </c>
      <c r="O165" s="114" t="b">
        <v>0</v>
      </c>
      <c r="P165" s="114" t="b">
        <v>0</v>
      </c>
      <c r="Q165" s="114" t="b">
        <v>0</v>
      </c>
      <c r="R165" s="114" t="b">
        <v>0</v>
      </c>
      <c r="S165" s="114" t="b">
        <v>0</v>
      </c>
      <c r="T165" s="114" t="b">
        <v>0</v>
      </c>
      <c r="U165" s="114" t="b">
        <v>0</v>
      </c>
      <c r="V165" s="114" t="b">
        <v>0</v>
      </c>
      <c r="W165" s="114" t="b">
        <v>0</v>
      </c>
      <c r="X165" s="114" t="b">
        <v>0</v>
      </c>
      <c r="Y165" s="114" t="b">
        <v>0</v>
      </c>
      <c r="Z165" s="114" t="b">
        <v>0</v>
      </c>
      <c r="AA165" s="114" t="b">
        <v>0</v>
      </c>
      <c r="AB165" s="114" t="b">
        <v>0</v>
      </c>
      <c r="AC165" s="114" t="b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 t="b">
        <v>0</v>
      </c>
      <c r="AI165" s="114" t="b">
        <v>0</v>
      </c>
      <c r="AJ165" s="114" t="b">
        <v>0</v>
      </c>
      <c r="AK165" s="114" t="b">
        <v>0</v>
      </c>
      <c r="AL165" s="115" t="str">
        <f t="shared" si="1"/>
        <v>0 dari 31 (0%)</v>
      </c>
    </row>
    <row r="166" ht="22.5" customHeight="1">
      <c r="A166" s="2">
        <v>165.0</v>
      </c>
      <c r="B166" s="11"/>
      <c r="C166" s="140"/>
      <c r="D166" s="138"/>
      <c r="E166" s="138"/>
      <c r="F166" s="13"/>
      <c r="G166" s="114" t="b">
        <v>0</v>
      </c>
      <c r="H166" s="114" t="b">
        <v>0</v>
      </c>
      <c r="I166" s="114" t="b">
        <v>0</v>
      </c>
      <c r="J166" s="114" t="b">
        <v>0</v>
      </c>
      <c r="K166" s="114" t="b">
        <v>0</v>
      </c>
      <c r="L166" s="114" t="b">
        <v>0</v>
      </c>
      <c r="M166" s="114" t="b">
        <v>0</v>
      </c>
      <c r="N166" s="114" t="b">
        <v>0</v>
      </c>
      <c r="O166" s="114" t="b">
        <v>0</v>
      </c>
      <c r="P166" s="114" t="b">
        <v>0</v>
      </c>
      <c r="Q166" s="114" t="b">
        <v>0</v>
      </c>
      <c r="R166" s="114" t="b">
        <v>0</v>
      </c>
      <c r="S166" s="114" t="b">
        <v>0</v>
      </c>
      <c r="T166" s="114" t="b">
        <v>0</v>
      </c>
      <c r="U166" s="114" t="b">
        <v>0</v>
      </c>
      <c r="V166" s="114" t="b">
        <v>0</v>
      </c>
      <c r="W166" s="114" t="b">
        <v>0</v>
      </c>
      <c r="X166" s="114" t="b">
        <v>0</v>
      </c>
      <c r="Y166" s="114" t="b">
        <v>0</v>
      </c>
      <c r="Z166" s="114" t="b">
        <v>0</v>
      </c>
      <c r="AA166" s="114" t="b">
        <v>0</v>
      </c>
      <c r="AB166" s="114" t="b">
        <v>0</v>
      </c>
      <c r="AC166" s="114" t="b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 t="b">
        <v>0</v>
      </c>
      <c r="AI166" s="114" t="b">
        <v>0</v>
      </c>
      <c r="AJ166" s="114" t="b">
        <v>0</v>
      </c>
      <c r="AK166" s="114" t="b">
        <v>0</v>
      </c>
      <c r="AL166" s="115" t="str">
        <f t="shared" si="1"/>
        <v>0 dari 31 (0%)</v>
      </c>
    </row>
    <row r="167" ht="22.5" customHeight="1">
      <c r="A167" s="10">
        <v>166.0</v>
      </c>
      <c r="B167" s="11"/>
      <c r="C167" s="140"/>
      <c r="D167" s="138"/>
      <c r="E167" s="138"/>
      <c r="F167" s="13"/>
      <c r="G167" s="114" t="b">
        <v>0</v>
      </c>
      <c r="H167" s="114" t="b">
        <v>0</v>
      </c>
      <c r="I167" s="114" t="b">
        <v>0</v>
      </c>
      <c r="J167" s="114" t="b">
        <v>0</v>
      </c>
      <c r="K167" s="114" t="b">
        <v>0</v>
      </c>
      <c r="L167" s="114" t="b">
        <v>0</v>
      </c>
      <c r="M167" s="114" t="b">
        <v>0</v>
      </c>
      <c r="N167" s="114" t="b">
        <v>0</v>
      </c>
      <c r="O167" s="114" t="b">
        <v>0</v>
      </c>
      <c r="P167" s="114" t="b">
        <v>0</v>
      </c>
      <c r="Q167" s="114" t="b">
        <v>0</v>
      </c>
      <c r="R167" s="114" t="b">
        <v>0</v>
      </c>
      <c r="S167" s="114" t="b">
        <v>0</v>
      </c>
      <c r="T167" s="114" t="b">
        <v>0</v>
      </c>
      <c r="U167" s="114" t="b">
        <v>0</v>
      </c>
      <c r="V167" s="114" t="b">
        <v>0</v>
      </c>
      <c r="W167" s="114" t="b">
        <v>0</v>
      </c>
      <c r="X167" s="114" t="b">
        <v>0</v>
      </c>
      <c r="Y167" s="114" t="b">
        <v>0</v>
      </c>
      <c r="Z167" s="114" t="b">
        <v>0</v>
      </c>
      <c r="AA167" s="114" t="b">
        <v>0</v>
      </c>
      <c r="AB167" s="114" t="b">
        <v>0</v>
      </c>
      <c r="AC167" s="114" t="b">
        <v>0</v>
      </c>
      <c r="AD167" s="114" t="b">
        <v>0</v>
      </c>
      <c r="AE167" s="114" t="b">
        <v>0</v>
      </c>
      <c r="AF167" s="114" t="b">
        <v>0</v>
      </c>
      <c r="AG167" s="114" t="b">
        <v>0</v>
      </c>
      <c r="AH167" s="114" t="b">
        <v>0</v>
      </c>
      <c r="AI167" s="114" t="b">
        <v>0</v>
      </c>
      <c r="AJ167" s="114" t="b">
        <v>0</v>
      </c>
      <c r="AK167" s="114" t="b">
        <v>0</v>
      </c>
      <c r="AL167" s="115" t="str">
        <f t="shared" si="1"/>
        <v>0 dari 31 (0%)</v>
      </c>
    </row>
    <row r="168" ht="22.5" customHeight="1">
      <c r="A168" s="10">
        <v>167.0</v>
      </c>
      <c r="B168" s="11"/>
      <c r="C168" s="140"/>
      <c r="D168" s="138"/>
      <c r="E168" s="138"/>
      <c r="F168" s="13"/>
      <c r="G168" s="114" t="b">
        <v>0</v>
      </c>
      <c r="H168" s="114" t="b">
        <v>0</v>
      </c>
      <c r="I168" s="114" t="b">
        <v>0</v>
      </c>
      <c r="J168" s="114" t="b">
        <v>0</v>
      </c>
      <c r="K168" s="114" t="b">
        <v>0</v>
      </c>
      <c r="L168" s="114" t="b">
        <v>0</v>
      </c>
      <c r="M168" s="114" t="b">
        <v>0</v>
      </c>
      <c r="N168" s="114" t="b">
        <v>0</v>
      </c>
      <c r="O168" s="114" t="b">
        <v>0</v>
      </c>
      <c r="P168" s="114" t="b">
        <v>0</v>
      </c>
      <c r="Q168" s="114" t="b">
        <v>0</v>
      </c>
      <c r="R168" s="114" t="b">
        <v>0</v>
      </c>
      <c r="S168" s="114" t="b">
        <v>0</v>
      </c>
      <c r="T168" s="114" t="b">
        <v>0</v>
      </c>
      <c r="U168" s="114" t="b">
        <v>0</v>
      </c>
      <c r="V168" s="114" t="b">
        <v>0</v>
      </c>
      <c r="W168" s="114" t="b">
        <v>0</v>
      </c>
      <c r="X168" s="114" t="b">
        <v>0</v>
      </c>
      <c r="Y168" s="114" t="b">
        <v>0</v>
      </c>
      <c r="Z168" s="114" t="b">
        <v>0</v>
      </c>
      <c r="AA168" s="114" t="b">
        <v>0</v>
      </c>
      <c r="AB168" s="114" t="b">
        <v>0</v>
      </c>
      <c r="AC168" s="114" t="b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 t="b">
        <v>0</v>
      </c>
      <c r="AI168" s="114" t="b">
        <v>0</v>
      </c>
      <c r="AJ168" s="114" t="b">
        <v>0</v>
      </c>
      <c r="AK168" s="114" t="b">
        <v>0</v>
      </c>
      <c r="AL168" s="115" t="str">
        <f t="shared" si="1"/>
        <v>0 dari 31 (0%)</v>
      </c>
    </row>
    <row r="169" ht="22.5" customHeight="1">
      <c r="A169" s="2">
        <v>168.0</v>
      </c>
      <c r="B169" s="11"/>
      <c r="C169" s="140"/>
      <c r="D169" s="138"/>
      <c r="E169" s="138"/>
      <c r="F169" s="13"/>
      <c r="G169" s="114" t="b">
        <v>0</v>
      </c>
      <c r="H169" s="114" t="b">
        <v>0</v>
      </c>
      <c r="I169" s="114" t="b">
        <v>0</v>
      </c>
      <c r="J169" s="114" t="b">
        <v>0</v>
      </c>
      <c r="K169" s="114" t="b">
        <v>0</v>
      </c>
      <c r="L169" s="114" t="b">
        <v>0</v>
      </c>
      <c r="M169" s="114" t="b">
        <v>0</v>
      </c>
      <c r="N169" s="114" t="b">
        <v>0</v>
      </c>
      <c r="O169" s="114" t="b">
        <v>0</v>
      </c>
      <c r="P169" s="114" t="b">
        <v>0</v>
      </c>
      <c r="Q169" s="114" t="b">
        <v>0</v>
      </c>
      <c r="R169" s="114" t="b">
        <v>0</v>
      </c>
      <c r="S169" s="114" t="b">
        <v>0</v>
      </c>
      <c r="T169" s="114" t="b">
        <v>0</v>
      </c>
      <c r="U169" s="114" t="b">
        <v>0</v>
      </c>
      <c r="V169" s="114" t="b">
        <v>0</v>
      </c>
      <c r="W169" s="114" t="b">
        <v>0</v>
      </c>
      <c r="X169" s="114" t="b">
        <v>0</v>
      </c>
      <c r="Y169" s="114" t="b">
        <v>0</v>
      </c>
      <c r="Z169" s="114" t="b">
        <v>0</v>
      </c>
      <c r="AA169" s="114" t="b">
        <v>0</v>
      </c>
      <c r="AB169" s="114" t="b">
        <v>0</v>
      </c>
      <c r="AC169" s="114" t="b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 t="b">
        <v>0</v>
      </c>
      <c r="AI169" s="114" t="b">
        <v>0</v>
      </c>
      <c r="AJ169" s="114" t="b">
        <v>0</v>
      </c>
      <c r="AK169" s="114" t="b">
        <v>0</v>
      </c>
      <c r="AL169" s="115" t="str">
        <f t="shared" si="1"/>
        <v>0 dari 31 (0%)</v>
      </c>
    </row>
    <row r="170" ht="22.5" customHeight="1">
      <c r="A170" s="10">
        <v>169.0</v>
      </c>
      <c r="B170" s="11"/>
      <c r="C170" s="140"/>
      <c r="D170" s="138"/>
      <c r="E170" s="138"/>
      <c r="F170" s="13"/>
      <c r="G170" s="114" t="b">
        <v>0</v>
      </c>
      <c r="H170" s="114" t="b">
        <v>0</v>
      </c>
      <c r="I170" s="114" t="b">
        <v>0</v>
      </c>
      <c r="J170" s="114" t="b">
        <v>0</v>
      </c>
      <c r="K170" s="114" t="b">
        <v>0</v>
      </c>
      <c r="L170" s="114" t="b">
        <v>0</v>
      </c>
      <c r="M170" s="114" t="b">
        <v>0</v>
      </c>
      <c r="N170" s="114" t="b">
        <v>0</v>
      </c>
      <c r="O170" s="114" t="b">
        <v>0</v>
      </c>
      <c r="P170" s="114" t="b">
        <v>0</v>
      </c>
      <c r="Q170" s="114" t="b">
        <v>0</v>
      </c>
      <c r="R170" s="114" t="b">
        <v>0</v>
      </c>
      <c r="S170" s="114" t="b">
        <v>0</v>
      </c>
      <c r="T170" s="114" t="b">
        <v>0</v>
      </c>
      <c r="U170" s="114" t="b">
        <v>0</v>
      </c>
      <c r="V170" s="114" t="b">
        <v>0</v>
      </c>
      <c r="W170" s="114" t="b">
        <v>0</v>
      </c>
      <c r="X170" s="114" t="b">
        <v>0</v>
      </c>
      <c r="Y170" s="114" t="b">
        <v>0</v>
      </c>
      <c r="Z170" s="114" t="b">
        <v>0</v>
      </c>
      <c r="AA170" s="114" t="b">
        <v>0</v>
      </c>
      <c r="AB170" s="114" t="b">
        <v>0</v>
      </c>
      <c r="AC170" s="114" t="b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 t="b">
        <v>0</v>
      </c>
      <c r="AI170" s="114" t="b">
        <v>0</v>
      </c>
      <c r="AJ170" s="114" t="b">
        <v>0</v>
      </c>
      <c r="AK170" s="114" t="b">
        <v>0</v>
      </c>
      <c r="AL170" s="115" t="str">
        <f t="shared" si="1"/>
        <v>0 dari 31 (0%)</v>
      </c>
    </row>
    <row r="171" ht="22.5" customHeight="1">
      <c r="A171" s="10">
        <v>170.0</v>
      </c>
      <c r="B171" s="11"/>
      <c r="C171" s="140"/>
      <c r="D171" s="138"/>
      <c r="E171" s="138"/>
      <c r="F171" s="13"/>
      <c r="G171" s="114" t="b">
        <v>0</v>
      </c>
      <c r="H171" s="114" t="b">
        <v>0</v>
      </c>
      <c r="I171" s="114" t="b">
        <v>0</v>
      </c>
      <c r="J171" s="114" t="b">
        <v>0</v>
      </c>
      <c r="K171" s="114" t="b">
        <v>0</v>
      </c>
      <c r="L171" s="114" t="b">
        <v>0</v>
      </c>
      <c r="M171" s="114" t="b">
        <v>0</v>
      </c>
      <c r="N171" s="114" t="b">
        <v>0</v>
      </c>
      <c r="O171" s="114" t="b">
        <v>0</v>
      </c>
      <c r="P171" s="114" t="b">
        <v>0</v>
      </c>
      <c r="Q171" s="114" t="b">
        <v>0</v>
      </c>
      <c r="R171" s="114" t="b">
        <v>0</v>
      </c>
      <c r="S171" s="114" t="b">
        <v>0</v>
      </c>
      <c r="T171" s="114" t="b">
        <v>0</v>
      </c>
      <c r="U171" s="114" t="b">
        <v>0</v>
      </c>
      <c r="V171" s="114" t="b">
        <v>0</v>
      </c>
      <c r="W171" s="114" t="b">
        <v>0</v>
      </c>
      <c r="X171" s="114" t="b">
        <v>0</v>
      </c>
      <c r="Y171" s="114" t="b">
        <v>0</v>
      </c>
      <c r="Z171" s="114" t="b">
        <v>0</v>
      </c>
      <c r="AA171" s="114" t="b">
        <v>0</v>
      </c>
      <c r="AB171" s="114" t="b">
        <v>0</v>
      </c>
      <c r="AC171" s="114" t="b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 t="b">
        <v>0</v>
      </c>
      <c r="AI171" s="114" t="b">
        <v>0</v>
      </c>
      <c r="AJ171" s="114" t="b">
        <v>0</v>
      </c>
      <c r="AK171" s="114" t="b">
        <v>0</v>
      </c>
      <c r="AL171" s="115" t="str">
        <f t="shared" si="1"/>
        <v>0 dari 31 (0%)</v>
      </c>
    </row>
    <row r="172" ht="22.5" customHeight="1">
      <c r="A172" s="2">
        <v>171.0</v>
      </c>
      <c r="B172" s="11"/>
      <c r="C172" s="140"/>
      <c r="D172" s="138"/>
      <c r="E172" s="138"/>
      <c r="F172" s="13"/>
      <c r="G172" s="114" t="b">
        <v>0</v>
      </c>
      <c r="H172" s="114" t="b">
        <v>0</v>
      </c>
      <c r="I172" s="114" t="b">
        <v>0</v>
      </c>
      <c r="J172" s="114" t="b">
        <v>0</v>
      </c>
      <c r="K172" s="114" t="b">
        <v>0</v>
      </c>
      <c r="L172" s="114" t="b">
        <v>0</v>
      </c>
      <c r="M172" s="114" t="b">
        <v>0</v>
      </c>
      <c r="N172" s="114" t="b">
        <v>0</v>
      </c>
      <c r="O172" s="114" t="b">
        <v>0</v>
      </c>
      <c r="P172" s="114" t="b">
        <v>0</v>
      </c>
      <c r="Q172" s="114" t="b">
        <v>0</v>
      </c>
      <c r="R172" s="114" t="b">
        <v>0</v>
      </c>
      <c r="S172" s="114" t="b">
        <v>0</v>
      </c>
      <c r="T172" s="114" t="b">
        <v>0</v>
      </c>
      <c r="U172" s="114" t="b">
        <v>0</v>
      </c>
      <c r="V172" s="114" t="b">
        <v>0</v>
      </c>
      <c r="W172" s="114" t="b">
        <v>0</v>
      </c>
      <c r="X172" s="114" t="b">
        <v>0</v>
      </c>
      <c r="Y172" s="114" t="b">
        <v>0</v>
      </c>
      <c r="Z172" s="114" t="b">
        <v>0</v>
      </c>
      <c r="AA172" s="114" t="b">
        <v>0</v>
      </c>
      <c r="AB172" s="114" t="b">
        <v>0</v>
      </c>
      <c r="AC172" s="114" t="b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 t="b">
        <v>0</v>
      </c>
      <c r="AI172" s="114" t="b">
        <v>0</v>
      </c>
      <c r="AJ172" s="114" t="b">
        <v>0</v>
      </c>
      <c r="AK172" s="114" t="b">
        <v>0</v>
      </c>
      <c r="AL172" s="115" t="str">
        <f t="shared" si="1"/>
        <v>0 dari 31 (0%)</v>
      </c>
    </row>
    <row r="173" ht="22.5" customHeight="1">
      <c r="A173" s="10">
        <v>172.0</v>
      </c>
      <c r="B173" s="11"/>
      <c r="C173" s="140"/>
      <c r="D173" s="138"/>
      <c r="E173" s="138"/>
      <c r="F173" s="13"/>
      <c r="G173" s="114" t="b">
        <v>0</v>
      </c>
      <c r="H173" s="114" t="b">
        <v>0</v>
      </c>
      <c r="I173" s="114" t="b">
        <v>0</v>
      </c>
      <c r="J173" s="114" t="b">
        <v>0</v>
      </c>
      <c r="K173" s="114" t="b">
        <v>0</v>
      </c>
      <c r="L173" s="114" t="b">
        <v>0</v>
      </c>
      <c r="M173" s="114" t="b">
        <v>0</v>
      </c>
      <c r="N173" s="114" t="b">
        <v>0</v>
      </c>
      <c r="O173" s="114" t="b">
        <v>0</v>
      </c>
      <c r="P173" s="114" t="b">
        <v>0</v>
      </c>
      <c r="Q173" s="114" t="b">
        <v>0</v>
      </c>
      <c r="R173" s="114" t="b">
        <v>0</v>
      </c>
      <c r="S173" s="114" t="b">
        <v>0</v>
      </c>
      <c r="T173" s="114" t="b">
        <v>0</v>
      </c>
      <c r="U173" s="114" t="b">
        <v>0</v>
      </c>
      <c r="V173" s="114" t="b">
        <v>0</v>
      </c>
      <c r="W173" s="114" t="b">
        <v>0</v>
      </c>
      <c r="X173" s="114" t="b">
        <v>0</v>
      </c>
      <c r="Y173" s="114" t="b">
        <v>0</v>
      </c>
      <c r="Z173" s="114" t="b">
        <v>0</v>
      </c>
      <c r="AA173" s="114" t="b">
        <v>0</v>
      </c>
      <c r="AB173" s="114" t="b">
        <v>0</v>
      </c>
      <c r="AC173" s="114" t="b">
        <v>0</v>
      </c>
      <c r="AD173" s="114" t="b">
        <v>0</v>
      </c>
      <c r="AE173" s="114" t="b">
        <v>0</v>
      </c>
      <c r="AF173" s="114" t="b">
        <v>0</v>
      </c>
      <c r="AG173" s="114" t="b">
        <v>0</v>
      </c>
      <c r="AH173" s="114" t="b">
        <v>0</v>
      </c>
      <c r="AI173" s="114" t="b">
        <v>0</v>
      </c>
      <c r="AJ173" s="114" t="b">
        <v>0</v>
      </c>
      <c r="AK173" s="114" t="b">
        <v>0</v>
      </c>
      <c r="AL173" s="115" t="str">
        <f t="shared" si="1"/>
        <v>0 dari 31 (0%)</v>
      </c>
    </row>
    <row r="174" ht="22.5" customHeight="1">
      <c r="A174" s="10">
        <v>173.0</v>
      </c>
      <c r="B174" s="11"/>
      <c r="C174" s="140"/>
      <c r="D174" s="138"/>
      <c r="E174" s="138"/>
      <c r="F174" s="13"/>
      <c r="G174" s="114" t="b">
        <v>0</v>
      </c>
      <c r="H174" s="114" t="b">
        <v>0</v>
      </c>
      <c r="I174" s="114" t="b">
        <v>0</v>
      </c>
      <c r="J174" s="114" t="b">
        <v>0</v>
      </c>
      <c r="K174" s="114" t="b">
        <v>0</v>
      </c>
      <c r="L174" s="114" t="b">
        <v>0</v>
      </c>
      <c r="M174" s="114" t="b">
        <v>0</v>
      </c>
      <c r="N174" s="114" t="b">
        <v>0</v>
      </c>
      <c r="O174" s="114" t="b">
        <v>0</v>
      </c>
      <c r="P174" s="114" t="b">
        <v>0</v>
      </c>
      <c r="Q174" s="114" t="b">
        <v>0</v>
      </c>
      <c r="R174" s="114" t="b">
        <v>0</v>
      </c>
      <c r="S174" s="114" t="b">
        <v>0</v>
      </c>
      <c r="T174" s="114" t="b">
        <v>0</v>
      </c>
      <c r="U174" s="114" t="b">
        <v>0</v>
      </c>
      <c r="V174" s="114" t="b">
        <v>0</v>
      </c>
      <c r="W174" s="114" t="b">
        <v>0</v>
      </c>
      <c r="X174" s="114" t="b">
        <v>0</v>
      </c>
      <c r="Y174" s="114" t="b">
        <v>0</v>
      </c>
      <c r="Z174" s="114" t="b">
        <v>0</v>
      </c>
      <c r="AA174" s="114" t="b">
        <v>0</v>
      </c>
      <c r="AB174" s="114" t="b">
        <v>0</v>
      </c>
      <c r="AC174" s="114" t="b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 t="b">
        <v>0</v>
      </c>
      <c r="AI174" s="114" t="b">
        <v>0</v>
      </c>
      <c r="AJ174" s="114" t="b">
        <v>0</v>
      </c>
      <c r="AK174" s="114" t="b">
        <v>0</v>
      </c>
      <c r="AL174" s="115" t="str">
        <f t="shared" si="1"/>
        <v>0 dari 31 (0%)</v>
      </c>
    </row>
    <row r="175" ht="22.5" customHeight="1">
      <c r="A175" s="2">
        <v>174.0</v>
      </c>
      <c r="B175" s="11"/>
      <c r="C175" s="140"/>
      <c r="D175" s="138"/>
      <c r="E175" s="138"/>
      <c r="F175" s="13"/>
      <c r="G175" s="114" t="b">
        <v>0</v>
      </c>
      <c r="H175" s="114" t="b">
        <v>0</v>
      </c>
      <c r="I175" s="114" t="b">
        <v>0</v>
      </c>
      <c r="J175" s="114" t="b">
        <v>0</v>
      </c>
      <c r="K175" s="114" t="b">
        <v>0</v>
      </c>
      <c r="L175" s="114" t="b">
        <v>0</v>
      </c>
      <c r="M175" s="114" t="b">
        <v>0</v>
      </c>
      <c r="N175" s="114" t="b">
        <v>0</v>
      </c>
      <c r="O175" s="114" t="b">
        <v>0</v>
      </c>
      <c r="P175" s="114" t="b">
        <v>0</v>
      </c>
      <c r="Q175" s="114" t="b">
        <v>0</v>
      </c>
      <c r="R175" s="114" t="b">
        <v>0</v>
      </c>
      <c r="S175" s="114" t="b">
        <v>0</v>
      </c>
      <c r="T175" s="114" t="b">
        <v>0</v>
      </c>
      <c r="U175" s="114" t="b">
        <v>0</v>
      </c>
      <c r="V175" s="114" t="b">
        <v>0</v>
      </c>
      <c r="W175" s="114" t="b">
        <v>0</v>
      </c>
      <c r="X175" s="114" t="b">
        <v>0</v>
      </c>
      <c r="Y175" s="114" t="b">
        <v>0</v>
      </c>
      <c r="Z175" s="114" t="b">
        <v>0</v>
      </c>
      <c r="AA175" s="114" t="b">
        <v>0</v>
      </c>
      <c r="AB175" s="114" t="b">
        <v>0</v>
      </c>
      <c r="AC175" s="114" t="b">
        <v>0</v>
      </c>
      <c r="AD175" s="114" t="b">
        <v>0</v>
      </c>
      <c r="AE175" s="114" t="b">
        <v>0</v>
      </c>
      <c r="AF175" s="114" t="b">
        <v>0</v>
      </c>
      <c r="AG175" s="114" t="b">
        <v>0</v>
      </c>
      <c r="AH175" s="114" t="b">
        <v>0</v>
      </c>
      <c r="AI175" s="114" t="b">
        <v>0</v>
      </c>
      <c r="AJ175" s="114" t="b">
        <v>0</v>
      </c>
      <c r="AK175" s="114" t="b">
        <v>0</v>
      </c>
      <c r="AL175" s="115" t="str">
        <f t="shared" si="1"/>
        <v>0 dari 31 (0%)</v>
      </c>
    </row>
    <row r="176" ht="22.5" customHeight="1">
      <c r="A176" s="10">
        <v>175.0</v>
      </c>
      <c r="B176" s="11"/>
      <c r="C176" s="140"/>
      <c r="D176" s="138"/>
      <c r="E176" s="138"/>
      <c r="F176" s="13"/>
      <c r="G176" s="114" t="b">
        <v>0</v>
      </c>
      <c r="H176" s="114" t="b">
        <v>0</v>
      </c>
      <c r="I176" s="114" t="b">
        <v>0</v>
      </c>
      <c r="J176" s="114" t="b">
        <v>0</v>
      </c>
      <c r="K176" s="114" t="b">
        <v>0</v>
      </c>
      <c r="L176" s="114" t="b">
        <v>0</v>
      </c>
      <c r="M176" s="114" t="b">
        <v>0</v>
      </c>
      <c r="N176" s="114" t="b">
        <v>0</v>
      </c>
      <c r="O176" s="114" t="b">
        <v>0</v>
      </c>
      <c r="P176" s="114" t="b">
        <v>0</v>
      </c>
      <c r="Q176" s="114" t="b">
        <v>0</v>
      </c>
      <c r="R176" s="114" t="b">
        <v>0</v>
      </c>
      <c r="S176" s="114" t="b">
        <v>0</v>
      </c>
      <c r="T176" s="114" t="b">
        <v>0</v>
      </c>
      <c r="U176" s="114" t="b">
        <v>0</v>
      </c>
      <c r="V176" s="114" t="b">
        <v>0</v>
      </c>
      <c r="W176" s="114" t="b">
        <v>0</v>
      </c>
      <c r="X176" s="114" t="b">
        <v>0</v>
      </c>
      <c r="Y176" s="114" t="b">
        <v>0</v>
      </c>
      <c r="Z176" s="114" t="b">
        <v>0</v>
      </c>
      <c r="AA176" s="114" t="b">
        <v>0</v>
      </c>
      <c r="AB176" s="114" t="b">
        <v>0</v>
      </c>
      <c r="AC176" s="114" t="b">
        <v>0</v>
      </c>
      <c r="AD176" s="114" t="b">
        <v>0</v>
      </c>
      <c r="AE176" s="114" t="b">
        <v>0</v>
      </c>
      <c r="AF176" s="114" t="b">
        <v>0</v>
      </c>
      <c r="AG176" s="114" t="b">
        <v>0</v>
      </c>
      <c r="AH176" s="114" t="b">
        <v>0</v>
      </c>
      <c r="AI176" s="114" t="b">
        <v>0</v>
      </c>
      <c r="AJ176" s="114" t="b">
        <v>0</v>
      </c>
      <c r="AK176" s="114" t="b">
        <v>0</v>
      </c>
      <c r="AL176" s="115" t="str">
        <f t="shared" si="1"/>
        <v>0 dari 31 (0%)</v>
      </c>
    </row>
    <row r="177" ht="22.5" customHeight="1">
      <c r="A177" s="10">
        <v>176.0</v>
      </c>
      <c r="B177" s="11"/>
      <c r="C177" s="140"/>
      <c r="D177" s="138"/>
      <c r="E177" s="138"/>
      <c r="F177" s="13"/>
      <c r="G177" s="114" t="b">
        <v>0</v>
      </c>
      <c r="H177" s="114" t="b">
        <v>0</v>
      </c>
      <c r="I177" s="114" t="b">
        <v>0</v>
      </c>
      <c r="J177" s="114" t="b">
        <v>0</v>
      </c>
      <c r="K177" s="114" t="b">
        <v>0</v>
      </c>
      <c r="L177" s="114" t="b">
        <v>0</v>
      </c>
      <c r="M177" s="114" t="b">
        <v>0</v>
      </c>
      <c r="N177" s="114" t="b">
        <v>0</v>
      </c>
      <c r="O177" s="114" t="b">
        <v>0</v>
      </c>
      <c r="P177" s="114" t="b">
        <v>0</v>
      </c>
      <c r="Q177" s="114" t="b">
        <v>0</v>
      </c>
      <c r="R177" s="114" t="b">
        <v>0</v>
      </c>
      <c r="S177" s="114" t="b">
        <v>0</v>
      </c>
      <c r="T177" s="114" t="b">
        <v>0</v>
      </c>
      <c r="U177" s="114" t="b">
        <v>0</v>
      </c>
      <c r="V177" s="114" t="b">
        <v>0</v>
      </c>
      <c r="W177" s="114" t="b">
        <v>0</v>
      </c>
      <c r="X177" s="114" t="b">
        <v>0</v>
      </c>
      <c r="Y177" s="114" t="b">
        <v>0</v>
      </c>
      <c r="Z177" s="114" t="b">
        <v>0</v>
      </c>
      <c r="AA177" s="114" t="b">
        <v>0</v>
      </c>
      <c r="AB177" s="114" t="b">
        <v>0</v>
      </c>
      <c r="AC177" s="114" t="b">
        <v>0</v>
      </c>
      <c r="AD177" s="114" t="b">
        <v>0</v>
      </c>
      <c r="AE177" s="114" t="b">
        <v>0</v>
      </c>
      <c r="AF177" s="114" t="b">
        <v>0</v>
      </c>
      <c r="AG177" s="114" t="b">
        <v>0</v>
      </c>
      <c r="AH177" s="114" t="b">
        <v>0</v>
      </c>
      <c r="AI177" s="114" t="b">
        <v>0</v>
      </c>
      <c r="AJ177" s="114" t="b">
        <v>0</v>
      </c>
      <c r="AK177" s="114" t="b">
        <v>0</v>
      </c>
      <c r="AL177" s="115" t="str">
        <f t="shared" si="1"/>
        <v>0 dari 31 (0%)</v>
      </c>
    </row>
    <row r="178" ht="22.5" customHeight="1">
      <c r="A178" s="2">
        <v>177.0</v>
      </c>
      <c r="B178" s="11"/>
      <c r="C178" s="140"/>
      <c r="D178" s="138"/>
      <c r="E178" s="138"/>
      <c r="F178" s="13"/>
      <c r="G178" s="114" t="b">
        <v>0</v>
      </c>
      <c r="H178" s="114" t="b">
        <v>0</v>
      </c>
      <c r="I178" s="114" t="b">
        <v>0</v>
      </c>
      <c r="J178" s="114" t="b">
        <v>0</v>
      </c>
      <c r="K178" s="114" t="b">
        <v>0</v>
      </c>
      <c r="L178" s="114" t="b">
        <v>0</v>
      </c>
      <c r="M178" s="114" t="b">
        <v>0</v>
      </c>
      <c r="N178" s="114" t="b">
        <v>0</v>
      </c>
      <c r="O178" s="114" t="b">
        <v>0</v>
      </c>
      <c r="P178" s="114" t="b">
        <v>0</v>
      </c>
      <c r="Q178" s="114" t="b">
        <v>0</v>
      </c>
      <c r="R178" s="114" t="b">
        <v>0</v>
      </c>
      <c r="S178" s="114" t="b">
        <v>0</v>
      </c>
      <c r="T178" s="114" t="b">
        <v>0</v>
      </c>
      <c r="U178" s="114" t="b">
        <v>0</v>
      </c>
      <c r="V178" s="114" t="b">
        <v>0</v>
      </c>
      <c r="W178" s="114" t="b">
        <v>0</v>
      </c>
      <c r="X178" s="114" t="b">
        <v>0</v>
      </c>
      <c r="Y178" s="114" t="b">
        <v>0</v>
      </c>
      <c r="Z178" s="114" t="b">
        <v>0</v>
      </c>
      <c r="AA178" s="114" t="b">
        <v>0</v>
      </c>
      <c r="AB178" s="114" t="b">
        <v>0</v>
      </c>
      <c r="AC178" s="114" t="b">
        <v>0</v>
      </c>
      <c r="AD178" s="114" t="b">
        <v>0</v>
      </c>
      <c r="AE178" s="114" t="b">
        <v>0</v>
      </c>
      <c r="AF178" s="114" t="b">
        <v>0</v>
      </c>
      <c r="AG178" s="114" t="b">
        <v>0</v>
      </c>
      <c r="AH178" s="114" t="b">
        <v>0</v>
      </c>
      <c r="AI178" s="114" t="b">
        <v>0</v>
      </c>
      <c r="AJ178" s="114" t="b">
        <v>0</v>
      </c>
      <c r="AK178" s="114" t="b">
        <v>0</v>
      </c>
      <c r="AL178" s="115" t="str">
        <f t="shared" si="1"/>
        <v>0 dari 31 (0%)</v>
      </c>
    </row>
    <row r="179" ht="22.5" customHeight="1">
      <c r="A179" s="10">
        <v>178.0</v>
      </c>
      <c r="B179" s="11"/>
      <c r="C179" s="140"/>
      <c r="D179" s="138"/>
      <c r="E179" s="138"/>
      <c r="F179" s="13"/>
      <c r="G179" s="114" t="b">
        <v>0</v>
      </c>
      <c r="H179" s="114" t="b">
        <v>0</v>
      </c>
      <c r="I179" s="114" t="b">
        <v>0</v>
      </c>
      <c r="J179" s="114" t="b">
        <v>0</v>
      </c>
      <c r="K179" s="114" t="b">
        <v>0</v>
      </c>
      <c r="L179" s="114" t="b">
        <v>0</v>
      </c>
      <c r="M179" s="114" t="b">
        <v>0</v>
      </c>
      <c r="N179" s="114" t="b">
        <v>0</v>
      </c>
      <c r="O179" s="114" t="b">
        <v>0</v>
      </c>
      <c r="P179" s="114" t="b">
        <v>0</v>
      </c>
      <c r="Q179" s="114" t="b">
        <v>0</v>
      </c>
      <c r="R179" s="114" t="b">
        <v>0</v>
      </c>
      <c r="S179" s="114" t="b">
        <v>0</v>
      </c>
      <c r="T179" s="114" t="b">
        <v>0</v>
      </c>
      <c r="U179" s="114" t="b">
        <v>0</v>
      </c>
      <c r="V179" s="114" t="b">
        <v>0</v>
      </c>
      <c r="W179" s="114" t="b">
        <v>0</v>
      </c>
      <c r="X179" s="114" t="b">
        <v>0</v>
      </c>
      <c r="Y179" s="114" t="b">
        <v>0</v>
      </c>
      <c r="Z179" s="114" t="b">
        <v>0</v>
      </c>
      <c r="AA179" s="114" t="b">
        <v>0</v>
      </c>
      <c r="AB179" s="114" t="b">
        <v>0</v>
      </c>
      <c r="AC179" s="114" t="b">
        <v>0</v>
      </c>
      <c r="AD179" s="114" t="b">
        <v>0</v>
      </c>
      <c r="AE179" s="114" t="b">
        <v>0</v>
      </c>
      <c r="AF179" s="114" t="b">
        <v>0</v>
      </c>
      <c r="AG179" s="114" t="b">
        <v>0</v>
      </c>
      <c r="AH179" s="114" t="b">
        <v>0</v>
      </c>
      <c r="AI179" s="114" t="b">
        <v>0</v>
      </c>
      <c r="AJ179" s="114" t="b">
        <v>0</v>
      </c>
      <c r="AK179" s="114" t="b">
        <v>0</v>
      </c>
      <c r="AL179" s="115" t="str">
        <f t="shared" si="1"/>
        <v>0 dari 31 (0%)</v>
      </c>
    </row>
    <row r="180" ht="22.5" customHeight="1">
      <c r="A180" s="10">
        <v>179.0</v>
      </c>
      <c r="B180" s="11"/>
      <c r="C180" s="140"/>
      <c r="D180" s="138"/>
      <c r="E180" s="138"/>
      <c r="F180" s="13"/>
      <c r="G180" s="114" t="b">
        <v>0</v>
      </c>
      <c r="H180" s="114" t="b">
        <v>0</v>
      </c>
      <c r="I180" s="114" t="b">
        <v>0</v>
      </c>
      <c r="J180" s="114" t="b">
        <v>0</v>
      </c>
      <c r="K180" s="114" t="b">
        <v>0</v>
      </c>
      <c r="L180" s="114" t="b">
        <v>0</v>
      </c>
      <c r="M180" s="114" t="b">
        <v>0</v>
      </c>
      <c r="N180" s="114" t="b">
        <v>0</v>
      </c>
      <c r="O180" s="114" t="b">
        <v>0</v>
      </c>
      <c r="P180" s="114" t="b">
        <v>0</v>
      </c>
      <c r="Q180" s="114" t="b">
        <v>0</v>
      </c>
      <c r="R180" s="114" t="b">
        <v>0</v>
      </c>
      <c r="S180" s="114" t="b">
        <v>0</v>
      </c>
      <c r="T180" s="114" t="b">
        <v>0</v>
      </c>
      <c r="U180" s="114" t="b">
        <v>0</v>
      </c>
      <c r="V180" s="114" t="b">
        <v>0</v>
      </c>
      <c r="W180" s="114" t="b">
        <v>0</v>
      </c>
      <c r="X180" s="114" t="b">
        <v>0</v>
      </c>
      <c r="Y180" s="114" t="b">
        <v>0</v>
      </c>
      <c r="Z180" s="114" t="b">
        <v>0</v>
      </c>
      <c r="AA180" s="114" t="b">
        <v>0</v>
      </c>
      <c r="AB180" s="114" t="b">
        <v>0</v>
      </c>
      <c r="AC180" s="114" t="b">
        <v>0</v>
      </c>
      <c r="AD180" s="114" t="b">
        <v>0</v>
      </c>
      <c r="AE180" s="114" t="b">
        <v>0</v>
      </c>
      <c r="AF180" s="114" t="b">
        <v>0</v>
      </c>
      <c r="AG180" s="114" t="b">
        <v>0</v>
      </c>
      <c r="AH180" s="114" t="b">
        <v>0</v>
      </c>
      <c r="AI180" s="114" t="b">
        <v>0</v>
      </c>
      <c r="AJ180" s="114" t="b">
        <v>0</v>
      </c>
      <c r="AK180" s="114" t="b">
        <v>0</v>
      </c>
      <c r="AL180" s="115" t="str">
        <f t="shared" si="1"/>
        <v>0 dari 31 (0%)</v>
      </c>
    </row>
    <row r="181" ht="22.5" customHeight="1">
      <c r="A181" s="2">
        <v>180.0</v>
      </c>
      <c r="B181" s="11"/>
      <c r="C181" s="140"/>
      <c r="D181" s="138"/>
      <c r="E181" s="138"/>
      <c r="F181" s="13"/>
      <c r="G181" s="114" t="b">
        <v>0</v>
      </c>
      <c r="H181" s="114" t="b">
        <v>0</v>
      </c>
      <c r="I181" s="114" t="b">
        <v>0</v>
      </c>
      <c r="J181" s="114" t="b">
        <v>0</v>
      </c>
      <c r="K181" s="114" t="b">
        <v>0</v>
      </c>
      <c r="L181" s="114" t="b">
        <v>0</v>
      </c>
      <c r="M181" s="114" t="b">
        <v>0</v>
      </c>
      <c r="N181" s="114" t="b">
        <v>0</v>
      </c>
      <c r="O181" s="114" t="b">
        <v>0</v>
      </c>
      <c r="P181" s="114" t="b">
        <v>0</v>
      </c>
      <c r="Q181" s="114" t="b">
        <v>0</v>
      </c>
      <c r="R181" s="114" t="b">
        <v>0</v>
      </c>
      <c r="S181" s="114" t="b">
        <v>0</v>
      </c>
      <c r="T181" s="114" t="b">
        <v>0</v>
      </c>
      <c r="U181" s="114" t="b">
        <v>0</v>
      </c>
      <c r="V181" s="114" t="b">
        <v>0</v>
      </c>
      <c r="W181" s="114" t="b">
        <v>0</v>
      </c>
      <c r="X181" s="114" t="b">
        <v>0</v>
      </c>
      <c r="Y181" s="114" t="b">
        <v>0</v>
      </c>
      <c r="Z181" s="114" t="b">
        <v>0</v>
      </c>
      <c r="AA181" s="114" t="b">
        <v>0</v>
      </c>
      <c r="AB181" s="114" t="b">
        <v>0</v>
      </c>
      <c r="AC181" s="114" t="b">
        <v>0</v>
      </c>
      <c r="AD181" s="114" t="b">
        <v>0</v>
      </c>
      <c r="AE181" s="114" t="b">
        <v>0</v>
      </c>
      <c r="AF181" s="114" t="b">
        <v>0</v>
      </c>
      <c r="AG181" s="114" t="b">
        <v>0</v>
      </c>
      <c r="AH181" s="114" t="b">
        <v>0</v>
      </c>
      <c r="AI181" s="114" t="b">
        <v>0</v>
      </c>
      <c r="AJ181" s="114" t="b">
        <v>0</v>
      </c>
      <c r="AK181" s="114" t="b">
        <v>0</v>
      </c>
      <c r="AL181" s="115" t="str">
        <f t="shared" si="1"/>
        <v>0 dari 31 (0%)</v>
      </c>
    </row>
    <row r="182" ht="22.5" customHeight="1">
      <c r="A182" s="10">
        <v>181.0</v>
      </c>
      <c r="B182" s="11"/>
      <c r="C182" s="140"/>
      <c r="D182" s="138"/>
      <c r="E182" s="138"/>
      <c r="F182" s="13"/>
      <c r="G182" s="114" t="b">
        <v>0</v>
      </c>
      <c r="H182" s="114" t="b">
        <v>0</v>
      </c>
      <c r="I182" s="114" t="b">
        <v>0</v>
      </c>
      <c r="J182" s="114" t="b">
        <v>0</v>
      </c>
      <c r="K182" s="114" t="b">
        <v>0</v>
      </c>
      <c r="L182" s="114" t="b">
        <v>0</v>
      </c>
      <c r="M182" s="114" t="b">
        <v>0</v>
      </c>
      <c r="N182" s="114" t="b">
        <v>0</v>
      </c>
      <c r="O182" s="114" t="b">
        <v>0</v>
      </c>
      <c r="P182" s="114" t="b">
        <v>0</v>
      </c>
      <c r="Q182" s="114" t="b">
        <v>0</v>
      </c>
      <c r="R182" s="114" t="b">
        <v>0</v>
      </c>
      <c r="S182" s="114" t="b">
        <v>0</v>
      </c>
      <c r="T182" s="114" t="b">
        <v>0</v>
      </c>
      <c r="U182" s="114" t="b">
        <v>0</v>
      </c>
      <c r="V182" s="114" t="b">
        <v>0</v>
      </c>
      <c r="W182" s="114" t="b">
        <v>0</v>
      </c>
      <c r="X182" s="114" t="b">
        <v>0</v>
      </c>
      <c r="Y182" s="114" t="b">
        <v>0</v>
      </c>
      <c r="Z182" s="114" t="b">
        <v>0</v>
      </c>
      <c r="AA182" s="114" t="b">
        <v>0</v>
      </c>
      <c r="AB182" s="114" t="b">
        <v>0</v>
      </c>
      <c r="AC182" s="114" t="b">
        <v>0</v>
      </c>
      <c r="AD182" s="114" t="b">
        <v>0</v>
      </c>
      <c r="AE182" s="114" t="b">
        <v>0</v>
      </c>
      <c r="AF182" s="114" t="b">
        <v>0</v>
      </c>
      <c r="AG182" s="114" t="b">
        <v>0</v>
      </c>
      <c r="AH182" s="114" t="b">
        <v>0</v>
      </c>
      <c r="AI182" s="114" t="b">
        <v>0</v>
      </c>
      <c r="AJ182" s="114" t="b">
        <v>0</v>
      </c>
      <c r="AK182" s="114" t="b">
        <v>0</v>
      </c>
      <c r="AL182" s="115" t="str">
        <f t="shared" si="1"/>
        <v>0 dari 31 (0%)</v>
      </c>
    </row>
    <row r="183" ht="22.5" customHeight="1">
      <c r="A183" s="10">
        <v>182.0</v>
      </c>
      <c r="B183" s="11"/>
      <c r="C183" s="140"/>
      <c r="D183" s="138"/>
      <c r="E183" s="138"/>
      <c r="F183" s="13"/>
      <c r="G183" s="114" t="b">
        <v>0</v>
      </c>
      <c r="H183" s="114" t="b">
        <v>0</v>
      </c>
      <c r="I183" s="114" t="b">
        <v>0</v>
      </c>
      <c r="J183" s="114" t="b">
        <v>0</v>
      </c>
      <c r="K183" s="114" t="b">
        <v>0</v>
      </c>
      <c r="L183" s="114" t="b">
        <v>0</v>
      </c>
      <c r="M183" s="114" t="b">
        <v>0</v>
      </c>
      <c r="N183" s="114" t="b">
        <v>0</v>
      </c>
      <c r="O183" s="114" t="b">
        <v>0</v>
      </c>
      <c r="P183" s="114" t="b">
        <v>0</v>
      </c>
      <c r="Q183" s="114" t="b">
        <v>0</v>
      </c>
      <c r="R183" s="114" t="b">
        <v>0</v>
      </c>
      <c r="S183" s="114" t="b">
        <v>0</v>
      </c>
      <c r="T183" s="114" t="b">
        <v>0</v>
      </c>
      <c r="U183" s="114" t="b">
        <v>0</v>
      </c>
      <c r="V183" s="114" t="b">
        <v>0</v>
      </c>
      <c r="W183" s="114" t="b">
        <v>0</v>
      </c>
      <c r="X183" s="114" t="b">
        <v>0</v>
      </c>
      <c r="Y183" s="114" t="b">
        <v>0</v>
      </c>
      <c r="Z183" s="114" t="b">
        <v>0</v>
      </c>
      <c r="AA183" s="114" t="b">
        <v>0</v>
      </c>
      <c r="AB183" s="114" t="b">
        <v>0</v>
      </c>
      <c r="AC183" s="114" t="b">
        <v>0</v>
      </c>
      <c r="AD183" s="114" t="b">
        <v>0</v>
      </c>
      <c r="AE183" s="114" t="b">
        <v>0</v>
      </c>
      <c r="AF183" s="114" t="b">
        <v>0</v>
      </c>
      <c r="AG183" s="114" t="b">
        <v>0</v>
      </c>
      <c r="AH183" s="114" t="b">
        <v>0</v>
      </c>
      <c r="AI183" s="114" t="b">
        <v>0</v>
      </c>
      <c r="AJ183" s="114" t="b">
        <v>0</v>
      </c>
      <c r="AK183" s="114" t="b">
        <v>0</v>
      </c>
      <c r="AL183" s="115" t="str">
        <f t="shared" si="1"/>
        <v>0 dari 31 (0%)</v>
      </c>
    </row>
    <row r="184" ht="22.5" customHeight="1">
      <c r="A184" s="2">
        <v>183.0</v>
      </c>
      <c r="B184" s="11"/>
      <c r="C184" s="140"/>
      <c r="D184" s="138"/>
      <c r="E184" s="138"/>
      <c r="F184" s="13"/>
      <c r="G184" s="114" t="b">
        <v>0</v>
      </c>
      <c r="H184" s="114" t="b">
        <v>0</v>
      </c>
      <c r="I184" s="114" t="b">
        <v>0</v>
      </c>
      <c r="J184" s="114" t="b">
        <v>0</v>
      </c>
      <c r="K184" s="114" t="b">
        <v>0</v>
      </c>
      <c r="L184" s="114" t="b">
        <v>0</v>
      </c>
      <c r="M184" s="114" t="b">
        <v>0</v>
      </c>
      <c r="N184" s="114" t="b">
        <v>0</v>
      </c>
      <c r="O184" s="114" t="b">
        <v>0</v>
      </c>
      <c r="P184" s="114" t="b">
        <v>0</v>
      </c>
      <c r="Q184" s="114" t="b">
        <v>0</v>
      </c>
      <c r="R184" s="114" t="b">
        <v>0</v>
      </c>
      <c r="S184" s="114" t="b">
        <v>0</v>
      </c>
      <c r="T184" s="114" t="b">
        <v>0</v>
      </c>
      <c r="U184" s="114" t="b">
        <v>0</v>
      </c>
      <c r="V184" s="114" t="b">
        <v>0</v>
      </c>
      <c r="W184" s="114" t="b">
        <v>0</v>
      </c>
      <c r="X184" s="114" t="b">
        <v>0</v>
      </c>
      <c r="Y184" s="114" t="b">
        <v>0</v>
      </c>
      <c r="Z184" s="114" t="b">
        <v>0</v>
      </c>
      <c r="AA184" s="114" t="b">
        <v>0</v>
      </c>
      <c r="AB184" s="114" t="b">
        <v>0</v>
      </c>
      <c r="AC184" s="114" t="b">
        <v>0</v>
      </c>
      <c r="AD184" s="114" t="b">
        <v>0</v>
      </c>
      <c r="AE184" s="114" t="b">
        <v>0</v>
      </c>
      <c r="AF184" s="114" t="b">
        <v>0</v>
      </c>
      <c r="AG184" s="114" t="b">
        <v>0</v>
      </c>
      <c r="AH184" s="114" t="b">
        <v>0</v>
      </c>
      <c r="AI184" s="114" t="b">
        <v>0</v>
      </c>
      <c r="AJ184" s="114" t="b">
        <v>0</v>
      </c>
      <c r="AK184" s="114" t="b">
        <v>0</v>
      </c>
      <c r="AL184" s="115" t="str">
        <f t="shared" si="1"/>
        <v>0 dari 31 (0%)</v>
      </c>
    </row>
    <row r="185" ht="22.5" customHeight="1">
      <c r="A185" s="10">
        <v>184.0</v>
      </c>
      <c r="B185" s="11"/>
      <c r="C185" s="140"/>
      <c r="D185" s="138"/>
      <c r="E185" s="138"/>
      <c r="F185" s="13"/>
      <c r="G185" s="114" t="b">
        <v>0</v>
      </c>
      <c r="H185" s="114" t="b">
        <v>0</v>
      </c>
      <c r="I185" s="114" t="b">
        <v>0</v>
      </c>
      <c r="J185" s="114" t="b">
        <v>0</v>
      </c>
      <c r="K185" s="114" t="b">
        <v>0</v>
      </c>
      <c r="L185" s="114" t="b">
        <v>0</v>
      </c>
      <c r="M185" s="114" t="b">
        <v>0</v>
      </c>
      <c r="N185" s="114" t="b">
        <v>0</v>
      </c>
      <c r="O185" s="114" t="b">
        <v>0</v>
      </c>
      <c r="P185" s="114" t="b">
        <v>0</v>
      </c>
      <c r="Q185" s="114" t="b">
        <v>0</v>
      </c>
      <c r="R185" s="114" t="b">
        <v>0</v>
      </c>
      <c r="S185" s="114" t="b">
        <v>0</v>
      </c>
      <c r="T185" s="114" t="b">
        <v>0</v>
      </c>
      <c r="U185" s="114" t="b">
        <v>0</v>
      </c>
      <c r="V185" s="114" t="b">
        <v>0</v>
      </c>
      <c r="W185" s="114" t="b">
        <v>0</v>
      </c>
      <c r="X185" s="114" t="b">
        <v>0</v>
      </c>
      <c r="Y185" s="114" t="b">
        <v>0</v>
      </c>
      <c r="Z185" s="114" t="b">
        <v>0</v>
      </c>
      <c r="AA185" s="114" t="b">
        <v>0</v>
      </c>
      <c r="AB185" s="114" t="b">
        <v>0</v>
      </c>
      <c r="AC185" s="114" t="b">
        <v>0</v>
      </c>
      <c r="AD185" s="114" t="b">
        <v>0</v>
      </c>
      <c r="AE185" s="114" t="b">
        <v>0</v>
      </c>
      <c r="AF185" s="114" t="b">
        <v>0</v>
      </c>
      <c r="AG185" s="114" t="b">
        <v>0</v>
      </c>
      <c r="AH185" s="114" t="b">
        <v>0</v>
      </c>
      <c r="AI185" s="114" t="b">
        <v>0</v>
      </c>
      <c r="AJ185" s="114" t="b">
        <v>0</v>
      </c>
      <c r="AK185" s="114" t="b">
        <v>0</v>
      </c>
      <c r="AL185" s="115" t="str">
        <f t="shared" si="1"/>
        <v>0 dari 31 (0%)</v>
      </c>
    </row>
    <row r="186" ht="22.5" customHeight="1">
      <c r="A186" s="10">
        <v>185.0</v>
      </c>
      <c r="B186" s="11"/>
      <c r="C186" s="140"/>
      <c r="D186" s="138"/>
      <c r="E186" s="138"/>
      <c r="F186" s="13"/>
      <c r="G186" s="114" t="b">
        <v>0</v>
      </c>
      <c r="H186" s="114" t="b">
        <v>0</v>
      </c>
      <c r="I186" s="114" t="b">
        <v>0</v>
      </c>
      <c r="J186" s="114" t="b">
        <v>0</v>
      </c>
      <c r="K186" s="114" t="b">
        <v>0</v>
      </c>
      <c r="L186" s="114" t="b">
        <v>0</v>
      </c>
      <c r="M186" s="114" t="b">
        <v>0</v>
      </c>
      <c r="N186" s="114" t="b">
        <v>0</v>
      </c>
      <c r="O186" s="114" t="b">
        <v>0</v>
      </c>
      <c r="P186" s="114" t="b">
        <v>0</v>
      </c>
      <c r="Q186" s="114" t="b">
        <v>0</v>
      </c>
      <c r="R186" s="114" t="b">
        <v>0</v>
      </c>
      <c r="S186" s="114" t="b">
        <v>0</v>
      </c>
      <c r="T186" s="114" t="b">
        <v>0</v>
      </c>
      <c r="U186" s="114" t="b">
        <v>0</v>
      </c>
      <c r="V186" s="114" t="b">
        <v>0</v>
      </c>
      <c r="W186" s="114" t="b">
        <v>0</v>
      </c>
      <c r="X186" s="114" t="b">
        <v>0</v>
      </c>
      <c r="Y186" s="114" t="b">
        <v>0</v>
      </c>
      <c r="Z186" s="114" t="b">
        <v>0</v>
      </c>
      <c r="AA186" s="114" t="b">
        <v>0</v>
      </c>
      <c r="AB186" s="114" t="b">
        <v>0</v>
      </c>
      <c r="AC186" s="114" t="b">
        <v>0</v>
      </c>
      <c r="AD186" s="114" t="b">
        <v>0</v>
      </c>
      <c r="AE186" s="114" t="b">
        <v>0</v>
      </c>
      <c r="AF186" s="114" t="b">
        <v>0</v>
      </c>
      <c r="AG186" s="114" t="b">
        <v>0</v>
      </c>
      <c r="AH186" s="114" t="b">
        <v>0</v>
      </c>
      <c r="AI186" s="114" t="b">
        <v>0</v>
      </c>
      <c r="AJ186" s="114" t="b">
        <v>0</v>
      </c>
      <c r="AK186" s="114" t="b">
        <v>0</v>
      </c>
      <c r="AL186" s="115" t="str">
        <f t="shared" si="1"/>
        <v>0 dari 31 (0%)</v>
      </c>
    </row>
    <row r="187" ht="22.5" customHeight="1">
      <c r="A187" s="2">
        <v>186.0</v>
      </c>
      <c r="B187" s="11"/>
      <c r="C187" s="140"/>
      <c r="D187" s="138"/>
      <c r="E187" s="138"/>
      <c r="F187" s="13"/>
      <c r="G187" s="114" t="b">
        <v>0</v>
      </c>
      <c r="H187" s="114" t="b">
        <v>0</v>
      </c>
      <c r="I187" s="114" t="b">
        <v>0</v>
      </c>
      <c r="J187" s="114" t="b">
        <v>0</v>
      </c>
      <c r="K187" s="114" t="b">
        <v>0</v>
      </c>
      <c r="L187" s="114" t="b">
        <v>0</v>
      </c>
      <c r="M187" s="114" t="b">
        <v>0</v>
      </c>
      <c r="N187" s="114" t="b">
        <v>0</v>
      </c>
      <c r="O187" s="114" t="b">
        <v>0</v>
      </c>
      <c r="P187" s="114" t="b">
        <v>0</v>
      </c>
      <c r="Q187" s="114" t="b">
        <v>0</v>
      </c>
      <c r="R187" s="114" t="b">
        <v>0</v>
      </c>
      <c r="S187" s="114" t="b">
        <v>0</v>
      </c>
      <c r="T187" s="114" t="b">
        <v>0</v>
      </c>
      <c r="U187" s="114" t="b">
        <v>0</v>
      </c>
      <c r="V187" s="114" t="b">
        <v>0</v>
      </c>
      <c r="W187" s="114" t="b">
        <v>0</v>
      </c>
      <c r="X187" s="114" t="b">
        <v>0</v>
      </c>
      <c r="Y187" s="114" t="b">
        <v>0</v>
      </c>
      <c r="Z187" s="114" t="b">
        <v>0</v>
      </c>
      <c r="AA187" s="114" t="b">
        <v>0</v>
      </c>
      <c r="AB187" s="114" t="b">
        <v>0</v>
      </c>
      <c r="AC187" s="114" t="b">
        <v>0</v>
      </c>
      <c r="AD187" s="114" t="b">
        <v>0</v>
      </c>
      <c r="AE187" s="114" t="b">
        <v>0</v>
      </c>
      <c r="AF187" s="114" t="b">
        <v>0</v>
      </c>
      <c r="AG187" s="114" t="b">
        <v>0</v>
      </c>
      <c r="AH187" s="114" t="b">
        <v>0</v>
      </c>
      <c r="AI187" s="114" t="b">
        <v>0</v>
      </c>
      <c r="AJ187" s="114" t="b">
        <v>0</v>
      </c>
      <c r="AK187" s="114" t="b">
        <v>0</v>
      </c>
      <c r="AL187" s="115" t="str">
        <f t="shared" si="1"/>
        <v>0 dari 31 (0%)</v>
      </c>
    </row>
    <row r="188" ht="22.5" customHeight="1">
      <c r="A188" s="10">
        <v>187.0</v>
      </c>
      <c r="B188" s="11"/>
      <c r="C188" s="140"/>
      <c r="D188" s="138"/>
      <c r="E188" s="138"/>
      <c r="F188" s="13"/>
      <c r="G188" s="114" t="b">
        <v>0</v>
      </c>
      <c r="H188" s="114" t="b">
        <v>0</v>
      </c>
      <c r="I188" s="114" t="b">
        <v>0</v>
      </c>
      <c r="J188" s="114" t="b">
        <v>0</v>
      </c>
      <c r="K188" s="114" t="b">
        <v>0</v>
      </c>
      <c r="L188" s="114" t="b">
        <v>0</v>
      </c>
      <c r="M188" s="114" t="b">
        <v>0</v>
      </c>
      <c r="N188" s="114" t="b">
        <v>0</v>
      </c>
      <c r="O188" s="114" t="b">
        <v>0</v>
      </c>
      <c r="P188" s="114" t="b">
        <v>0</v>
      </c>
      <c r="Q188" s="114" t="b">
        <v>0</v>
      </c>
      <c r="R188" s="114" t="b">
        <v>0</v>
      </c>
      <c r="S188" s="114" t="b">
        <v>0</v>
      </c>
      <c r="T188" s="114" t="b">
        <v>0</v>
      </c>
      <c r="U188" s="114" t="b">
        <v>0</v>
      </c>
      <c r="V188" s="114" t="b">
        <v>0</v>
      </c>
      <c r="W188" s="114" t="b">
        <v>0</v>
      </c>
      <c r="X188" s="114" t="b">
        <v>0</v>
      </c>
      <c r="Y188" s="114" t="b">
        <v>0</v>
      </c>
      <c r="Z188" s="114" t="b">
        <v>0</v>
      </c>
      <c r="AA188" s="114" t="b">
        <v>0</v>
      </c>
      <c r="AB188" s="114" t="b">
        <v>0</v>
      </c>
      <c r="AC188" s="114" t="b">
        <v>0</v>
      </c>
      <c r="AD188" s="114" t="b">
        <v>0</v>
      </c>
      <c r="AE188" s="114" t="b">
        <v>0</v>
      </c>
      <c r="AF188" s="114" t="b">
        <v>0</v>
      </c>
      <c r="AG188" s="114" t="b">
        <v>0</v>
      </c>
      <c r="AH188" s="114" t="b">
        <v>0</v>
      </c>
      <c r="AI188" s="114" t="b">
        <v>0</v>
      </c>
      <c r="AJ188" s="114" t="b">
        <v>0</v>
      </c>
      <c r="AK188" s="114" t="b">
        <v>0</v>
      </c>
      <c r="AL188" s="115" t="str">
        <f t="shared" si="1"/>
        <v>0 dari 31 (0%)</v>
      </c>
    </row>
    <row r="189" ht="22.5" customHeight="1">
      <c r="A189" s="10">
        <v>188.0</v>
      </c>
      <c r="B189" s="11"/>
      <c r="C189" s="140"/>
      <c r="D189" s="138"/>
      <c r="E189" s="138"/>
      <c r="F189" s="13"/>
      <c r="G189" s="114" t="b">
        <v>0</v>
      </c>
      <c r="H189" s="114" t="b">
        <v>0</v>
      </c>
      <c r="I189" s="114" t="b">
        <v>0</v>
      </c>
      <c r="J189" s="114" t="b">
        <v>0</v>
      </c>
      <c r="K189" s="114" t="b">
        <v>0</v>
      </c>
      <c r="L189" s="114" t="b">
        <v>0</v>
      </c>
      <c r="M189" s="114" t="b">
        <v>0</v>
      </c>
      <c r="N189" s="114" t="b">
        <v>0</v>
      </c>
      <c r="O189" s="114" t="b">
        <v>0</v>
      </c>
      <c r="P189" s="114" t="b">
        <v>0</v>
      </c>
      <c r="Q189" s="114" t="b">
        <v>0</v>
      </c>
      <c r="R189" s="114" t="b">
        <v>0</v>
      </c>
      <c r="S189" s="114" t="b">
        <v>0</v>
      </c>
      <c r="T189" s="114" t="b">
        <v>0</v>
      </c>
      <c r="U189" s="114" t="b">
        <v>0</v>
      </c>
      <c r="V189" s="114" t="b">
        <v>0</v>
      </c>
      <c r="W189" s="114" t="b">
        <v>0</v>
      </c>
      <c r="X189" s="114" t="b">
        <v>0</v>
      </c>
      <c r="Y189" s="114" t="b">
        <v>0</v>
      </c>
      <c r="Z189" s="114" t="b">
        <v>0</v>
      </c>
      <c r="AA189" s="114" t="b">
        <v>0</v>
      </c>
      <c r="AB189" s="114" t="b">
        <v>0</v>
      </c>
      <c r="AC189" s="114" t="b">
        <v>0</v>
      </c>
      <c r="AD189" s="114" t="b">
        <v>0</v>
      </c>
      <c r="AE189" s="114" t="b">
        <v>0</v>
      </c>
      <c r="AF189" s="114" t="b">
        <v>0</v>
      </c>
      <c r="AG189" s="114" t="b">
        <v>0</v>
      </c>
      <c r="AH189" s="114" t="b">
        <v>0</v>
      </c>
      <c r="AI189" s="114" t="b">
        <v>0</v>
      </c>
      <c r="AJ189" s="114" t="b">
        <v>0</v>
      </c>
      <c r="AK189" s="114" t="b">
        <v>0</v>
      </c>
      <c r="AL189" s="115" t="str">
        <f t="shared" si="1"/>
        <v>0 dari 31 (0%)</v>
      </c>
    </row>
    <row r="190" ht="22.5" customHeight="1">
      <c r="A190" s="2">
        <v>189.0</v>
      </c>
      <c r="B190" s="11"/>
      <c r="C190" s="140"/>
      <c r="D190" s="138"/>
      <c r="E190" s="138"/>
      <c r="F190" s="13"/>
      <c r="G190" s="114" t="b">
        <v>0</v>
      </c>
      <c r="H190" s="114" t="b">
        <v>0</v>
      </c>
      <c r="I190" s="114" t="b">
        <v>0</v>
      </c>
      <c r="J190" s="114" t="b">
        <v>0</v>
      </c>
      <c r="K190" s="114" t="b">
        <v>0</v>
      </c>
      <c r="L190" s="114" t="b">
        <v>0</v>
      </c>
      <c r="M190" s="114" t="b">
        <v>0</v>
      </c>
      <c r="N190" s="114" t="b">
        <v>0</v>
      </c>
      <c r="O190" s="114" t="b">
        <v>0</v>
      </c>
      <c r="P190" s="114" t="b">
        <v>0</v>
      </c>
      <c r="Q190" s="114" t="b">
        <v>0</v>
      </c>
      <c r="R190" s="114" t="b">
        <v>0</v>
      </c>
      <c r="S190" s="114" t="b">
        <v>0</v>
      </c>
      <c r="T190" s="114" t="b">
        <v>0</v>
      </c>
      <c r="U190" s="114" t="b">
        <v>0</v>
      </c>
      <c r="V190" s="114" t="b">
        <v>0</v>
      </c>
      <c r="W190" s="114" t="b">
        <v>0</v>
      </c>
      <c r="X190" s="114" t="b">
        <v>0</v>
      </c>
      <c r="Y190" s="114" t="b">
        <v>0</v>
      </c>
      <c r="Z190" s="114" t="b">
        <v>0</v>
      </c>
      <c r="AA190" s="114" t="b">
        <v>0</v>
      </c>
      <c r="AB190" s="114" t="b">
        <v>0</v>
      </c>
      <c r="AC190" s="114" t="b">
        <v>0</v>
      </c>
      <c r="AD190" s="114" t="b">
        <v>0</v>
      </c>
      <c r="AE190" s="114" t="b">
        <v>0</v>
      </c>
      <c r="AF190" s="114" t="b">
        <v>0</v>
      </c>
      <c r="AG190" s="114" t="b">
        <v>0</v>
      </c>
      <c r="AH190" s="114" t="b">
        <v>0</v>
      </c>
      <c r="AI190" s="114" t="b">
        <v>0</v>
      </c>
      <c r="AJ190" s="114" t="b">
        <v>0</v>
      </c>
      <c r="AK190" s="114" t="b">
        <v>0</v>
      </c>
      <c r="AL190" s="115" t="str">
        <f t="shared" si="1"/>
        <v>0 dari 31 (0%)</v>
      </c>
    </row>
    <row r="191" ht="22.5" customHeight="1">
      <c r="A191" s="10">
        <v>190.0</v>
      </c>
      <c r="B191" s="11"/>
      <c r="C191" s="140"/>
      <c r="D191" s="138"/>
      <c r="E191" s="138"/>
      <c r="F191" s="13"/>
      <c r="G191" s="114" t="b">
        <v>0</v>
      </c>
      <c r="H191" s="114" t="b">
        <v>0</v>
      </c>
      <c r="I191" s="114" t="b">
        <v>0</v>
      </c>
      <c r="J191" s="114" t="b">
        <v>0</v>
      </c>
      <c r="K191" s="114" t="b">
        <v>0</v>
      </c>
      <c r="L191" s="114" t="b">
        <v>0</v>
      </c>
      <c r="M191" s="114" t="b">
        <v>0</v>
      </c>
      <c r="N191" s="114" t="b">
        <v>0</v>
      </c>
      <c r="O191" s="114" t="b">
        <v>0</v>
      </c>
      <c r="P191" s="114" t="b">
        <v>0</v>
      </c>
      <c r="Q191" s="114" t="b">
        <v>0</v>
      </c>
      <c r="R191" s="114" t="b">
        <v>0</v>
      </c>
      <c r="S191" s="114" t="b">
        <v>0</v>
      </c>
      <c r="T191" s="114" t="b">
        <v>0</v>
      </c>
      <c r="U191" s="114" t="b">
        <v>0</v>
      </c>
      <c r="V191" s="114" t="b">
        <v>0</v>
      </c>
      <c r="W191" s="114" t="b">
        <v>0</v>
      </c>
      <c r="X191" s="114" t="b">
        <v>0</v>
      </c>
      <c r="Y191" s="114" t="b">
        <v>0</v>
      </c>
      <c r="Z191" s="114" t="b">
        <v>0</v>
      </c>
      <c r="AA191" s="114" t="b">
        <v>0</v>
      </c>
      <c r="AB191" s="114" t="b">
        <v>0</v>
      </c>
      <c r="AC191" s="114" t="b">
        <v>0</v>
      </c>
      <c r="AD191" s="114" t="b">
        <v>0</v>
      </c>
      <c r="AE191" s="114" t="b">
        <v>0</v>
      </c>
      <c r="AF191" s="114" t="b">
        <v>0</v>
      </c>
      <c r="AG191" s="114" t="b">
        <v>0</v>
      </c>
      <c r="AH191" s="114" t="b">
        <v>0</v>
      </c>
      <c r="AI191" s="114" t="b">
        <v>0</v>
      </c>
      <c r="AJ191" s="114" t="b">
        <v>0</v>
      </c>
      <c r="AK191" s="114" t="b">
        <v>0</v>
      </c>
      <c r="AL191" s="115" t="str">
        <f t="shared" si="1"/>
        <v>0 dari 31 (0%)</v>
      </c>
    </row>
    <row r="192" ht="22.5" customHeight="1">
      <c r="A192" s="10">
        <v>191.0</v>
      </c>
      <c r="B192" s="11"/>
      <c r="C192" s="140"/>
      <c r="D192" s="138"/>
      <c r="E192" s="138"/>
      <c r="F192" s="13"/>
      <c r="G192" s="114" t="b">
        <v>0</v>
      </c>
      <c r="H192" s="114" t="b">
        <v>0</v>
      </c>
      <c r="I192" s="114" t="b">
        <v>0</v>
      </c>
      <c r="J192" s="114" t="b">
        <v>0</v>
      </c>
      <c r="K192" s="114" t="b">
        <v>0</v>
      </c>
      <c r="L192" s="114" t="b">
        <v>0</v>
      </c>
      <c r="M192" s="114" t="b">
        <v>0</v>
      </c>
      <c r="N192" s="114" t="b">
        <v>0</v>
      </c>
      <c r="O192" s="114" t="b">
        <v>0</v>
      </c>
      <c r="P192" s="114" t="b">
        <v>0</v>
      </c>
      <c r="Q192" s="114" t="b">
        <v>0</v>
      </c>
      <c r="R192" s="114" t="b">
        <v>0</v>
      </c>
      <c r="S192" s="114" t="b">
        <v>0</v>
      </c>
      <c r="T192" s="114" t="b">
        <v>0</v>
      </c>
      <c r="U192" s="114" t="b">
        <v>0</v>
      </c>
      <c r="V192" s="114" t="b">
        <v>0</v>
      </c>
      <c r="W192" s="114" t="b">
        <v>0</v>
      </c>
      <c r="X192" s="114" t="b">
        <v>0</v>
      </c>
      <c r="Y192" s="114" t="b">
        <v>0</v>
      </c>
      <c r="Z192" s="114" t="b">
        <v>0</v>
      </c>
      <c r="AA192" s="114" t="b">
        <v>0</v>
      </c>
      <c r="AB192" s="114" t="b">
        <v>0</v>
      </c>
      <c r="AC192" s="114" t="b">
        <v>0</v>
      </c>
      <c r="AD192" s="114" t="b">
        <v>0</v>
      </c>
      <c r="AE192" s="114" t="b">
        <v>0</v>
      </c>
      <c r="AF192" s="114" t="b">
        <v>0</v>
      </c>
      <c r="AG192" s="114" t="b">
        <v>0</v>
      </c>
      <c r="AH192" s="114" t="b">
        <v>0</v>
      </c>
      <c r="AI192" s="114" t="b">
        <v>0</v>
      </c>
      <c r="AJ192" s="114" t="b">
        <v>0</v>
      </c>
      <c r="AK192" s="114" t="b">
        <v>0</v>
      </c>
      <c r="AL192" s="115" t="str">
        <f t="shared" si="1"/>
        <v>0 dari 31 (0%)</v>
      </c>
    </row>
    <row r="193" ht="22.5" customHeight="1">
      <c r="A193" s="2">
        <v>192.0</v>
      </c>
      <c r="B193" s="11"/>
      <c r="C193" s="140"/>
      <c r="D193" s="138"/>
      <c r="E193" s="138"/>
      <c r="F193" s="13"/>
      <c r="G193" s="114" t="b">
        <v>0</v>
      </c>
      <c r="H193" s="114" t="b">
        <v>0</v>
      </c>
      <c r="I193" s="114" t="b">
        <v>0</v>
      </c>
      <c r="J193" s="114" t="b">
        <v>0</v>
      </c>
      <c r="K193" s="114" t="b">
        <v>0</v>
      </c>
      <c r="L193" s="114" t="b">
        <v>0</v>
      </c>
      <c r="M193" s="114" t="b">
        <v>0</v>
      </c>
      <c r="N193" s="114" t="b">
        <v>0</v>
      </c>
      <c r="O193" s="114" t="b">
        <v>0</v>
      </c>
      <c r="P193" s="114" t="b">
        <v>0</v>
      </c>
      <c r="Q193" s="114" t="b">
        <v>0</v>
      </c>
      <c r="R193" s="114" t="b">
        <v>0</v>
      </c>
      <c r="S193" s="114" t="b">
        <v>0</v>
      </c>
      <c r="T193" s="114" t="b">
        <v>0</v>
      </c>
      <c r="U193" s="114" t="b">
        <v>0</v>
      </c>
      <c r="V193" s="114" t="b">
        <v>0</v>
      </c>
      <c r="W193" s="114" t="b">
        <v>0</v>
      </c>
      <c r="X193" s="114" t="b">
        <v>0</v>
      </c>
      <c r="Y193" s="114" t="b">
        <v>0</v>
      </c>
      <c r="Z193" s="114" t="b">
        <v>0</v>
      </c>
      <c r="AA193" s="114" t="b">
        <v>0</v>
      </c>
      <c r="AB193" s="114" t="b">
        <v>0</v>
      </c>
      <c r="AC193" s="114" t="b">
        <v>0</v>
      </c>
      <c r="AD193" s="114" t="b">
        <v>0</v>
      </c>
      <c r="AE193" s="114" t="b">
        <v>0</v>
      </c>
      <c r="AF193" s="114" t="b">
        <v>0</v>
      </c>
      <c r="AG193" s="114" t="b">
        <v>0</v>
      </c>
      <c r="AH193" s="114" t="b">
        <v>0</v>
      </c>
      <c r="AI193" s="114" t="b">
        <v>0</v>
      </c>
      <c r="AJ193" s="114" t="b">
        <v>0</v>
      </c>
      <c r="AK193" s="114" t="b">
        <v>0</v>
      </c>
      <c r="AL193" s="115" t="str">
        <f t="shared" si="1"/>
        <v>0 dari 31 (0%)</v>
      </c>
    </row>
    <row r="194" ht="22.5" customHeight="1">
      <c r="A194" s="10">
        <v>193.0</v>
      </c>
      <c r="B194" s="11"/>
      <c r="C194" s="140"/>
      <c r="D194" s="138"/>
      <c r="E194" s="138"/>
      <c r="F194" s="13"/>
      <c r="G194" s="114" t="b">
        <v>0</v>
      </c>
      <c r="H194" s="114" t="b">
        <v>0</v>
      </c>
      <c r="I194" s="114" t="b">
        <v>0</v>
      </c>
      <c r="J194" s="114" t="b">
        <v>0</v>
      </c>
      <c r="K194" s="114" t="b">
        <v>0</v>
      </c>
      <c r="L194" s="114" t="b">
        <v>0</v>
      </c>
      <c r="M194" s="114" t="b">
        <v>0</v>
      </c>
      <c r="N194" s="114" t="b">
        <v>0</v>
      </c>
      <c r="O194" s="114" t="b">
        <v>0</v>
      </c>
      <c r="P194" s="114" t="b">
        <v>0</v>
      </c>
      <c r="Q194" s="114" t="b">
        <v>0</v>
      </c>
      <c r="R194" s="114" t="b">
        <v>0</v>
      </c>
      <c r="S194" s="114" t="b">
        <v>0</v>
      </c>
      <c r="T194" s="114" t="b">
        <v>0</v>
      </c>
      <c r="U194" s="114" t="b">
        <v>0</v>
      </c>
      <c r="V194" s="114" t="b">
        <v>0</v>
      </c>
      <c r="W194" s="114" t="b">
        <v>0</v>
      </c>
      <c r="X194" s="114" t="b">
        <v>0</v>
      </c>
      <c r="Y194" s="114" t="b">
        <v>0</v>
      </c>
      <c r="Z194" s="114" t="b">
        <v>0</v>
      </c>
      <c r="AA194" s="114" t="b">
        <v>0</v>
      </c>
      <c r="AB194" s="114" t="b">
        <v>0</v>
      </c>
      <c r="AC194" s="114" t="b">
        <v>0</v>
      </c>
      <c r="AD194" s="114" t="b">
        <v>0</v>
      </c>
      <c r="AE194" s="114" t="b">
        <v>0</v>
      </c>
      <c r="AF194" s="114" t="b">
        <v>0</v>
      </c>
      <c r="AG194" s="114" t="b">
        <v>0</v>
      </c>
      <c r="AH194" s="114" t="b">
        <v>0</v>
      </c>
      <c r="AI194" s="114" t="b">
        <v>0</v>
      </c>
      <c r="AJ194" s="114" t="b">
        <v>0</v>
      </c>
      <c r="AK194" s="114" t="b">
        <v>0</v>
      </c>
      <c r="AL194" s="115" t="str">
        <f t="shared" si="1"/>
        <v>0 dari 31 (0%)</v>
      </c>
    </row>
    <row r="195" ht="22.5" customHeight="1">
      <c r="A195" s="10">
        <v>194.0</v>
      </c>
      <c r="B195" s="11"/>
      <c r="C195" s="140"/>
      <c r="D195" s="138"/>
      <c r="E195" s="138"/>
      <c r="F195" s="13"/>
      <c r="G195" s="114" t="b">
        <v>0</v>
      </c>
      <c r="H195" s="114" t="b">
        <v>0</v>
      </c>
      <c r="I195" s="114" t="b">
        <v>0</v>
      </c>
      <c r="J195" s="114" t="b">
        <v>0</v>
      </c>
      <c r="K195" s="114" t="b">
        <v>0</v>
      </c>
      <c r="L195" s="114" t="b">
        <v>0</v>
      </c>
      <c r="M195" s="114" t="b">
        <v>0</v>
      </c>
      <c r="N195" s="114" t="b">
        <v>0</v>
      </c>
      <c r="O195" s="114" t="b">
        <v>0</v>
      </c>
      <c r="P195" s="114" t="b">
        <v>0</v>
      </c>
      <c r="Q195" s="114" t="b">
        <v>0</v>
      </c>
      <c r="R195" s="114" t="b">
        <v>0</v>
      </c>
      <c r="S195" s="114" t="b">
        <v>0</v>
      </c>
      <c r="T195" s="114" t="b">
        <v>0</v>
      </c>
      <c r="U195" s="114" t="b">
        <v>0</v>
      </c>
      <c r="V195" s="114" t="b">
        <v>0</v>
      </c>
      <c r="W195" s="114" t="b">
        <v>0</v>
      </c>
      <c r="X195" s="114" t="b">
        <v>0</v>
      </c>
      <c r="Y195" s="114" t="b">
        <v>0</v>
      </c>
      <c r="Z195" s="114" t="b">
        <v>0</v>
      </c>
      <c r="AA195" s="114" t="b">
        <v>0</v>
      </c>
      <c r="AB195" s="114" t="b">
        <v>0</v>
      </c>
      <c r="AC195" s="114" t="b">
        <v>0</v>
      </c>
      <c r="AD195" s="114" t="b">
        <v>0</v>
      </c>
      <c r="AE195" s="114" t="b">
        <v>0</v>
      </c>
      <c r="AF195" s="114" t="b">
        <v>0</v>
      </c>
      <c r="AG195" s="114" t="b">
        <v>0</v>
      </c>
      <c r="AH195" s="114" t="b">
        <v>0</v>
      </c>
      <c r="AI195" s="114" t="b">
        <v>0</v>
      </c>
      <c r="AJ195" s="114" t="b">
        <v>0</v>
      </c>
      <c r="AK195" s="114" t="b">
        <v>0</v>
      </c>
      <c r="AL195" s="115" t="str">
        <f t="shared" si="1"/>
        <v>0 dari 31 (0%)</v>
      </c>
    </row>
    <row r="196" ht="22.5" customHeight="1">
      <c r="A196" s="2">
        <v>195.0</v>
      </c>
      <c r="B196" s="11"/>
      <c r="C196" s="140"/>
      <c r="D196" s="138"/>
      <c r="E196" s="138"/>
      <c r="F196" s="13"/>
      <c r="G196" s="114" t="b">
        <v>0</v>
      </c>
      <c r="H196" s="114" t="b">
        <v>0</v>
      </c>
      <c r="I196" s="114" t="b">
        <v>0</v>
      </c>
      <c r="J196" s="114" t="b">
        <v>0</v>
      </c>
      <c r="K196" s="114" t="b">
        <v>0</v>
      </c>
      <c r="L196" s="114" t="b">
        <v>0</v>
      </c>
      <c r="M196" s="114" t="b">
        <v>0</v>
      </c>
      <c r="N196" s="114" t="b">
        <v>0</v>
      </c>
      <c r="O196" s="114" t="b">
        <v>0</v>
      </c>
      <c r="P196" s="114" t="b">
        <v>0</v>
      </c>
      <c r="Q196" s="114" t="b">
        <v>0</v>
      </c>
      <c r="R196" s="114" t="b">
        <v>0</v>
      </c>
      <c r="S196" s="114" t="b">
        <v>0</v>
      </c>
      <c r="T196" s="114" t="b">
        <v>0</v>
      </c>
      <c r="U196" s="114" t="b">
        <v>0</v>
      </c>
      <c r="V196" s="114" t="b">
        <v>0</v>
      </c>
      <c r="W196" s="114" t="b">
        <v>0</v>
      </c>
      <c r="X196" s="114" t="b">
        <v>0</v>
      </c>
      <c r="Y196" s="114" t="b">
        <v>0</v>
      </c>
      <c r="Z196" s="114" t="b">
        <v>0</v>
      </c>
      <c r="AA196" s="114" t="b">
        <v>0</v>
      </c>
      <c r="AB196" s="114" t="b">
        <v>0</v>
      </c>
      <c r="AC196" s="114" t="b">
        <v>0</v>
      </c>
      <c r="AD196" s="114" t="b">
        <v>0</v>
      </c>
      <c r="AE196" s="114" t="b">
        <v>0</v>
      </c>
      <c r="AF196" s="114" t="b">
        <v>0</v>
      </c>
      <c r="AG196" s="114" t="b">
        <v>0</v>
      </c>
      <c r="AH196" s="114" t="b">
        <v>0</v>
      </c>
      <c r="AI196" s="114" t="b">
        <v>0</v>
      </c>
      <c r="AJ196" s="114" t="b">
        <v>0</v>
      </c>
      <c r="AK196" s="114" t="b">
        <v>0</v>
      </c>
      <c r="AL196" s="115" t="str">
        <f t="shared" si="1"/>
        <v>0 dari 31 (0%)</v>
      </c>
    </row>
    <row r="197" ht="22.5" customHeight="1">
      <c r="A197" s="10">
        <v>196.0</v>
      </c>
      <c r="B197" s="11"/>
      <c r="C197" s="140"/>
      <c r="D197" s="138"/>
      <c r="E197" s="138"/>
      <c r="F197" s="13"/>
      <c r="G197" s="114" t="b">
        <v>0</v>
      </c>
      <c r="H197" s="114" t="b">
        <v>0</v>
      </c>
      <c r="I197" s="114" t="b">
        <v>0</v>
      </c>
      <c r="J197" s="114" t="b">
        <v>0</v>
      </c>
      <c r="K197" s="114" t="b">
        <v>0</v>
      </c>
      <c r="L197" s="114" t="b">
        <v>0</v>
      </c>
      <c r="M197" s="114" t="b">
        <v>0</v>
      </c>
      <c r="N197" s="114" t="b">
        <v>0</v>
      </c>
      <c r="O197" s="114" t="b">
        <v>0</v>
      </c>
      <c r="P197" s="114" t="b">
        <v>0</v>
      </c>
      <c r="Q197" s="114" t="b">
        <v>0</v>
      </c>
      <c r="R197" s="114" t="b">
        <v>0</v>
      </c>
      <c r="S197" s="114" t="b">
        <v>0</v>
      </c>
      <c r="T197" s="114" t="b">
        <v>0</v>
      </c>
      <c r="U197" s="114" t="b">
        <v>0</v>
      </c>
      <c r="V197" s="114" t="b">
        <v>0</v>
      </c>
      <c r="W197" s="114" t="b">
        <v>0</v>
      </c>
      <c r="X197" s="114" t="b">
        <v>0</v>
      </c>
      <c r="Y197" s="114" t="b">
        <v>0</v>
      </c>
      <c r="Z197" s="114" t="b">
        <v>0</v>
      </c>
      <c r="AA197" s="114" t="b">
        <v>0</v>
      </c>
      <c r="AB197" s="114" t="b">
        <v>0</v>
      </c>
      <c r="AC197" s="114" t="b">
        <v>0</v>
      </c>
      <c r="AD197" s="114" t="b">
        <v>0</v>
      </c>
      <c r="AE197" s="114" t="b">
        <v>0</v>
      </c>
      <c r="AF197" s="114" t="b">
        <v>0</v>
      </c>
      <c r="AG197" s="114" t="b">
        <v>0</v>
      </c>
      <c r="AH197" s="114" t="b">
        <v>0</v>
      </c>
      <c r="AI197" s="114" t="b">
        <v>0</v>
      </c>
      <c r="AJ197" s="114" t="b">
        <v>0</v>
      </c>
      <c r="AK197" s="114" t="b">
        <v>0</v>
      </c>
      <c r="AL197" s="115" t="str">
        <f t="shared" si="1"/>
        <v>0 dari 31 (0%)</v>
      </c>
    </row>
    <row r="198" ht="22.5" customHeight="1">
      <c r="A198" s="2">
        <v>197.0</v>
      </c>
      <c r="B198" s="11"/>
      <c r="C198" s="140"/>
      <c r="D198" s="138"/>
      <c r="E198" s="138"/>
      <c r="F198" s="13"/>
      <c r="G198" s="114" t="b">
        <v>0</v>
      </c>
      <c r="H198" s="114" t="b">
        <v>0</v>
      </c>
      <c r="I198" s="114" t="b">
        <v>0</v>
      </c>
      <c r="J198" s="114" t="b">
        <v>0</v>
      </c>
      <c r="K198" s="114" t="b">
        <v>0</v>
      </c>
      <c r="L198" s="114" t="b">
        <v>0</v>
      </c>
      <c r="M198" s="114" t="b">
        <v>0</v>
      </c>
      <c r="N198" s="114" t="b">
        <v>0</v>
      </c>
      <c r="O198" s="114" t="b">
        <v>0</v>
      </c>
      <c r="P198" s="114" t="b">
        <v>0</v>
      </c>
      <c r="Q198" s="114" t="b">
        <v>0</v>
      </c>
      <c r="R198" s="114" t="b">
        <v>0</v>
      </c>
      <c r="S198" s="114" t="b">
        <v>0</v>
      </c>
      <c r="T198" s="114" t="b">
        <v>0</v>
      </c>
      <c r="U198" s="114" t="b">
        <v>0</v>
      </c>
      <c r="V198" s="114" t="b">
        <v>0</v>
      </c>
      <c r="W198" s="114" t="b">
        <v>0</v>
      </c>
      <c r="X198" s="114" t="b">
        <v>0</v>
      </c>
      <c r="Y198" s="114" t="b">
        <v>0</v>
      </c>
      <c r="Z198" s="114" t="b">
        <v>0</v>
      </c>
      <c r="AA198" s="114" t="b">
        <v>0</v>
      </c>
      <c r="AB198" s="114" t="b">
        <v>0</v>
      </c>
      <c r="AC198" s="114" t="b">
        <v>0</v>
      </c>
      <c r="AD198" s="114" t="b">
        <v>0</v>
      </c>
      <c r="AE198" s="114" t="b">
        <v>0</v>
      </c>
      <c r="AF198" s="114" t="b">
        <v>0</v>
      </c>
      <c r="AG198" s="114" t="b">
        <v>0</v>
      </c>
      <c r="AH198" s="114" t="b">
        <v>0</v>
      </c>
      <c r="AI198" s="114" t="b">
        <v>0</v>
      </c>
      <c r="AJ198" s="114" t="b">
        <v>0</v>
      </c>
      <c r="AK198" s="114" t="b">
        <v>0</v>
      </c>
      <c r="AL198" s="115" t="str">
        <f t="shared" si="1"/>
        <v>0 dari 31 (0%)</v>
      </c>
    </row>
    <row r="199" ht="22.5" customHeight="1">
      <c r="A199" s="10">
        <v>198.0</v>
      </c>
      <c r="B199" s="11"/>
      <c r="C199" s="140"/>
      <c r="D199" s="138"/>
      <c r="E199" s="138"/>
      <c r="F199" s="13"/>
      <c r="G199" s="114" t="b">
        <v>0</v>
      </c>
      <c r="H199" s="114" t="b">
        <v>0</v>
      </c>
      <c r="I199" s="114" t="b">
        <v>0</v>
      </c>
      <c r="J199" s="114" t="b">
        <v>0</v>
      </c>
      <c r="K199" s="114" t="b">
        <v>0</v>
      </c>
      <c r="L199" s="114" t="b">
        <v>0</v>
      </c>
      <c r="M199" s="114" t="b">
        <v>0</v>
      </c>
      <c r="N199" s="114" t="b">
        <v>0</v>
      </c>
      <c r="O199" s="114" t="b">
        <v>0</v>
      </c>
      <c r="P199" s="114" t="b">
        <v>0</v>
      </c>
      <c r="Q199" s="114" t="b">
        <v>0</v>
      </c>
      <c r="R199" s="114" t="b">
        <v>0</v>
      </c>
      <c r="S199" s="114" t="b">
        <v>0</v>
      </c>
      <c r="T199" s="114" t="b">
        <v>0</v>
      </c>
      <c r="U199" s="114" t="b">
        <v>0</v>
      </c>
      <c r="V199" s="114" t="b">
        <v>0</v>
      </c>
      <c r="W199" s="114" t="b">
        <v>0</v>
      </c>
      <c r="X199" s="114" t="b">
        <v>0</v>
      </c>
      <c r="Y199" s="114" t="b">
        <v>0</v>
      </c>
      <c r="Z199" s="114" t="b">
        <v>0</v>
      </c>
      <c r="AA199" s="114" t="b">
        <v>0</v>
      </c>
      <c r="AB199" s="114" t="b">
        <v>0</v>
      </c>
      <c r="AC199" s="114" t="b">
        <v>0</v>
      </c>
      <c r="AD199" s="114" t="b">
        <v>0</v>
      </c>
      <c r="AE199" s="114" t="b">
        <v>0</v>
      </c>
      <c r="AF199" s="114" t="b">
        <v>0</v>
      </c>
      <c r="AG199" s="114" t="b">
        <v>0</v>
      </c>
      <c r="AH199" s="114" t="b">
        <v>0</v>
      </c>
      <c r="AI199" s="114" t="b">
        <v>0</v>
      </c>
      <c r="AJ199" s="114" t="b">
        <v>0</v>
      </c>
      <c r="AK199" s="114" t="b">
        <v>0</v>
      </c>
      <c r="AL199" s="115" t="str">
        <f t="shared" si="1"/>
        <v>0 dari 31 (0%)</v>
      </c>
    </row>
    <row r="200" ht="22.5" customHeight="1">
      <c r="A200" s="10">
        <v>199.0</v>
      </c>
      <c r="B200" s="11"/>
      <c r="C200" s="140"/>
      <c r="D200" s="138"/>
      <c r="E200" s="138"/>
      <c r="F200" s="13"/>
      <c r="G200" s="114" t="b">
        <v>0</v>
      </c>
      <c r="H200" s="114" t="b">
        <v>0</v>
      </c>
      <c r="I200" s="114" t="b">
        <v>0</v>
      </c>
      <c r="J200" s="114" t="b">
        <v>0</v>
      </c>
      <c r="K200" s="114" t="b">
        <v>0</v>
      </c>
      <c r="L200" s="114" t="b">
        <v>0</v>
      </c>
      <c r="M200" s="114" t="b">
        <v>0</v>
      </c>
      <c r="N200" s="114" t="b">
        <v>0</v>
      </c>
      <c r="O200" s="114" t="b">
        <v>0</v>
      </c>
      <c r="P200" s="114" t="b">
        <v>0</v>
      </c>
      <c r="Q200" s="114" t="b">
        <v>0</v>
      </c>
      <c r="R200" s="114" t="b">
        <v>0</v>
      </c>
      <c r="S200" s="114" t="b">
        <v>0</v>
      </c>
      <c r="T200" s="114" t="b">
        <v>0</v>
      </c>
      <c r="U200" s="114" t="b">
        <v>0</v>
      </c>
      <c r="V200" s="114" t="b">
        <v>0</v>
      </c>
      <c r="W200" s="114" t="b">
        <v>0</v>
      </c>
      <c r="X200" s="114" t="b">
        <v>0</v>
      </c>
      <c r="Y200" s="114" t="b">
        <v>0</v>
      </c>
      <c r="Z200" s="114" t="b">
        <v>0</v>
      </c>
      <c r="AA200" s="114" t="b">
        <v>0</v>
      </c>
      <c r="AB200" s="114" t="b">
        <v>0</v>
      </c>
      <c r="AC200" s="114" t="b">
        <v>0</v>
      </c>
      <c r="AD200" s="114" t="b">
        <v>0</v>
      </c>
      <c r="AE200" s="114" t="b">
        <v>0</v>
      </c>
      <c r="AF200" s="114" t="b">
        <v>0</v>
      </c>
      <c r="AG200" s="114" t="b">
        <v>0</v>
      </c>
      <c r="AH200" s="114" t="b">
        <v>0</v>
      </c>
      <c r="AI200" s="114" t="b">
        <v>0</v>
      </c>
      <c r="AJ200" s="114" t="b">
        <v>0</v>
      </c>
      <c r="AK200" s="114" t="b">
        <v>0</v>
      </c>
      <c r="AL200" s="115" t="str">
        <f t="shared" si="1"/>
        <v>0 dari 31 (0%)</v>
      </c>
    </row>
    <row r="201" ht="22.5" customHeight="1">
      <c r="A201" s="2">
        <v>200.0</v>
      </c>
      <c r="B201" s="11"/>
      <c r="C201" s="140"/>
      <c r="D201" s="138"/>
      <c r="E201" s="138"/>
      <c r="F201" s="13"/>
      <c r="G201" s="114" t="b">
        <v>0</v>
      </c>
      <c r="H201" s="114" t="b">
        <v>0</v>
      </c>
      <c r="I201" s="114" t="b">
        <v>0</v>
      </c>
      <c r="J201" s="114" t="b">
        <v>0</v>
      </c>
      <c r="K201" s="114" t="b">
        <v>0</v>
      </c>
      <c r="L201" s="114" t="b">
        <v>0</v>
      </c>
      <c r="M201" s="114" t="b">
        <v>0</v>
      </c>
      <c r="N201" s="114" t="b">
        <v>0</v>
      </c>
      <c r="O201" s="114" t="b">
        <v>0</v>
      </c>
      <c r="P201" s="114" t="b">
        <v>0</v>
      </c>
      <c r="Q201" s="114" t="b">
        <v>0</v>
      </c>
      <c r="R201" s="114" t="b">
        <v>0</v>
      </c>
      <c r="S201" s="114" t="b">
        <v>0</v>
      </c>
      <c r="T201" s="114" t="b">
        <v>0</v>
      </c>
      <c r="U201" s="114" t="b">
        <v>0</v>
      </c>
      <c r="V201" s="114" t="b">
        <v>0</v>
      </c>
      <c r="W201" s="114" t="b">
        <v>0</v>
      </c>
      <c r="X201" s="114" t="b">
        <v>0</v>
      </c>
      <c r="Y201" s="114" t="b">
        <v>0</v>
      </c>
      <c r="Z201" s="114" t="b">
        <v>0</v>
      </c>
      <c r="AA201" s="114" t="b">
        <v>0</v>
      </c>
      <c r="AB201" s="114" t="b">
        <v>0</v>
      </c>
      <c r="AC201" s="114" t="b">
        <v>0</v>
      </c>
      <c r="AD201" s="114" t="b">
        <v>0</v>
      </c>
      <c r="AE201" s="114" t="b">
        <v>0</v>
      </c>
      <c r="AF201" s="114" t="b">
        <v>0</v>
      </c>
      <c r="AG201" s="114" t="b">
        <v>0</v>
      </c>
      <c r="AH201" s="114" t="b">
        <v>0</v>
      </c>
      <c r="AI201" s="114" t="b">
        <v>0</v>
      </c>
      <c r="AJ201" s="114" t="b">
        <v>0</v>
      </c>
      <c r="AK201" s="114" t="b">
        <v>0</v>
      </c>
      <c r="AL201" s="115" t="str">
        <f t="shared" si="1"/>
        <v>0 dari 31 (0%)</v>
      </c>
    </row>
    <row r="202" ht="22.5" customHeight="1">
      <c r="A202" s="10">
        <v>201.0</v>
      </c>
      <c r="B202" s="11"/>
      <c r="C202" s="140"/>
      <c r="D202" s="138"/>
      <c r="E202" s="138"/>
      <c r="F202" s="13"/>
      <c r="G202" s="114" t="b">
        <v>0</v>
      </c>
      <c r="H202" s="114" t="b">
        <v>0</v>
      </c>
      <c r="I202" s="114" t="b">
        <v>0</v>
      </c>
      <c r="J202" s="114" t="b">
        <v>0</v>
      </c>
      <c r="K202" s="114" t="b">
        <v>0</v>
      </c>
      <c r="L202" s="114" t="b">
        <v>0</v>
      </c>
      <c r="M202" s="114" t="b">
        <v>0</v>
      </c>
      <c r="N202" s="114" t="b">
        <v>0</v>
      </c>
      <c r="O202" s="114" t="b">
        <v>0</v>
      </c>
      <c r="P202" s="114" t="b">
        <v>0</v>
      </c>
      <c r="Q202" s="114" t="b">
        <v>0</v>
      </c>
      <c r="R202" s="114" t="b">
        <v>0</v>
      </c>
      <c r="S202" s="114" t="b">
        <v>0</v>
      </c>
      <c r="T202" s="114" t="b">
        <v>0</v>
      </c>
      <c r="U202" s="114" t="b">
        <v>0</v>
      </c>
      <c r="V202" s="114" t="b">
        <v>0</v>
      </c>
      <c r="W202" s="114" t="b">
        <v>0</v>
      </c>
      <c r="X202" s="114" t="b">
        <v>0</v>
      </c>
      <c r="Y202" s="114" t="b">
        <v>0</v>
      </c>
      <c r="Z202" s="114" t="b">
        <v>0</v>
      </c>
      <c r="AA202" s="114" t="b">
        <v>0</v>
      </c>
      <c r="AB202" s="114" t="b">
        <v>0</v>
      </c>
      <c r="AC202" s="114" t="b">
        <v>0</v>
      </c>
      <c r="AD202" s="114" t="b">
        <v>0</v>
      </c>
      <c r="AE202" s="114" t="b">
        <v>0</v>
      </c>
      <c r="AF202" s="114" t="b">
        <v>0</v>
      </c>
      <c r="AG202" s="114" t="b">
        <v>0</v>
      </c>
      <c r="AH202" s="114" t="b">
        <v>0</v>
      </c>
      <c r="AI202" s="114" t="b">
        <v>0</v>
      </c>
      <c r="AJ202" s="114" t="b">
        <v>0</v>
      </c>
      <c r="AK202" s="114" t="b">
        <v>0</v>
      </c>
      <c r="AL202" s="115" t="str">
        <f t="shared" si="1"/>
        <v>0 dari 31 (0%)</v>
      </c>
    </row>
    <row r="203" ht="22.5" customHeight="1">
      <c r="A203" s="2">
        <v>202.0</v>
      </c>
      <c r="B203" s="11"/>
      <c r="C203" s="140"/>
      <c r="D203" s="138"/>
      <c r="E203" s="138"/>
      <c r="F203" s="13"/>
      <c r="G203" s="114" t="b">
        <v>0</v>
      </c>
      <c r="H203" s="114" t="b">
        <v>0</v>
      </c>
      <c r="I203" s="114" t="b">
        <v>0</v>
      </c>
      <c r="J203" s="114" t="b">
        <v>0</v>
      </c>
      <c r="K203" s="114" t="b">
        <v>0</v>
      </c>
      <c r="L203" s="114" t="b">
        <v>0</v>
      </c>
      <c r="M203" s="114" t="b">
        <v>0</v>
      </c>
      <c r="N203" s="114" t="b">
        <v>0</v>
      </c>
      <c r="O203" s="114" t="b">
        <v>0</v>
      </c>
      <c r="P203" s="114" t="b">
        <v>0</v>
      </c>
      <c r="Q203" s="114" t="b">
        <v>0</v>
      </c>
      <c r="R203" s="114" t="b">
        <v>0</v>
      </c>
      <c r="S203" s="114" t="b">
        <v>0</v>
      </c>
      <c r="T203" s="114" t="b">
        <v>0</v>
      </c>
      <c r="U203" s="114" t="b">
        <v>0</v>
      </c>
      <c r="V203" s="114" t="b">
        <v>0</v>
      </c>
      <c r="W203" s="114" t="b">
        <v>0</v>
      </c>
      <c r="X203" s="114" t="b">
        <v>0</v>
      </c>
      <c r="Y203" s="114" t="b">
        <v>0</v>
      </c>
      <c r="Z203" s="114" t="b">
        <v>0</v>
      </c>
      <c r="AA203" s="114" t="b">
        <v>0</v>
      </c>
      <c r="AB203" s="114" t="b">
        <v>0</v>
      </c>
      <c r="AC203" s="114" t="b">
        <v>0</v>
      </c>
      <c r="AD203" s="114" t="b">
        <v>0</v>
      </c>
      <c r="AE203" s="114" t="b">
        <v>0</v>
      </c>
      <c r="AF203" s="114" t="b">
        <v>0</v>
      </c>
      <c r="AG203" s="114" t="b">
        <v>0</v>
      </c>
      <c r="AH203" s="114" t="b">
        <v>0</v>
      </c>
      <c r="AI203" s="114" t="b">
        <v>0</v>
      </c>
      <c r="AJ203" s="114" t="b">
        <v>0</v>
      </c>
      <c r="AK203" s="114" t="b">
        <v>0</v>
      </c>
      <c r="AL203" s="115" t="str">
        <f t="shared" si="1"/>
        <v>0 dari 31 (0%)</v>
      </c>
    </row>
    <row r="204" ht="22.5" customHeight="1">
      <c r="A204" s="10">
        <v>203.0</v>
      </c>
      <c r="B204" s="11"/>
      <c r="C204" s="140"/>
      <c r="D204" s="138"/>
      <c r="E204" s="138"/>
      <c r="F204" s="13"/>
      <c r="G204" s="114" t="b">
        <v>0</v>
      </c>
      <c r="H204" s="114" t="b">
        <v>0</v>
      </c>
      <c r="I204" s="114" t="b">
        <v>0</v>
      </c>
      <c r="J204" s="114" t="b">
        <v>0</v>
      </c>
      <c r="K204" s="114" t="b">
        <v>0</v>
      </c>
      <c r="L204" s="114" t="b">
        <v>0</v>
      </c>
      <c r="M204" s="114" t="b">
        <v>0</v>
      </c>
      <c r="N204" s="114" t="b">
        <v>0</v>
      </c>
      <c r="O204" s="114" t="b">
        <v>0</v>
      </c>
      <c r="P204" s="114" t="b">
        <v>0</v>
      </c>
      <c r="Q204" s="114" t="b">
        <v>0</v>
      </c>
      <c r="R204" s="114" t="b">
        <v>0</v>
      </c>
      <c r="S204" s="114" t="b">
        <v>0</v>
      </c>
      <c r="T204" s="114" t="b">
        <v>0</v>
      </c>
      <c r="U204" s="114" t="b">
        <v>0</v>
      </c>
      <c r="V204" s="114" t="b">
        <v>0</v>
      </c>
      <c r="W204" s="114" t="b">
        <v>0</v>
      </c>
      <c r="X204" s="114" t="b">
        <v>0</v>
      </c>
      <c r="Y204" s="114" t="b">
        <v>0</v>
      </c>
      <c r="Z204" s="114" t="b">
        <v>0</v>
      </c>
      <c r="AA204" s="114" t="b">
        <v>0</v>
      </c>
      <c r="AB204" s="114" t="b">
        <v>0</v>
      </c>
      <c r="AC204" s="114" t="b">
        <v>0</v>
      </c>
      <c r="AD204" s="114" t="b">
        <v>0</v>
      </c>
      <c r="AE204" s="114" t="b">
        <v>0</v>
      </c>
      <c r="AF204" s="114" t="b">
        <v>0</v>
      </c>
      <c r="AG204" s="114" t="b">
        <v>0</v>
      </c>
      <c r="AH204" s="114" t="b">
        <v>0</v>
      </c>
      <c r="AI204" s="114" t="b">
        <v>0</v>
      </c>
      <c r="AJ204" s="114" t="b">
        <v>0</v>
      </c>
      <c r="AK204" s="114" t="b">
        <v>0</v>
      </c>
      <c r="AL204" s="115" t="str">
        <f t="shared" si="1"/>
        <v>0 dari 31 (0%)</v>
      </c>
    </row>
    <row r="205" ht="22.5" customHeight="1">
      <c r="A205" s="10">
        <v>204.0</v>
      </c>
      <c r="B205" s="11"/>
      <c r="C205" s="140"/>
      <c r="D205" s="138"/>
      <c r="E205" s="138"/>
      <c r="F205" s="13"/>
      <c r="G205" s="114" t="b">
        <v>0</v>
      </c>
      <c r="H205" s="114" t="b">
        <v>0</v>
      </c>
      <c r="I205" s="114" t="b">
        <v>0</v>
      </c>
      <c r="J205" s="114" t="b">
        <v>0</v>
      </c>
      <c r="K205" s="114" t="b">
        <v>0</v>
      </c>
      <c r="L205" s="114" t="b">
        <v>0</v>
      </c>
      <c r="M205" s="114" t="b">
        <v>0</v>
      </c>
      <c r="N205" s="114" t="b">
        <v>0</v>
      </c>
      <c r="O205" s="114" t="b">
        <v>0</v>
      </c>
      <c r="P205" s="114" t="b">
        <v>0</v>
      </c>
      <c r="Q205" s="114" t="b">
        <v>0</v>
      </c>
      <c r="R205" s="114" t="b">
        <v>0</v>
      </c>
      <c r="S205" s="114" t="b">
        <v>0</v>
      </c>
      <c r="T205" s="114" t="b">
        <v>0</v>
      </c>
      <c r="U205" s="114" t="b">
        <v>0</v>
      </c>
      <c r="V205" s="114" t="b">
        <v>0</v>
      </c>
      <c r="W205" s="114" t="b">
        <v>0</v>
      </c>
      <c r="X205" s="114" t="b">
        <v>0</v>
      </c>
      <c r="Y205" s="114" t="b">
        <v>0</v>
      </c>
      <c r="Z205" s="114" t="b">
        <v>0</v>
      </c>
      <c r="AA205" s="114" t="b">
        <v>0</v>
      </c>
      <c r="AB205" s="114" t="b">
        <v>0</v>
      </c>
      <c r="AC205" s="114" t="b">
        <v>0</v>
      </c>
      <c r="AD205" s="114" t="b">
        <v>0</v>
      </c>
      <c r="AE205" s="114" t="b">
        <v>0</v>
      </c>
      <c r="AF205" s="114" t="b">
        <v>0</v>
      </c>
      <c r="AG205" s="114" t="b">
        <v>0</v>
      </c>
      <c r="AH205" s="114" t="b">
        <v>0</v>
      </c>
      <c r="AI205" s="114" t="b">
        <v>0</v>
      </c>
      <c r="AJ205" s="114" t="b">
        <v>0</v>
      </c>
      <c r="AK205" s="114" t="b">
        <v>0</v>
      </c>
      <c r="AL205" s="115" t="str">
        <f t="shared" si="1"/>
        <v>0 dari 31 (0%)</v>
      </c>
    </row>
    <row r="206" ht="22.5" customHeight="1">
      <c r="A206" s="2">
        <v>205.0</v>
      </c>
      <c r="B206" s="11"/>
      <c r="C206" s="140"/>
      <c r="D206" s="138"/>
      <c r="E206" s="138"/>
      <c r="F206" s="13"/>
      <c r="G206" s="114" t="b">
        <v>0</v>
      </c>
      <c r="H206" s="114" t="b">
        <v>0</v>
      </c>
      <c r="I206" s="114" t="b">
        <v>0</v>
      </c>
      <c r="J206" s="114" t="b">
        <v>0</v>
      </c>
      <c r="K206" s="114" t="b">
        <v>0</v>
      </c>
      <c r="L206" s="114" t="b">
        <v>0</v>
      </c>
      <c r="M206" s="114" t="b">
        <v>0</v>
      </c>
      <c r="N206" s="114" t="b">
        <v>0</v>
      </c>
      <c r="O206" s="114" t="b">
        <v>0</v>
      </c>
      <c r="P206" s="114" t="b">
        <v>0</v>
      </c>
      <c r="Q206" s="114" t="b">
        <v>0</v>
      </c>
      <c r="R206" s="114" t="b">
        <v>0</v>
      </c>
      <c r="S206" s="114" t="b">
        <v>0</v>
      </c>
      <c r="T206" s="114" t="b">
        <v>0</v>
      </c>
      <c r="U206" s="114" t="b">
        <v>0</v>
      </c>
      <c r="V206" s="114" t="b">
        <v>0</v>
      </c>
      <c r="W206" s="114" t="b">
        <v>0</v>
      </c>
      <c r="X206" s="114" t="b">
        <v>0</v>
      </c>
      <c r="Y206" s="114" t="b">
        <v>0</v>
      </c>
      <c r="Z206" s="114" t="b">
        <v>0</v>
      </c>
      <c r="AA206" s="114" t="b">
        <v>0</v>
      </c>
      <c r="AB206" s="114" t="b">
        <v>0</v>
      </c>
      <c r="AC206" s="114" t="b">
        <v>0</v>
      </c>
      <c r="AD206" s="114" t="b">
        <v>0</v>
      </c>
      <c r="AE206" s="114" t="b">
        <v>0</v>
      </c>
      <c r="AF206" s="114" t="b">
        <v>0</v>
      </c>
      <c r="AG206" s="114" t="b">
        <v>0</v>
      </c>
      <c r="AH206" s="114" t="b">
        <v>0</v>
      </c>
      <c r="AI206" s="114" t="b">
        <v>0</v>
      </c>
      <c r="AJ206" s="114" t="b">
        <v>0</v>
      </c>
      <c r="AK206" s="114" t="b">
        <v>0</v>
      </c>
      <c r="AL206" s="115" t="str">
        <f t="shared" si="1"/>
        <v>0 dari 31 (0%)</v>
      </c>
    </row>
    <row r="207" ht="22.5" customHeight="1">
      <c r="A207" s="10">
        <v>206.0</v>
      </c>
      <c r="B207" s="11"/>
      <c r="C207" s="140"/>
      <c r="D207" s="138"/>
      <c r="E207" s="138"/>
      <c r="F207" s="13"/>
      <c r="G207" s="114" t="b">
        <v>0</v>
      </c>
      <c r="H207" s="114" t="b">
        <v>0</v>
      </c>
      <c r="I207" s="114" t="b">
        <v>0</v>
      </c>
      <c r="J207" s="114" t="b">
        <v>0</v>
      </c>
      <c r="K207" s="114" t="b">
        <v>0</v>
      </c>
      <c r="L207" s="114" t="b">
        <v>0</v>
      </c>
      <c r="M207" s="114" t="b">
        <v>0</v>
      </c>
      <c r="N207" s="114" t="b">
        <v>0</v>
      </c>
      <c r="O207" s="114" t="b">
        <v>0</v>
      </c>
      <c r="P207" s="114" t="b">
        <v>0</v>
      </c>
      <c r="Q207" s="114" t="b">
        <v>0</v>
      </c>
      <c r="R207" s="114" t="b">
        <v>0</v>
      </c>
      <c r="S207" s="114" t="b">
        <v>0</v>
      </c>
      <c r="T207" s="114" t="b">
        <v>0</v>
      </c>
      <c r="U207" s="114" t="b">
        <v>0</v>
      </c>
      <c r="V207" s="114" t="b">
        <v>0</v>
      </c>
      <c r="W207" s="114" t="b">
        <v>0</v>
      </c>
      <c r="X207" s="114" t="b">
        <v>0</v>
      </c>
      <c r="Y207" s="114" t="b">
        <v>0</v>
      </c>
      <c r="Z207" s="114" t="b">
        <v>0</v>
      </c>
      <c r="AA207" s="114" t="b">
        <v>0</v>
      </c>
      <c r="AB207" s="114" t="b">
        <v>0</v>
      </c>
      <c r="AC207" s="114" t="b">
        <v>0</v>
      </c>
      <c r="AD207" s="114" t="b">
        <v>0</v>
      </c>
      <c r="AE207" s="114" t="b">
        <v>0</v>
      </c>
      <c r="AF207" s="114" t="b">
        <v>0</v>
      </c>
      <c r="AG207" s="114" t="b">
        <v>0</v>
      </c>
      <c r="AH207" s="114" t="b">
        <v>0</v>
      </c>
      <c r="AI207" s="114" t="b">
        <v>0</v>
      </c>
      <c r="AJ207" s="114" t="b">
        <v>0</v>
      </c>
      <c r="AK207" s="114" t="b">
        <v>0</v>
      </c>
      <c r="AL207" s="115" t="str">
        <f t="shared" si="1"/>
        <v>0 dari 31 (0%)</v>
      </c>
    </row>
    <row r="208" ht="22.5" customHeight="1">
      <c r="A208" s="2">
        <v>207.0</v>
      </c>
      <c r="B208" s="11"/>
      <c r="C208" s="140"/>
      <c r="D208" s="138"/>
      <c r="E208" s="138"/>
      <c r="F208" s="13"/>
      <c r="G208" s="114" t="b">
        <v>0</v>
      </c>
      <c r="H208" s="114" t="b">
        <v>0</v>
      </c>
      <c r="I208" s="114" t="b">
        <v>0</v>
      </c>
      <c r="J208" s="114" t="b">
        <v>0</v>
      </c>
      <c r="K208" s="114" t="b">
        <v>0</v>
      </c>
      <c r="L208" s="114" t="b">
        <v>0</v>
      </c>
      <c r="M208" s="114" t="b">
        <v>0</v>
      </c>
      <c r="N208" s="114" t="b">
        <v>0</v>
      </c>
      <c r="O208" s="114" t="b">
        <v>0</v>
      </c>
      <c r="P208" s="114" t="b">
        <v>0</v>
      </c>
      <c r="Q208" s="114" t="b">
        <v>0</v>
      </c>
      <c r="R208" s="114" t="b">
        <v>0</v>
      </c>
      <c r="S208" s="114" t="b">
        <v>0</v>
      </c>
      <c r="T208" s="114" t="b">
        <v>0</v>
      </c>
      <c r="U208" s="114" t="b">
        <v>0</v>
      </c>
      <c r="V208" s="114" t="b">
        <v>0</v>
      </c>
      <c r="W208" s="114" t="b">
        <v>0</v>
      </c>
      <c r="X208" s="114" t="b">
        <v>0</v>
      </c>
      <c r="Y208" s="114" t="b">
        <v>0</v>
      </c>
      <c r="Z208" s="114" t="b">
        <v>0</v>
      </c>
      <c r="AA208" s="114" t="b">
        <v>0</v>
      </c>
      <c r="AB208" s="114" t="b">
        <v>0</v>
      </c>
      <c r="AC208" s="114" t="b">
        <v>0</v>
      </c>
      <c r="AD208" s="114" t="b">
        <v>0</v>
      </c>
      <c r="AE208" s="114" t="b">
        <v>0</v>
      </c>
      <c r="AF208" s="114" t="b">
        <v>0</v>
      </c>
      <c r="AG208" s="114" t="b">
        <v>0</v>
      </c>
      <c r="AH208" s="114" t="b">
        <v>0</v>
      </c>
      <c r="AI208" s="114" t="b">
        <v>0</v>
      </c>
      <c r="AJ208" s="114" t="b">
        <v>0</v>
      </c>
      <c r="AK208" s="114" t="b">
        <v>0</v>
      </c>
      <c r="AL208" s="115" t="str">
        <f t="shared" si="1"/>
        <v>0 dari 31 (0%)</v>
      </c>
    </row>
    <row r="209" ht="22.5" customHeight="1">
      <c r="A209" s="10">
        <v>208.0</v>
      </c>
      <c r="B209" s="11"/>
      <c r="C209" s="140"/>
      <c r="D209" s="138"/>
      <c r="E209" s="138"/>
      <c r="F209" s="13"/>
      <c r="G209" s="114" t="b">
        <v>0</v>
      </c>
      <c r="H209" s="114" t="b">
        <v>0</v>
      </c>
      <c r="I209" s="114" t="b">
        <v>0</v>
      </c>
      <c r="J209" s="114" t="b">
        <v>0</v>
      </c>
      <c r="K209" s="114" t="b">
        <v>0</v>
      </c>
      <c r="L209" s="114" t="b">
        <v>0</v>
      </c>
      <c r="M209" s="114" t="b">
        <v>0</v>
      </c>
      <c r="N209" s="114" t="b">
        <v>0</v>
      </c>
      <c r="O209" s="114" t="b">
        <v>0</v>
      </c>
      <c r="P209" s="114" t="b">
        <v>0</v>
      </c>
      <c r="Q209" s="114" t="b">
        <v>0</v>
      </c>
      <c r="R209" s="114" t="b">
        <v>0</v>
      </c>
      <c r="S209" s="114" t="b">
        <v>0</v>
      </c>
      <c r="T209" s="114" t="b">
        <v>0</v>
      </c>
      <c r="U209" s="114" t="b">
        <v>0</v>
      </c>
      <c r="V209" s="114" t="b">
        <v>0</v>
      </c>
      <c r="W209" s="114" t="b">
        <v>0</v>
      </c>
      <c r="X209" s="114" t="b">
        <v>0</v>
      </c>
      <c r="Y209" s="114" t="b">
        <v>0</v>
      </c>
      <c r="Z209" s="114" t="b">
        <v>0</v>
      </c>
      <c r="AA209" s="114" t="b">
        <v>0</v>
      </c>
      <c r="AB209" s="114" t="b">
        <v>0</v>
      </c>
      <c r="AC209" s="114" t="b">
        <v>0</v>
      </c>
      <c r="AD209" s="114" t="b">
        <v>0</v>
      </c>
      <c r="AE209" s="114" t="b">
        <v>0</v>
      </c>
      <c r="AF209" s="114" t="b">
        <v>0</v>
      </c>
      <c r="AG209" s="114" t="b">
        <v>0</v>
      </c>
      <c r="AH209" s="114" t="b">
        <v>0</v>
      </c>
      <c r="AI209" s="114" t="b">
        <v>0</v>
      </c>
      <c r="AJ209" s="114" t="b">
        <v>0</v>
      </c>
      <c r="AK209" s="114" t="b">
        <v>0</v>
      </c>
      <c r="AL209" s="115" t="str">
        <f t="shared" si="1"/>
        <v>0 dari 31 (0%)</v>
      </c>
    </row>
    <row r="210" ht="22.5" customHeight="1">
      <c r="A210" s="10">
        <v>209.0</v>
      </c>
      <c r="B210" s="11"/>
      <c r="C210" s="140"/>
      <c r="D210" s="138"/>
      <c r="E210" s="138"/>
      <c r="F210" s="13"/>
      <c r="G210" s="114" t="b">
        <v>0</v>
      </c>
      <c r="H210" s="114" t="b">
        <v>0</v>
      </c>
      <c r="I210" s="114" t="b">
        <v>0</v>
      </c>
      <c r="J210" s="114" t="b">
        <v>0</v>
      </c>
      <c r="K210" s="114" t="b">
        <v>0</v>
      </c>
      <c r="L210" s="114" t="b">
        <v>0</v>
      </c>
      <c r="M210" s="114" t="b">
        <v>0</v>
      </c>
      <c r="N210" s="114" t="b">
        <v>0</v>
      </c>
      <c r="O210" s="114" t="b">
        <v>0</v>
      </c>
      <c r="P210" s="114" t="b">
        <v>0</v>
      </c>
      <c r="Q210" s="114" t="b">
        <v>0</v>
      </c>
      <c r="R210" s="114" t="b">
        <v>0</v>
      </c>
      <c r="S210" s="114" t="b">
        <v>0</v>
      </c>
      <c r="T210" s="114" t="b">
        <v>0</v>
      </c>
      <c r="U210" s="114" t="b">
        <v>0</v>
      </c>
      <c r="V210" s="114" t="b">
        <v>0</v>
      </c>
      <c r="W210" s="114" t="b">
        <v>0</v>
      </c>
      <c r="X210" s="114" t="b">
        <v>0</v>
      </c>
      <c r="Y210" s="114" t="b">
        <v>0</v>
      </c>
      <c r="Z210" s="114" t="b">
        <v>0</v>
      </c>
      <c r="AA210" s="114" t="b">
        <v>0</v>
      </c>
      <c r="AB210" s="114" t="b">
        <v>0</v>
      </c>
      <c r="AC210" s="114" t="b">
        <v>0</v>
      </c>
      <c r="AD210" s="114" t="b">
        <v>0</v>
      </c>
      <c r="AE210" s="114" t="b">
        <v>0</v>
      </c>
      <c r="AF210" s="114" t="b">
        <v>0</v>
      </c>
      <c r="AG210" s="114" t="b">
        <v>0</v>
      </c>
      <c r="AH210" s="114" t="b">
        <v>0</v>
      </c>
      <c r="AI210" s="114" t="b">
        <v>0</v>
      </c>
      <c r="AJ210" s="114" t="b">
        <v>0</v>
      </c>
      <c r="AK210" s="114" t="b">
        <v>0</v>
      </c>
      <c r="AL210" s="115" t="str">
        <f t="shared" si="1"/>
        <v>0 dari 31 (0%)</v>
      </c>
    </row>
    <row r="211" ht="22.5" customHeight="1">
      <c r="A211" s="2">
        <v>210.0</v>
      </c>
      <c r="B211" s="11"/>
      <c r="C211" s="140"/>
      <c r="D211" s="138"/>
      <c r="E211" s="138"/>
      <c r="F211" s="13"/>
      <c r="G211" s="114" t="b">
        <v>0</v>
      </c>
      <c r="H211" s="114" t="b">
        <v>0</v>
      </c>
      <c r="I211" s="114" t="b">
        <v>0</v>
      </c>
      <c r="J211" s="114" t="b">
        <v>0</v>
      </c>
      <c r="K211" s="114" t="b">
        <v>0</v>
      </c>
      <c r="L211" s="114" t="b">
        <v>0</v>
      </c>
      <c r="M211" s="114" t="b">
        <v>0</v>
      </c>
      <c r="N211" s="114" t="b">
        <v>0</v>
      </c>
      <c r="O211" s="114" t="b">
        <v>0</v>
      </c>
      <c r="P211" s="114" t="b">
        <v>0</v>
      </c>
      <c r="Q211" s="114" t="b">
        <v>0</v>
      </c>
      <c r="R211" s="114" t="b">
        <v>0</v>
      </c>
      <c r="S211" s="114" t="b">
        <v>0</v>
      </c>
      <c r="T211" s="114" t="b">
        <v>0</v>
      </c>
      <c r="U211" s="114" t="b">
        <v>0</v>
      </c>
      <c r="V211" s="114" t="b">
        <v>0</v>
      </c>
      <c r="W211" s="114" t="b">
        <v>0</v>
      </c>
      <c r="X211" s="114" t="b">
        <v>0</v>
      </c>
      <c r="Y211" s="114" t="b">
        <v>0</v>
      </c>
      <c r="Z211" s="114" t="b">
        <v>0</v>
      </c>
      <c r="AA211" s="114" t="b">
        <v>0</v>
      </c>
      <c r="AB211" s="114" t="b">
        <v>0</v>
      </c>
      <c r="AC211" s="114" t="b">
        <v>0</v>
      </c>
      <c r="AD211" s="114" t="b">
        <v>0</v>
      </c>
      <c r="AE211" s="114" t="b">
        <v>0</v>
      </c>
      <c r="AF211" s="114" t="b">
        <v>0</v>
      </c>
      <c r="AG211" s="114" t="b">
        <v>0</v>
      </c>
      <c r="AH211" s="114" t="b">
        <v>0</v>
      </c>
      <c r="AI211" s="114" t="b">
        <v>0</v>
      </c>
      <c r="AJ211" s="114" t="b">
        <v>0</v>
      </c>
      <c r="AK211" s="114" t="b">
        <v>0</v>
      </c>
      <c r="AL211" s="115" t="str">
        <f t="shared" si="1"/>
        <v>0 dari 31 (0%)</v>
      </c>
    </row>
    <row r="212" ht="22.5" customHeight="1">
      <c r="A212" s="10">
        <v>211.0</v>
      </c>
      <c r="B212" s="11"/>
      <c r="C212" s="140"/>
      <c r="D212" s="138"/>
      <c r="E212" s="138"/>
      <c r="F212" s="13"/>
      <c r="G212" s="114" t="b">
        <v>0</v>
      </c>
      <c r="H212" s="114" t="b">
        <v>0</v>
      </c>
      <c r="I212" s="114" t="b">
        <v>0</v>
      </c>
      <c r="J212" s="114" t="b">
        <v>0</v>
      </c>
      <c r="K212" s="114" t="b">
        <v>0</v>
      </c>
      <c r="L212" s="114" t="b">
        <v>0</v>
      </c>
      <c r="M212" s="114" t="b">
        <v>0</v>
      </c>
      <c r="N212" s="114" t="b">
        <v>0</v>
      </c>
      <c r="O212" s="114" t="b">
        <v>0</v>
      </c>
      <c r="P212" s="114" t="b">
        <v>0</v>
      </c>
      <c r="Q212" s="114" t="b">
        <v>0</v>
      </c>
      <c r="R212" s="114" t="b">
        <v>0</v>
      </c>
      <c r="S212" s="114" t="b">
        <v>0</v>
      </c>
      <c r="T212" s="114" t="b">
        <v>0</v>
      </c>
      <c r="U212" s="114" t="b">
        <v>0</v>
      </c>
      <c r="V212" s="114" t="b">
        <v>0</v>
      </c>
      <c r="W212" s="114" t="b">
        <v>0</v>
      </c>
      <c r="X212" s="114" t="b">
        <v>0</v>
      </c>
      <c r="Y212" s="114" t="b">
        <v>0</v>
      </c>
      <c r="Z212" s="114" t="b">
        <v>0</v>
      </c>
      <c r="AA212" s="114" t="b">
        <v>0</v>
      </c>
      <c r="AB212" s="114" t="b">
        <v>0</v>
      </c>
      <c r="AC212" s="114" t="b">
        <v>0</v>
      </c>
      <c r="AD212" s="114" t="b">
        <v>0</v>
      </c>
      <c r="AE212" s="114" t="b">
        <v>0</v>
      </c>
      <c r="AF212" s="114" t="b">
        <v>0</v>
      </c>
      <c r="AG212" s="114" t="b">
        <v>0</v>
      </c>
      <c r="AH212" s="114" t="b">
        <v>0</v>
      </c>
      <c r="AI212" s="114" t="b">
        <v>0</v>
      </c>
      <c r="AJ212" s="114" t="b">
        <v>0</v>
      </c>
      <c r="AK212" s="114" t="b">
        <v>0</v>
      </c>
      <c r="AL212" s="115" t="str">
        <f t="shared" si="1"/>
        <v>0 dari 31 (0%)</v>
      </c>
    </row>
    <row r="213" ht="22.5" customHeight="1">
      <c r="A213" s="2">
        <v>212.0</v>
      </c>
      <c r="B213" s="11"/>
      <c r="C213" s="140"/>
      <c r="D213" s="138"/>
      <c r="E213" s="138"/>
      <c r="F213" s="13"/>
      <c r="G213" s="114" t="b">
        <v>0</v>
      </c>
      <c r="H213" s="114" t="b">
        <v>0</v>
      </c>
      <c r="I213" s="114" t="b">
        <v>0</v>
      </c>
      <c r="J213" s="114" t="b">
        <v>0</v>
      </c>
      <c r="K213" s="114" t="b">
        <v>0</v>
      </c>
      <c r="L213" s="114" t="b">
        <v>0</v>
      </c>
      <c r="M213" s="114" t="b">
        <v>0</v>
      </c>
      <c r="N213" s="114" t="b">
        <v>0</v>
      </c>
      <c r="O213" s="114" t="b">
        <v>0</v>
      </c>
      <c r="P213" s="114" t="b">
        <v>0</v>
      </c>
      <c r="Q213" s="114" t="b">
        <v>0</v>
      </c>
      <c r="R213" s="114" t="b">
        <v>0</v>
      </c>
      <c r="S213" s="114" t="b">
        <v>0</v>
      </c>
      <c r="T213" s="114" t="b">
        <v>0</v>
      </c>
      <c r="U213" s="114" t="b">
        <v>0</v>
      </c>
      <c r="V213" s="114" t="b">
        <v>0</v>
      </c>
      <c r="W213" s="114" t="b">
        <v>0</v>
      </c>
      <c r="X213" s="114" t="b">
        <v>0</v>
      </c>
      <c r="Y213" s="114" t="b">
        <v>0</v>
      </c>
      <c r="Z213" s="114" t="b">
        <v>0</v>
      </c>
      <c r="AA213" s="114" t="b">
        <v>0</v>
      </c>
      <c r="AB213" s="114" t="b">
        <v>0</v>
      </c>
      <c r="AC213" s="114" t="b">
        <v>0</v>
      </c>
      <c r="AD213" s="114" t="b">
        <v>0</v>
      </c>
      <c r="AE213" s="114" t="b">
        <v>0</v>
      </c>
      <c r="AF213" s="114" t="b">
        <v>0</v>
      </c>
      <c r="AG213" s="114" t="b">
        <v>0</v>
      </c>
      <c r="AH213" s="114" t="b">
        <v>0</v>
      </c>
      <c r="AI213" s="114" t="b">
        <v>0</v>
      </c>
      <c r="AJ213" s="114" t="b">
        <v>0</v>
      </c>
      <c r="AK213" s="114" t="b">
        <v>0</v>
      </c>
      <c r="AL213" s="115" t="str">
        <f t="shared" si="1"/>
        <v>0 dari 31 (0%)</v>
      </c>
    </row>
    <row r="214" ht="22.5" customHeight="1">
      <c r="A214" s="10">
        <v>213.0</v>
      </c>
      <c r="B214" s="11"/>
      <c r="C214" s="140"/>
      <c r="D214" s="138"/>
      <c r="E214" s="138"/>
      <c r="F214" s="13"/>
      <c r="G214" s="114" t="b">
        <v>0</v>
      </c>
      <c r="H214" s="114" t="b">
        <v>0</v>
      </c>
      <c r="I214" s="114" t="b">
        <v>0</v>
      </c>
      <c r="J214" s="114" t="b">
        <v>0</v>
      </c>
      <c r="K214" s="114" t="b">
        <v>0</v>
      </c>
      <c r="L214" s="114" t="b">
        <v>0</v>
      </c>
      <c r="M214" s="114" t="b">
        <v>0</v>
      </c>
      <c r="N214" s="114" t="b">
        <v>0</v>
      </c>
      <c r="O214" s="114" t="b">
        <v>0</v>
      </c>
      <c r="P214" s="114" t="b">
        <v>0</v>
      </c>
      <c r="Q214" s="114" t="b">
        <v>0</v>
      </c>
      <c r="R214" s="114" t="b">
        <v>0</v>
      </c>
      <c r="S214" s="114" t="b">
        <v>0</v>
      </c>
      <c r="T214" s="114" t="b">
        <v>0</v>
      </c>
      <c r="U214" s="114" t="b">
        <v>0</v>
      </c>
      <c r="V214" s="114" t="b">
        <v>0</v>
      </c>
      <c r="W214" s="114" t="b">
        <v>0</v>
      </c>
      <c r="X214" s="114" t="b">
        <v>0</v>
      </c>
      <c r="Y214" s="114" t="b">
        <v>0</v>
      </c>
      <c r="Z214" s="114" t="b">
        <v>0</v>
      </c>
      <c r="AA214" s="114" t="b">
        <v>0</v>
      </c>
      <c r="AB214" s="114" t="b">
        <v>0</v>
      </c>
      <c r="AC214" s="114" t="b">
        <v>0</v>
      </c>
      <c r="AD214" s="114" t="b">
        <v>0</v>
      </c>
      <c r="AE214" s="114" t="b">
        <v>0</v>
      </c>
      <c r="AF214" s="114" t="b">
        <v>0</v>
      </c>
      <c r="AG214" s="114" t="b">
        <v>0</v>
      </c>
      <c r="AH214" s="114" t="b">
        <v>0</v>
      </c>
      <c r="AI214" s="114" t="b">
        <v>0</v>
      </c>
      <c r="AJ214" s="114" t="b">
        <v>0</v>
      </c>
      <c r="AK214" s="114" t="b">
        <v>0</v>
      </c>
      <c r="AL214" s="115" t="str">
        <f t="shared" si="1"/>
        <v>0 dari 31 (0%)</v>
      </c>
    </row>
    <row r="215" ht="22.5" customHeight="1">
      <c r="A215" s="10">
        <v>214.0</v>
      </c>
      <c r="B215" s="11"/>
      <c r="C215" s="140"/>
      <c r="D215" s="138"/>
      <c r="E215" s="138"/>
      <c r="F215" s="13"/>
      <c r="G215" s="114" t="b">
        <v>0</v>
      </c>
      <c r="H215" s="114" t="b">
        <v>0</v>
      </c>
      <c r="I215" s="114" t="b">
        <v>0</v>
      </c>
      <c r="J215" s="114" t="b">
        <v>0</v>
      </c>
      <c r="K215" s="114" t="b">
        <v>0</v>
      </c>
      <c r="L215" s="114" t="b">
        <v>0</v>
      </c>
      <c r="M215" s="114" t="b">
        <v>0</v>
      </c>
      <c r="N215" s="114" t="b">
        <v>0</v>
      </c>
      <c r="O215" s="114" t="b">
        <v>0</v>
      </c>
      <c r="P215" s="114" t="b">
        <v>0</v>
      </c>
      <c r="Q215" s="114" t="b">
        <v>0</v>
      </c>
      <c r="R215" s="114" t="b">
        <v>0</v>
      </c>
      <c r="S215" s="114" t="b">
        <v>0</v>
      </c>
      <c r="T215" s="114" t="b">
        <v>0</v>
      </c>
      <c r="U215" s="114" t="b">
        <v>0</v>
      </c>
      <c r="V215" s="114" t="b">
        <v>0</v>
      </c>
      <c r="W215" s="114" t="b">
        <v>0</v>
      </c>
      <c r="X215" s="114" t="b">
        <v>0</v>
      </c>
      <c r="Y215" s="114" t="b">
        <v>0</v>
      </c>
      <c r="Z215" s="114" t="b">
        <v>0</v>
      </c>
      <c r="AA215" s="114" t="b">
        <v>0</v>
      </c>
      <c r="AB215" s="114" t="b">
        <v>0</v>
      </c>
      <c r="AC215" s="114" t="b">
        <v>0</v>
      </c>
      <c r="AD215" s="114" t="b">
        <v>0</v>
      </c>
      <c r="AE215" s="114" t="b">
        <v>0</v>
      </c>
      <c r="AF215" s="114" t="b">
        <v>0</v>
      </c>
      <c r="AG215" s="114" t="b">
        <v>0</v>
      </c>
      <c r="AH215" s="114" t="b">
        <v>0</v>
      </c>
      <c r="AI215" s="114" t="b">
        <v>0</v>
      </c>
      <c r="AJ215" s="114" t="b">
        <v>0</v>
      </c>
      <c r="AK215" s="114" t="b">
        <v>0</v>
      </c>
      <c r="AL215" s="115" t="str">
        <f t="shared" si="1"/>
        <v>0 dari 31 (0%)</v>
      </c>
    </row>
    <row r="216" ht="22.5" customHeight="1">
      <c r="A216" s="2">
        <v>215.0</v>
      </c>
      <c r="B216" s="11"/>
      <c r="C216" s="140"/>
      <c r="D216" s="138"/>
      <c r="E216" s="138"/>
      <c r="F216" s="13"/>
      <c r="G216" s="114" t="b">
        <v>0</v>
      </c>
      <c r="H216" s="114" t="b">
        <v>0</v>
      </c>
      <c r="I216" s="114" t="b">
        <v>0</v>
      </c>
      <c r="J216" s="114" t="b">
        <v>0</v>
      </c>
      <c r="K216" s="114" t="b">
        <v>0</v>
      </c>
      <c r="L216" s="114" t="b">
        <v>0</v>
      </c>
      <c r="M216" s="114" t="b">
        <v>0</v>
      </c>
      <c r="N216" s="114" t="b">
        <v>0</v>
      </c>
      <c r="O216" s="114" t="b">
        <v>0</v>
      </c>
      <c r="P216" s="114" t="b">
        <v>0</v>
      </c>
      <c r="Q216" s="114" t="b">
        <v>0</v>
      </c>
      <c r="R216" s="114" t="b">
        <v>0</v>
      </c>
      <c r="S216" s="114" t="b">
        <v>0</v>
      </c>
      <c r="T216" s="114" t="b">
        <v>0</v>
      </c>
      <c r="U216" s="114" t="b">
        <v>0</v>
      </c>
      <c r="V216" s="114" t="b">
        <v>0</v>
      </c>
      <c r="W216" s="114" t="b">
        <v>0</v>
      </c>
      <c r="X216" s="114" t="b">
        <v>0</v>
      </c>
      <c r="Y216" s="114" t="b">
        <v>0</v>
      </c>
      <c r="Z216" s="114" t="b">
        <v>0</v>
      </c>
      <c r="AA216" s="114" t="b">
        <v>0</v>
      </c>
      <c r="AB216" s="114" t="b">
        <v>0</v>
      </c>
      <c r="AC216" s="114" t="b">
        <v>0</v>
      </c>
      <c r="AD216" s="114" t="b">
        <v>0</v>
      </c>
      <c r="AE216" s="114" t="b">
        <v>0</v>
      </c>
      <c r="AF216" s="114" t="b">
        <v>0</v>
      </c>
      <c r="AG216" s="114" t="b">
        <v>0</v>
      </c>
      <c r="AH216" s="114" t="b">
        <v>0</v>
      </c>
      <c r="AI216" s="114" t="b">
        <v>0</v>
      </c>
      <c r="AJ216" s="114" t="b">
        <v>0</v>
      </c>
      <c r="AK216" s="114" t="b">
        <v>0</v>
      </c>
      <c r="AL216" s="115" t="str">
        <f t="shared" si="1"/>
        <v>0 dari 31 (0%)</v>
      </c>
    </row>
    <row r="217" ht="22.5" customHeight="1">
      <c r="A217" s="10">
        <v>216.0</v>
      </c>
      <c r="B217" s="11"/>
      <c r="C217" s="140"/>
      <c r="D217" s="138"/>
      <c r="E217" s="138"/>
      <c r="F217" s="13"/>
      <c r="G217" s="114" t="b">
        <v>0</v>
      </c>
      <c r="H217" s="114" t="b">
        <v>0</v>
      </c>
      <c r="I217" s="114" t="b">
        <v>0</v>
      </c>
      <c r="J217" s="114" t="b">
        <v>0</v>
      </c>
      <c r="K217" s="114" t="b">
        <v>0</v>
      </c>
      <c r="L217" s="114" t="b">
        <v>0</v>
      </c>
      <c r="M217" s="114" t="b">
        <v>0</v>
      </c>
      <c r="N217" s="114" t="b">
        <v>0</v>
      </c>
      <c r="O217" s="114" t="b">
        <v>0</v>
      </c>
      <c r="P217" s="114" t="b">
        <v>0</v>
      </c>
      <c r="Q217" s="114" t="b">
        <v>0</v>
      </c>
      <c r="R217" s="114" t="b">
        <v>0</v>
      </c>
      <c r="S217" s="114" t="b">
        <v>0</v>
      </c>
      <c r="T217" s="114" t="b">
        <v>0</v>
      </c>
      <c r="U217" s="114" t="b">
        <v>0</v>
      </c>
      <c r="V217" s="114" t="b">
        <v>0</v>
      </c>
      <c r="W217" s="114" t="b">
        <v>0</v>
      </c>
      <c r="X217" s="114" t="b">
        <v>0</v>
      </c>
      <c r="Y217" s="114" t="b">
        <v>0</v>
      </c>
      <c r="Z217" s="114" t="b">
        <v>0</v>
      </c>
      <c r="AA217" s="114" t="b">
        <v>0</v>
      </c>
      <c r="AB217" s="114" t="b">
        <v>0</v>
      </c>
      <c r="AC217" s="114" t="b">
        <v>0</v>
      </c>
      <c r="AD217" s="114" t="b">
        <v>0</v>
      </c>
      <c r="AE217" s="114" t="b">
        <v>0</v>
      </c>
      <c r="AF217" s="114" t="b">
        <v>0</v>
      </c>
      <c r="AG217" s="114" t="b">
        <v>0</v>
      </c>
      <c r="AH217" s="114" t="b">
        <v>0</v>
      </c>
      <c r="AI217" s="114" t="b">
        <v>0</v>
      </c>
      <c r="AJ217" s="114" t="b">
        <v>0</v>
      </c>
      <c r="AK217" s="114" t="b">
        <v>0</v>
      </c>
      <c r="AL217" s="115" t="str">
        <f t="shared" si="1"/>
        <v>0 dari 31 (0%)</v>
      </c>
    </row>
    <row r="218" ht="22.5" customHeight="1">
      <c r="A218" s="2">
        <v>217.0</v>
      </c>
      <c r="B218" s="11"/>
      <c r="C218" s="140"/>
      <c r="D218" s="138"/>
      <c r="E218" s="138"/>
      <c r="F218" s="13"/>
      <c r="G218" s="114" t="b">
        <v>0</v>
      </c>
      <c r="H218" s="114" t="b">
        <v>0</v>
      </c>
      <c r="I218" s="114" t="b">
        <v>0</v>
      </c>
      <c r="J218" s="114" t="b">
        <v>0</v>
      </c>
      <c r="K218" s="114" t="b">
        <v>0</v>
      </c>
      <c r="L218" s="114" t="b">
        <v>0</v>
      </c>
      <c r="M218" s="114" t="b">
        <v>0</v>
      </c>
      <c r="N218" s="114" t="b">
        <v>0</v>
      </c>
      <c r="O218" s="114" t="b">
        <v>0</v>
      </c>
      <c r="P218" s="114" t="b">
        <v>0</v>
      </c>
      <c r="Q218" s="114" t="b">
        <v>0</v>
      </c>
      <c r="R218" s="114" t="b">
        <v>0</v>
      </c>
      <c r="S218" s="114" t="b">
        <v>0</v>
      </c>
      <c r="T218" s="114" t="b">
        <v>0</v>
      </c>
      <c r="U218" s="114" t="b">
        <v>0</v>
      </c>
      <c r="V218" s="114" t="b">
        <v>0</v>
      </c>
      <c r="W218" s="114" t="b">
        <v>0</v>
      </c>
      <c r="X218" s="114" t="b">
        <v>0</v>
      </c>
      <c r="Y218" s="114" t="b">
        <v>0</v>
      </c>
      <c r="Z218" s="114" t="b">
        <v>0</v>
      </c>
      <c r="AA218" s="114" t="b">
        <v>0</v>
      </c>
      <c r="AB218" s="114" t="b">
        <v>0</v>
      </c>
      <c r="AC218" s="114" t="b">
        <v>0</v>
      </c>
      <c r="AD218" s="114" t="b">
        <v>0</v>
      </c>
      <c r="AE218" s="114" t="b">
        <v>0</v>
      </c>
      <c r="AF218" s="114" t="b">
        <v>0</v>
      </c>
      <c r="AG218" s="114" t="b">
        <v>0</v>
      </c>
      <c r="AH218" s="114" t="b">
        <v>0</v>
      </c>
      <c r="AI218" s="114" t="b">
        <v>0</v>
      </c>
      <c r="AJ218" s="114" t="b">
        <v>0</v>
      </c>
      <c r="AK218" s="114" t="b">
        <v>0</v>
      </c>
      <c r="AL218" s="115" t="str">
        <f t="shared" si="1"/>
        <v>0 dari 31 (0%)</v>
      </c>
    </row>
    <row r="219" ht="22.5" customHeight="1">
      <c r="A219" s="10">
        <v>218.0</v>
      </c>
      <c r="B219" s="11"/>
      <c r="C219" s="140"/>
      <c r="D219" s="138"/>
      <c r="E219" s="138"/>
      <c r="F219" s="13"/>
      <c r="G219" s="114" t="b">
        <v>0</v>
      </c>
      <c r="H219" s="114" t="b">
        <v>0</v>
      </c>
      <c r="I219" s="114" t="b">
        <v>0</v>
      </c>
      <c r="J219" s="114" t="b">
        <v>0</v>
      </c>
      <c r="K219" s="114" t="b">
        <v>0</v>
      </c>
      <c r="L219" s="114" t="b">
        <v>0</v>
      </c>
      <c r="M219" s="114" t="b">
        <v>0</v>
      </c>
      <c r="N219" s="114" t="b">
        <v>0</v>
      </c>
      <c r="O219" s="114" t="b">
        <v>0</v>
      </c>
      <c r="P219" s="114" t="b">
        <v>0</v>
      </c>
      <c r="Q219" s="114" t="b">
        <v>0</v>
      </c>
      <c r="R219" s="114" t="b">
        <v>0</v>
      </c>
      <c r="S219" s="114" t="b">
        <v>0</v>
      </c>
      <c r="T219" s="114" t="b">
        <v>0</v>
      </c>
      <c r="U219" s="114" t="b">
        <v>0</v>
      </c>
      <c r="V219" s="114" t="b">
        <v>0</v>
      </c>
      <c r="W219" s="114" t="b">
        <v>0</v>
      </c>
      <c r="X219" s="114" t="b">
        <v>0</v>
      </c>
      <c r="Y219" s="114" t="b">
        <v>0</v>
      </c>
      <c r="Z219" s="114" t="b">
        <v>0</v>
      </c>
      <c r="AA219" s="114" t="b">
        <v>0</v>
      </c>
      <c r="AB219" s="114" t="b">
        <v>0</v>
      </c>
      <c r="AC219" s="114" t="b">
        <v>0</v>
      </c>
      <c r="AD219" s="114" t="b">
        <v>0</v>
      </c>
      <c r="AE219" s="114" t="b">
        <v>0</v>
      </c>
      <c r="AF219" s="114" t="b">
        <v>0</v>
      </c>
      <c r="AG219" s="114" t="b">
        <v>0</v>
      </c>
      <c r="AH219" s="114" t="b">
        <v>0</v>
      </c>
      <c r="AI219" s="114" t="b">
        <v>0</v>
      </c>
      <c r="AJ219" s="114" t="b">
        <v>0</v>
      </c>
      <c r="AK219" s="114" t="b">
        <v>0</v>
      </c>
      <c r="AL219" s="115" t="str">
        <f t="shared" si="1"/>
        <v>0 dari 31 (0%)</v>
      </c>
    </row>
    <row r="220" ht="22.5" customHeight="1">
      <c r="A220" s="10">
        <v>219.0</v>
      </c>
      <c r="B220" s="11"/>
      <c r="C220" s="140"/>
      <c r="D220" s="138"/>
      <c r="E220" s="138"/>
      <c r="F220" s="13"/>
      <c r="G220" s="114" t="b">
        <v>0</v>
      </c>
      <c r="H220" s="114" t="b">
        <v>0</v>
      </c>
      <c r="I220" s="114" t="b">
        <v>0</v>
      </c>
      <c r="J220" s="114" t="b">
        <v>0</v>
      </c>
      <c r="K220" s="114" t="b">
        <v>0</v>
      </c>
      <c r="L220" s="114" t="b">
        <v>0</v>
      </c>
      <c r="M220" s="114" t="b">
        <v>0</v>
      </c>
      <c r="N220" s="114" t="b">
        <v>0</v>
      </c>
      <c r="O220" s="114" t="b">
        <v>0</v>
      </c>
      <c r="P220" s="114" t="b">
        <v>0</v>
      </c>
      <c r="Q220" s="114" t="b">
        <v>0</v>
      </c>
      <c r="R220" s="114" t="b">
        <v>0</v>
      </c>
      <c r="S220" s="114" t="b">
        <v>0</v>
      </c>
      <c r="T220" s="114" t="b">
        <v>0</v>
      </c>
      <c r="U220" s="114" t="b">
        <v>0</v>
      </c>
      <c r="V220" s="114" t="b">
        <v>0</v>
      </c>
      <c r="W220" s="114" t="b">
        <v>0</v>
      </c>
      <c r="X220" s="114" t="b">
        <v>0</v>
      </c>
      <c r="Y220" s="114" t="b">
        <v>0</v>
      </c>
      <c r="Z220" s="114" t="b">
        <v>0</v>
      </c>
      <c r="AA220" s="114" t="b">
        <v>0</v>
      </c>
      <c r="AB220" s="114" t="b">
        <v>0</v>
      </c>
      <c r="AC220" s="114" t="b">
        <v>0</v>
      </c>
      <c r="AD220" s="114" t="b">
        <v>0</v>
      </c>
      <c r="AE220" s="114" t="b">
        <v>0</v>
      </c>
      <c r="AF220" s="114" t="b">
        <v>0</v>
      </c>
      <c r="AG220" s="114" t="b">
        <v>0</v>
      </c>
      <c r="AH220" s="114" t="b">
        <v>0</v>
      </c>
      <c r="AI220" s="114" t="b">
        <v>0</v>
      </c>
      <c r="AJ220" s="114" t="b">
        <v>0</v>
      </c>
      <c r="AK220" s="114" t="b">
        <v>0</v>
      </c>
      <c r="AL220" s="115" t="str">
        <f t="shared" si="1"/>
        <v>0 dari 31 (0%)</v>
      </c>
    </row>
    <row r="221" ht="22.5" customHeight="1">
      <c r="A221" s="2">
        <v>220.0</v>
      </c>
      <c r="B221" s="11"/>
      <c r="C221" s="140"/>
      <c r="D221" s="138"/>
      <c r="E221" s="138"/>
      <c r="F221" s="13"/>
      <c r="G221" s="114" t="b">
        <v>0</v>
      </c>
      <c r="H221" s="114" t="b">
        <v>0</v>
      </c>
      <c r="I221" s="114" t="b">
        <v>0</v>
      </c>
      <c r="J221" s="114" t="b">
        <v>0</v>
      </c>
      <c r="K221" s="114" t="b">
        <v>0</v>
      </c>
      <c r="L221" s="114" t="b">
        <v>0</v>
      </c>
      <c r="M221" s="114" t="b">
        <v>0</v>
      </c>
      <c r="N221" s="114" t="b">
        <v>0</v>
      </c>
      <c r="O221" s="114" t="b">
        <v>0</v>
      </c>
      <c r="P221" s="114" t="b">
        <v>0</v>
      </c>
      <c r="Q221" s="114" t="b">
        <v>0</v>
      </c>
      <c r="R221" s="114" t="b">
        <v>0</v>
      </c>
      <c r="S221" s="114" t="b">
        <v>0</v>
      </c>
      <c r="T221" s="114" t="b">
        <v>0</v>
      </c>
      <c r="U221" s="114" t="b">
        <v>0</v>
      </c>
      <c r="V221" s="114" t="b">
        <v>0</v>
      </c>
      <c r="W221" s="114" t="b">
        <v>0</v>
      </c>
      <c r="X221" s="114" t="b">
        <v>0</v>
      </c>
      <c r="Y221" s="114" t="b">
        <v>0</v>
      </c>
      <c r="Z221" s="114" t="b">
        <v>0</v>
      </c>
      <c r="AA221" s="114" t="b">
        <v>0</v>
      </c>
      <c r="AB221" s="114" t="b">
        <v>0</v>
      </c>
      <c r="AC221" s="114" t="b">
        <v>0</v>
      </c>
      <c r="AD221" s="114" t="b">
        <v>0</v>
      </c>
      <c r="AE221" s="114" t="b">
        <v>0</v>
      </c>
      <c r="AF221" s="114" t="b">
        <v>0</v>
      </c>
      <c r="AG221" s="114" t="b">
        <v>0</v>
      </c>
      <c r="AH221" s="114" t="b">
        <v>0</v>
      </c>
      <c r="AI221" s="114" t="b">
        <v>0</v>
      </c>
      <c r="AJ221" s="114" t="b">
        <v>0</v>
      </c>
      <c r="AK221" s="114" t="b">
        <v>0</v>
      </c>
      <c r="AL221" s="115" t="str">
        <f t="shared" si="1"/>
        <v>0 dari 31 (0%)</v>
      </c>
    </row>
    <row r="222" ht="22.5" customHeight="1">
      <c r="A222" s="10">
        <v>221.0</v>
      </c>
      <c r="B222" s="11"/>
      <c r="C222" s="140"/>
      <c r="D222" s="138"/>
      <c r="E222" s="138"/>
      <c r="F222" s="13"/>
      <c r="G222" s="114" t="b">
        <v>0</v>
      </c>
      <c r="H222" s="114" t="b">
        <v>0</v>
      </c>
      <c r="I222" s="114" t="b">
        <v>0</v>
      </c>
      <c r="J222" s="114" t="b">
        <v>0</v>
      </c>
      <c r="K222" s="114" t="b">
        <v>0</v>
      </c>
      <c r="L222" s="114" t="b">
        <v>0</v>
      </c>
      <c r="M222" s="114" t="b">
        <v>0</v>
      </c>
      <c r="N222" s="114" t="b">
        <v>0</v>
      </c>
      <c r="O222" s="114" t="b">
        <v>0</v>
      </c>
      <c r="P222" s="114" t="b">
        <v>0</v>
      </c>
      <c r="Q222" s="114" t="b">
        <v>0</v>
      </c>
      <c r="R222" s="114" t="b">
        <v>0</v>
      </c>
      <c r="S222" s="114" t="b">
        <v>0</v>
      </c>
      <c r="T222" s="114" t="b">
        <v>0</v>
      </c>
      <c r="U222" s="114" t="b">
        <v>0</v>
      </c>
      <c r="V222" s="114" t="b">
        <v>0</v>
      </c>
      <c r="W222" s="114" t="b">
        <v>0</v>
      </c>
      <c r="X222" s="114" t="b">
        <v>0</v>
      </c>
      <c r="Y222" s="114" t="b">
        <v>0</v>
      </c>
      <c r="Z222" s="114" t="b">
        <v>0</v>
      </c>
      <c r="AA222" s="114" t="b">
        <v>0</v>
      </c>
      <c r="AB222" s="114" t="b">
        <v>0</v>
      </c>
      <c r="AC222" s="114" t="b">
        <v>0</v>
      </c>
      <c r="AD222" s="114" t="b">
        <v>0</v>
      </c>
      <c r="AE222" s="114" t="b">
        <v>0</v>
      </c>
      <c r="AF222" s="114" t="b">
        <v>0</v>
      </c>
      <c r="AG222" s="114" t="b">
        <v>0</v>
      </c>
      <c r="AH222" s="114" t="b">
        <v>0</v>
      </c>
      <c r="AI222" s="114" t="b">
        <v>0</v>
      </c>
      <c r="AJ222" s="114" t="b">
        <v>0</v>
      </c>
      <c r="AK222" s="114" t="b">
        <v>0</v>
      </c>
      <c r="AL222" s="115" t="str">
        <f t="shared" si="1"/>
        <v>0 dari 31 (0%)</v>
      </c>
    </row>
    <row r="223" ht="22.5" customHeight="1">
      <c r="A223" s="2">
        <v>222.0</v>
      </c>
      <c r="B223" s="11"/>
      <c r="C223" s="140"/>
      <c r="D223" s="138"/>
      <c r="E223" s="138"/>
      <c r="F223" s="13"/>
      <c r="G223" s="114" t="b">
        <v>0</v>
      </c>
      <c r="H223" s="114" t="b">
        <v>0</v>
      </c>
      <c r="I223" s="114" t="b">
        <v>0</v>
      </c>
      <c r="J223" s="114" t="b">
        <v>0</v>
      </c>
      <c r="K223" s="114" t="b">
        <v>0</v>
      </c>
      <c r="L223" s="114" t="b">
        <v>0</v>
      </c>
      <c r="M223" s="114" t="b">
        <v>0</v>
      </c>
      <c r="N223" s="114" t="b">
        <v>0</v>
      </c>
      <c r="O223" s="114" t="b">
        <v>0</v>
      </c>
      <c r="P223" s="114" t="b">
        <v>0</v>
      </c>
      <c r="Q223" s="114" t="b">
        <v>0</v>
      </c>
      <c r="R223" s="114" t="b">
        <v>0</v>
      </c>
      <c r="S223" s="114" t="b">
        <v>0</v>
      </c>
      <c r="T223" s="114" t="b">
        <v>0</v>
      </c>
      <c r="U223" s="114" t="b">
        <v>0</v>
      </c>
      <c r="V223" s="114" t="b">
        <v>0</v>
      </c>
      <c r="W223" s="114" t="b">
        <v>0</v>
      </c>
      <c r="X223" s="114" t="b">
        <v>0</v>
      </c>
      <c r="Y223" s="114" t="b">
        <v>0</v>
      </c>
      <c r="Z223" s="114" t="b">
        <v>0</v>
      </c>
      <c r="AA223" s="114" t="b">
        <v>0</v>
      </c>
      <c r="AB223" s="114" t="b">
        <v>0</v>
      </c>
      <c r="AC223" s="114" t="b">
        <v>0</v>
      </c>
      <c r="AD223" s="114" t="b">
        <v>0</v>
      </c>
      <c r="AE223" s="114" t="b">
        <v>0</v>
      </c>
      <c r="AF223" s="114" t="b">
        <v>0</v>
      </c>
      <c r="AG223" s="114" t="b">
        <v>0</v>
      </c>
      <c r="AH223" s="114" t="b">
        <v>0</v>
      </c>
      <c r="AI223" s="114" t="b">
        <v>0</v>
      </c>
      <c r="AJ223" s="114" t="b">
        <v>0</v>
      </c>
      <c r="AK223" s="114" t="b">
        <v>0</v>
      </c>
      <c r="AL223" s="115" t="str">
        <f t="shared" si="1"/>
        <v>0 dari 31 (0%)</v>
      </c>
    </row>
    <row r="224" ht="22.5" customHeight="1">
      <c r="A224" s="10">
        <v>223.0</v>
      </c>
      <c r="B224" s="11"/>
      <c r="C224" s="140"/>
      <c r="D224" s="138"/>
      <c r="E224" s="138"/>
      <c r="F224" s="13"/>
      <c r="G224" s="114" t="b">
        <v>0</v>
      </c>
      <c r="H224" s="114" t="b">
        <v>0</v>
      </c>
      <c r="I224" s="114" t="b">
        <v>0</v>
      </c>
      <c r="J224" s="114" t="b">
        <v>0</v>
      </c>
      <c r="K224" s="114" t="b">
        <v>0</v>
      </c>
      <c r="L224" s="114" t="b">
        <v>0</v>
      </c>
      <c r="M224" s="114" t="b">
        <v>0</v>
      </c>
      <c r="N224" s="114" t="b">
        <v>0</v>
      </c>
      <c r="O224" s="114" t="b">
        <v>0</v>
      </c>
      <c r="P224" s="114" t="b">
        <v>0</v>
      </c>
      <c r="Q224" s="114" t="b">
        <v>0</v>
      </c>
      <c r="R224" s="114" t="b">
        <v>0</v>
      </c>
      <c r="S224" s="114" t="b">
        <v>0</v>
      </c>
      <c r="T224" s="114" t="b">
        <v>0</v>
      </c>
      <c r="U224" s="114" t="b">
        <v>0</v>
      </c>
      <c r="V224" s="114" t="b">
        <v>0</v>
      </c>
      <c r="W224" s="114" t="b">
        <v>0</v>
      </c>
      <c r="X224" s="114" t="b">
        <v>0</v>
      </c>
      <c r="Y224" s="114" t="b">
        <v>0</v>
      </c>
      <c r="Z224" s="114" t="b">
        <v>0</v>
      </c>
      <c r="AA224" s="114" t="b">
        <v>0</v>
      </c>
      <c r="AB224" s="114" t="b">
        <v>0</v>
      </c>
      <c r="AC224" s="114" t="b">
        <v>0</v>
      </c>
      <c r="AD224" s="114" t="b">
        <v>0</v>
      </c>
      <c r="AE224" s="114" t="b">
        <v>0</v>
      </c>
      <c r="AF224" s="114" t="b">
        <v>0</v>
      </c>
      <c r="AG224" s="114" t="b">
        <v>0</v>
      </c>
      <c r="AH224" s="114" t="b">
        <v>0</v>
      </c>
      <c r="AI224" s="114" t="b">
        <v>0</v>
      </c>
      <c r="AJ224" s="114" t="b">
        <v>0</v>
      </c>
      <c r="AK224" s="114" t="b">
        <v>0</v>
      </c>
      <c r="AL224" s="115" t="str">
        <f t="shared" si="1"/>
        <v>0 dari 31 (0%)</v>
      </c>
    </row>
    <row r="225" ht="22.5" customHeight="1">
      <c r="A225" s="10">
        <v>224.0</v>
      </c>
      <c r="B225" s="11"/>
      <c r="C225" s="140"/>
      <c r="D225" s="138"/>
      <c r="E225" s="138"/>
      <c r="F225" s="13"/>
      <c r="G225" s="114" t="b">
        <v>0</v>
      </c>
      <c r="H225" s="114" t="b">
        <v>0</v>
      </c>
      <c r="I225" s="114" t="b">
        <v>0</v>
      </c>
      <c r="J225" s="114" t="b">
        <v>0</v>
      </c>
      <c r="K225" s="114" t="b">
        <v>0</v>
      </c>
      <c r="L225" s="114" t="b">
        <v>0</v>
      </c>
      <c r="M225" s="114" t="b">
        <v>0</v>
      </c>
      <c r="N225" s="114" t="b">
        <v>0</v>
      </c>
      <c r="O225" s="114" t="b">
        <v>0</v>
      </c>
      <c r="P225" s="114" t="b">
        <v>0</v>
      </c>
      <c r="Q225" s="114" t="b">
        <v>0</v>
      </c>
      <c r="R225" s="114" t="b">
        <v>0</v>
      </c>
      <c r="S225" s="114" t="b">
        <v>0</v>
      </c>
      <c r="T225" s="114" t="b">
        <v>0</v>
      </c>
      <c r="U225" s="114" t="b">
        <v>0</v>
      </c>
      <c r="V225" s="114" t="b">
        <v>0</v>
      </c>
      <c r="W225" s="114" t="b">
        <v>0</v>
      </c>
      <c r="X225" s="114" t="b">
        <v>0</v>
      </c>
      <c r="Y225" s="114" t="b">
        <v>0</v>
      </c>
      <c r="Z225" s="114" t="b">
        <v>0</v>
      </c>
      <c r="AA225" s="114" t="b">
        <v>0</v>
      </c>
      <c r="AB225" s="114" t="b">
        <v>0</v>
      </c>
      <c r="AC225" s="114" t="b">
        <v>0</v>
      </c>
      <c r="AD225" s="114" t="b">
        <v>0</v>
      </c>
      <c r="AE225" s="114" t="b">
        <v>0</v>
      </c>
      <c r="AF225" s="114" t="b">
        <v>0</v>
      </c>
      <c r="AG225" s="114" t="b">
        <v>0</v>
      </c>
      <c r="AH225" s="114" t="b">
        <v>0</v>
      </c>
      <c r="AI225" s="114" t="b">
        <v>0</v>
      </c>
      <c r="AJ225" s="114" t="b">
        <v>0</v>
      </c>
      <c r="AK225" s="114" t="b">
        <v>0</v>
      </c>
      <c r="AL225" s="115" t="str">
        <f t="shared" si="1"/>
        <v>0 dari 31 (0%)</v>
      </c>
    </row>
    <row r="226" ht="22.5" customHeight="1">
      <c r="A226" s="2">
        <v>225.0</v>
      </c>
      <c r="B226" s="11"/>
      <c r="C226" s="140"/>
      <c r="D226" s="138"/>
      <c r="E226" s="138"/>
      <c r="F226" s="13"/>
      <c r="G226" s="114" t="b">
        <v>0</v>
      </c>
      <c r="H226" s="114" t="b">
        <v>0</v>
      </c>
      <c r="I226" s="114" t="b">
        <v>0</v>
      </c>
      <c r="J226" s="114" t="b">
        <v>0</v>
      </c>
      <c r="K226" s="114" t="b">
        <v>0</v>
      </c>
      <c r="L226" s="114" t="b">
        <v>0</v>
      </c>
      <c r="M226" s="114" t="b">
        <v>0</v>
      </c>
      <c r="N226" s="114" t="b">
        <v>0</v>
      </c>
      <c r="O226" s="114" t="b">
        <v>0</v>
      </c>
      <c r="P226" s="114" t="b">
        <v>0</v>
      </c>
      <c r="Q226" s="114" t="b">
        <v>0</v>
      </c>
      <c r="R226" s="114" t="b">
        <v>0</v>
      </c>
      <c r="S226" s="114" t="b">
        <v>0</v>
      </c>
      <c r="T226" s="114" t="b">
        <v>0</v>
      </c>
      <c r="U226" s="114" t="b">
        <v>0</v>
      </c>
      <c r="V226" s="114" t="b">
        <v>0</v>
      </c>
      <c r="W226" s="114" t="b">
        <v>0</v>
      </c>
      <c r="X226" s="114" t="b">
        <v>0</v>
      </c>
      <c r="Y226" s="114" t="b">
        <v>0</v>
      </c>
      <c r="Z226" s="114" t="b">
        <v>0</v>
      </c>
      <c r="AA226" s="114" t="b">
        <v>0</v>
      </c>
      <c r="AB226" s="114" t="b">
        <v>0</v>
      </c>
      <c r="AC226" s="114" t="b">
        <v>0</v>
      </c>
      <c r="AD226" s="114" t="b">
        <v>0</v>
      </c>
      <c r="AE226" s="114" t="b">
        <v>0</v>
      </c>
      <c r="AF226" s="114" t="b">
        <v>0</v>
      </c>
      <c r="AG226" s="114" t="b">
        <v>0</v>
      </c>
      <c r="AH226" s="114" t="b">
        <v>0</v>
      </c>
      <c r="AI226" s="114" t="b">
        <v>0</v>
      </c>
      <c r="AJ226" s="114" t="b">
        <v>0</v>
      </c>
      <c r="AK226" s="114" t="b">
        <v>0</v>
      </c>
      <c r="AL226" s="115" t="str">
        <f t="shared" si="1"/>
        <v>0 dari 31 (0%)</v>
      </c>
    </row>
    <row r="227" ht="22.5" customHeight="1">
      <c r="A227" s="10">
        <v>226.0</v>
      </c>
      <c r="B227" s="11"/>
      <c r="C227" s="140"/>
      <c r="D227" s="138"/>
      <c r="E227" s="138"/>
      <c r="F227" s="13"/>
      <c r="G227" s="114" t="b">
        <v>0</v>
      </c>
      <c r="H227" s="114" t="b">
        <v>0</v>
      </c>
      <c r="I227" s="114" t="b">
        <v>0</v>
      </c>
      <c r="J227" s="114" t="b">
        <v>0</v>
      </c>
      <c r="K227" s="114" t="b">
        <v>0</v>
      </c>
      <c r="L227" s="114" t="b">
        <v>0</v>
      </c>
      <c r="M227" s="114" t="b">
        <v>0</v>
      </c>
      <c r="N227" s="114" t="b">
        <v>0</v>
      </c>
      <c r="O227" s="114" t="b">
        <v>0</v>
      </c>
      <c r="P227" s="114" t="b">
        <v>0</v>
      </c>
      <c r="Q227" s="114" t="b">
        <v>0</v>
      </c>
      <c r="R227" s="114" t="b">
        <v>0</v>
      </c>
      <c r="S227" s="114" t="b">
        <v>0</v>
      </c>
      <c r="T227" s="114" t="b">
        <v>0</v>
      </c>
      <c r="U227" s="114" t="b">
        <v>0</v>
      </c>
      <c r="V227" s="114" t="b">
        <v>0</v>
      </c>
      <c r="W227" s="114" t="b">
        <v>0</v>
      </c>
      <c r="X227" s="114" t="b">
        <v>0</v>
      </c>
      <c r="Y227" s="114" t="b">
        <v>0</v>
      </c>
      <c r="Z227" s="114" t="b">
        <v>0</v>
      </c>
      <c r="AA227" s="114" t="b">
        <v>0</v>
      </c>
      <c r="AB227" s="114" t="b">
        <v>0</v>
      </c>
      <c r="AC227" s="114" t="b">
        <v>0</v>
      </c>
      <c r="AD227" s="114" t="b">
        <v>0</v>
      </c>
      <c r="AE227" s="114" t="b">
        <v>0</v>
      </c>
      <c r="AF227" s="114" t="b">
        <v>0</v>
      </c>
      <c r="AG227" s="114" t="b">
        <v>0</v>
      </c>
      <c r="AH227" s="114" t="b">
        <v>0</v>
      </c>
      <c r="AI227" s="114" t="b">
        <v>0</v>
      </c>
      <c r="AJ227" s="114" t="b">
        <v>0</v>
      </c>
      <c r="AK227" s="114" t="b">
        <v>0</v>
      </c>
      <c r="AL227" s="115" t="str">
        <f t="shared" si="1"/>
        <v>0 dari 31 (0%)</v>
      </c>
    </row>
    <row r="228" ht="22.5" customHeight="1">
      <c r="A228" s="2">
        <v>227.0</v>
      </c>
      <c r="B228" s="11"/>
      <c r="C228" s="140"/>
      <c r="D228" s="138"/>
      <c r="E228" s="138"/>
      <c r="F228" s="13"/>
      <c r="G228" s="114" t="b">
        <v>0</v>
      </c>
      <c r="H228" s="114" t="b">
        <v>0</v>
      </c>
      <c r="I228" s="114" t="b">
        <v>0</v>
      </c>
      <c r="J228" s="114" t="b">
        <v>0</v>
      </c>
      <c r="K228" s="114" t="b">
        <v>0</v>
      </c>
      <c r="L228" s="114" t="b">
        <v>0</v>
      </c>
      <c r="M228" s="114" t="b">
        <v>0</v>
      </c>
      <c r="N228" s="114" t="b">
        <v>0</v>
      </c>
      <c r="O228" s="114" t="b">
        <v>0</v>
      </c>
      <c r="P228" s="114" t="b">
        <v>0</v>
      </c>
      <c r="Q228" s="114" t="b">
        <v>0</v>
      </c>
      <c r="R228" s="114" t="b">
        <v>0</v>
      </c>
      <c r="S228" s="114" t="b">
        <v>0</v>
      </c>
      <c r="T228" s="114" t="b">
        <v>0</v>
      </c>
      <c r="U228" s="114" t="b">
        <v>0</v>
      </c>
      <c r="V228" s="114" t="b">
        <v>0</v>
      </c>
      <c r="W228" s="114" t="b">
        <v>0</v>
      </c>
      <c r="X228" s="114" t="b">
        <v>0</v>
      </c>
      <c r="Y228" s="114" t="b">
        <v>0</v>
      </c>
      <c r="Z228" s="114" t="b">
        <v>0</v>
      </c>
      <c r="AA228" s="114" t="b">
        <v>0</v>
      </c>
      <c r="AB228" s="114" t="b">
        <v>0</v>
      </c>
      <c r="AC228" s="114" t="b">
        <v>0</v>
      </c>
      <c r="AD228" s="114" t="b">
        <v>0</v>
      </c>
      <c r="AE228" s="114" t="b">
        <v>0</v>
      </c>
      <c r="AF228" s="114" t="b">
        <v>0</v>
      </c>
      <c r="AG228" s="114" t="b">
        <v>0</v>
      </c>
      <c r="AH228" s="114" t="b">
        <v>0</v>
      </c>
      <c r="AI228" s="114" t="b">
        <v>0</v>
      </c>
      <c r="AJ228" s="114" t="b">
        <v>0</v>
      </c>
      <c r="AK228" s="114" t="b">
        <v>0</v>
      </c>
      <c r="AL228" s="115" t="str">
        <f t="shared" si="1"/>
        <v>0 dari 31 (0%)</v>
      </c>
    </row>
    <row r="229" ht="22.5" customHeight="1">
      <c r="A229" s="10">
        <v>228.0</v>
      </c>
      <c r="B229" s="11"/>
      <c r="C229" s="140"/>
      <c r="D229" s="138"/>
      <c r="E229" s="138"/>
      <c r="F229" s="13"/>
      <c r="G229" s="114" t="b">
        <v>0</v>
      </c>
      <c r="H229" s="114" t="b">
        <v>0</v>
      </c>
      <c r="I229" s="114" t="b">
        <v>0</v>
      </c>
      <c r="J229" s="114" t="b">
        <v>0</v>
      </c>
      <c r="K229" s="114" t="b">
        <v>0</v>
      </c>
      <c r="L229" s="114" t="b">
        <v>0</v>
      </c>
      <c r="M229" s="114" t="b">
        <v>0</v>
      </c>
      <c r="N229" s="114" t="b">
        <v>0</v>
      </c>
      <c r="O229" s="114" t="b">
        <v>0</v>
      </c>
      <c r="P229" s="114" t="b">
        <v>0</v>
      </c>
      <c r="Q229" s="114" t="b">
        <v>0</v>
      </c>
      <c r="R229" s="114" t="b">
        <v>0</v>
      </c>
      <c r="S229" s="114" t="b">
        <v>0</v>
      </c>
      <c r="T229" s="114" t="b">
        <v>0</v>
      </c>
      <c r="U229" s="114" t="b">
        <v>0</v>
      </c>
      <c r="V229" s="114" t="b">
        <v>0</v>
      </c>
      <c r="W229" s="114" t="b">
        <v>0</v>
      </c>
      <c r="X229" s="114" t="b">
        <v>0</v>
      </c>
      <c r="Y229" s="114" t="b">
        <v>0</v>
      </c>
      <c r="Z229" s="114" t="b">
        <v>0</v>
      </c>
      <c r="AA229" s="114" t="b">
        <v>0</v>
      </c>
      <c r="AB229" s="114" t="b">
        <v>0</v>
      </c>
      <c r="AC229" s="114" t="b">
        <v>0</v>
      </c>
      <c r="AD229" s="114" t="b">
        <v>0</v>
      </c>
      <c r="AE229" s="114" t="b">
        <v>0</v>
      </c>
      <c r="AF229" s="114" t="b">
        <v>0</v>
      </c>
      <c r="AG229" s="114" t="b">
        <v>0</v>
      </c>
      <c r="AH229" s="114" t="b">
        <v>0</v>
      </c>
      <c r="AI229" s="114" t="b">
        <v>0</v>
      </c>
      <c r="AJ229" s="114" t="b">
        <v>0</v>
      </c>
      <c r="AK229" s="114" t="b">
        <v>0</v>
      </c>
      <c r="AL229" s="115" t="str">
        <f t="shared" si="1"/>
        <v>0 dari 31 (0%)</v>
      </c>
    </row>
    <row r="230" ht="22.5" customHeight="1">
      <c r="A230" s="10">
        <v>229.0</v>
      </c>
      <c r="B230" s="11"/>
      <c r="C230" s="140"/>
      <c r="D230" s="138"/>
      <c r="E230" s="138"/>
      <c r="F230" s="13"/>
      <c r="G230" s="114" t="b">
        <v>0</v>
      </c>
      <c r="H230" s="114" t="b">
        <v>0</v>
      </c>
      <c r="I230" s="114" t="b">
        <v>0</v>
      </c>
      <c r="J230" s="114" t="b">
        <v>0</v>
      </c>
      <c r="K230" s="114" t="b">
        <v>0</v>
      </c>
      <c r="L230" s="114" t="b">
        <v>0</v>
      </c>
      <c r="M230" s="114" t="b">
        <v>0</v>
      </c>
      <c r="N230" s="114" t="b">
        <v>0</v>
      </c>
      <c r="O230" s="114" t="b">
        <v>0</v>
      </c>
      <c r="P230" s="114" t="b">
        <v>0</v>
      </c>
      <c r="Q230" s="114" t="b">
        <v>0</v>
      </c>
      <c r="R230" s="114" t="b">
        <v>0</v>
      </c>
      <c r="S230" s="114" t="b">
        <v>0</v>
      </c>
      <c r="T230" s="114" t="b">
        <v>0</v>
      </c>
      <c r="U230" s="114" t="b">
        <v>0</v>
      </c>
      <c r="V230" s="114" t="b">
        <v>0</v>
      </c>
      <c r="W230" s="114" t="b">
        <v>0</v>
      </c>
      <c r="X230" s="114" t="b">
        <v>0</v>
      </c>
      <c r="Y230" s="114" t="b">
        <v>0</v>
      </c>
      <c r="Z230" s="114" t="b">
        <v>0</v>
      </c>
      <c r="AA230" s="114" t="b">
        <v>0</v>
      </c>
      <c r="AB230" s="114" t="b">
        <v>0</v>
      </c>
      <c r="AC230" s="114" t="b">
        <v>0</v>
      </c>
      <c r="AD230" s="114" t="b">
        <v>0</v>
      </c>
      <c r="AE230" s="114" t="b">
        <v>0</v>
      </c>
      <c r="AF230" s="114" t="b">
        <v>0</v>
      </c>
      <c r="AG230" s="114" t="b">
        <v>0</v>
      </c>
      <c r="AH230" s="114" t="b">
        <v>0</v>
      </c>
      <c r="AI230" s="114" t="b">
        <v>0</v>
      </c>
      <c r="AJ230" s="114" t="b">
        <v>0</v>
      </c>
      <c r="AK230" s="114" t="b">
        <v>0</v>
      </c>
      <c r="AL230" s="115" t="str">
        <f t="shared" si="1"/>
        <v>0 dari 31 (0%)</v>
      </c>
    </row>
    <row r="231" ht="22.5" customHeight="1">
      <c r="A231" s="2">
        <v>230.0</v>
      </c>
      <c r="B231" s="11"/>
      <c r="C231" s="140"/>
      <c r="D231" s="138"/>
      <c r="E231" s="138"/>
      <c r="F231" s="13"/>
      <c r="G231" s="114" t="b">
        <v>0</v>
      </c>
      <c r="H231" s="114" t="b">
        <v>0</v>
      </c>
      <c r="I231" s="114" t="b">
        <v>0</v>
      </c>
      <c r="J231" s="114" t="b">
        <v>0</v>
      </c>
      <c r="K231" s="114" t="b">
        <v>0</v>
      </c>
      <c r="L231" s="114" t="b">
        <v>0</v>
      </c>
      <c r="M231" s="114" t="b">
        <v>0</v>
      </c>
      <c r="N231" s="114" t="b">
        <v>0</v>
      </c>
      <c r="O231" s="114" t="b">
        <v>0</v>
      </c>
      <c r="P231" s="114" t="b">
        <v>0</v>
      </c>
      <c r="Q231" s="114" t="b">
        <v>0</v>
      </c>
      <c r="R231" s="114" t="b">
        <v>0</v>
      </c>
      <c r="S231" s="114" t="b">
        <v>0</v>
      </c>
      <c r="T231" s="114" t="b">
        <v>0</v>
      </c>
      <c r="U231" s="114" t="b">
        <v>0</v>
      </c>
      <c r="V231" s="114" t="b">
        <v>0</v>
      </c>
      <c r="W231" s="114" t="b">
        <v>0</v>
      </c>
      <c r="X231" s="114" t="b">
        <v>0</v>
      </c>
      <c r="Y231" s="114" t="b">
        <v>0</v>
      </c>
      <c r="Z231" s="114" t="b">
        <v>0</v>
      </c>
      <c r="AA231" s="114" t="b">
        <v>0</v>
      </c>
      <c r="AB231" s="114" t="b">
        <v>0</v>
      </c>
      <c r="AC231" s="114" t="b">
        <v>0</v>
      </c>
      <c r="AD231" s="114" t="b">
        <v>0</v>
      </c>
      <c r="AE231" s="114" t="b">
        <v>0</v>
      </c>
      <c r="AF231" s="114" t="b">
        <v>0</v>
      </c>
      <c r="AG231" s="114" t="b">
        <v>0</v>
      </c>
      <c r="AH231" s="114" t="b">
        <v>0</v>
      </c>
      <c r="AI231" s="114" t="b">
        <v>0</v>
      </c>
      <c r="AJ231" s="114" t="b">
        <v>0</v>
      </c>
      <c r="AK231" s="114" t="b">
        <v>0</v>
      </c>
      <c r="AL231" s="115" t="str">
        <f t="shared" si="1"/>
        <v>0 dari 31 (0%)</v>
      </c>
    </row>
    <row r="232" ht="22.5" customHeight="1">
      <c r="A232" s="10">
        <v>231.0</v>
      </c>
      <c r="B232" s="11"/>
      <c r="C232" s="140"/>
      <c r="D232" s="138"/>
      <c r="E232" s="138"/>
      <c r="F232" s="13"/>
      <c r="G232" s="114" t="b">
        <v>0</v>
      </c>
      <c r="H232" s="114" t="b">
        <v>0</v>
      </c>
      <c r="I232" s="114" t="b">
        <v>0</v>
      </c>
      <c r="J232" s="114" t="b">
        <v>0</v>
      </c>
      <c r="K232" s="114" t="b">
        <v>0</v>
      </c>
      <c r="L232" s="114" t="b">
        <v>0</v>
      </c>
      <c r="M232" s="114" t="b">
        <v>0</v>
      </c>
      <c r="N232" s="114" t="b">
        <v>0</v>
      </c>
      <c r="O232" s="114" t="b">
        <v>0</v>
      </c>
      <c r="P232" s="114" t="b">
        <v>0</v>
      </c>
      <c r="Q232" s="114" t="b">
        <v>0</v>
      </c>
      <c r="R232" s="114" t="b">
        <v>0</v>
      </c>
      <c r="S232" s="114" t="b">
        <v>0</v>
      </c>
      <c r="T232" s="114" t="b">
        <v>0</v>
      </c>
      <c r="U232" s="114" t="b">
        <v>0</v>
      </c>
      <c r="V232" s="114" t="b">
        <v>0</v>
      </c>
      <c r="W232" s="114" t="b">
        <v>0</v>
      </c>
      <c r="X232" s="114" t="b">
        <v>0</v>
      </c>
      <c r="Y232" s="114" t="b">
        <v>0</v>
      </c>
      <c r="Z232" s="114" t="b">
        <v>0</v>
      </c>
      <c r="AA232" s="114" t="b">
        <v>0</v>
      </c>
      <c r="AB232" s="114" t="b">
        <v>0</v>
      </c>
      <c r="AC232" s="114" t="b">
        <v>0</v>
      </c>
      <c r="AD232" s="114" t="b">
        <v>0</v>
      </c>
      <c r="AE232" s="114" t="b">
        <v>0</v>
      </c>
      <c r="AF232" s="114" t="b">
        <v>0</v>
      </c>
      <c r="AG232" s="114" t="b">
        <v>0</v>
      </c>
      <c r="AH232" s="114" t="b">
        <v>0</v>
      </c>
      <c r="AI232" s="114" t="b">
        <v>0</v>
      </c>
      <c r="AJ232" s="114" t="b">
        <v>0</v>
      </c>
      <c r="AK232" s="114" t="b">
        <v>0</v>
      </c>
      <c r="AL232" s="115" t="str">
        <f t="shared" si="1"/>
        <v>0 dari 31 (0%)</v>
      </c>
    </row>
    <row r="233" ht="22.5" customHeight="1">
      <c r="A233" s="2">
        <v>232.0</v>
      </c>
      <c r="B233" s="11"/>
      <c r="C233" s="140"/>
      <c r="D233" s="138"/>
      <c r="E233" s="138"/>
      <c r="F233" s="13"/>
      <c r="G233" s="114" t="b">
        <v>0</v>
      </c>
      <c r="H233" s="114" t="b">
        <v>0</v>
      </c>
      <c r="I233" s="114" t="b">
        <v>0</v>
      </c>
      <c r="J233" s="114" t="b">
        <v>0</v>
      </c>
      <c r="K233" s="114" t="b">
        <v>0</v>
      </c>
      <c r="L233" s="114" t="b">
        <v>0</v>
      </c>
      <c r="M233" s="114" t="b">
        <v>0</v>
      </c>
      <c r="N233" s="114" t="b">
        <v>0</v>
      </c>
      <c r="O233" s="114" t="b">
        <v>0</v>
      </c>
      <c r="P233" s="114" t="b">
        <v>0</v>
      </c>
      <c r="Q233" s="114" t="b">
        <v>0</v>
      </c>
      <c r="R233" s="114" t="b">
        <v>0</v>
      </c>
      <c r="S233" s="114" t="b">
        <v>0</v>
      </c>
      <c r="T233" s="114" t="b">
        <v>0</v>
      </c>
      <c r="U233" s="114" t="b">
        <v>0</v>
      </c>
      <c r="V233" s="114" t="b">
        <v>0</v>
      </c>
      <c r="W233" s="114" t="b">
        <v>0</v>
      </c>
      <c r="X233" s="114" t="b">
        <v>0</v>
      </c>
      <c r="Y233" s="114" t="b">
        <v>0</v>
      </c>
      <c r="Z233" s="114" t="b">
        <v>0</v>
      </c>
      <c r="AA233" s="114" t="b">
        <v>0</v>
      </c>
      <c r="AB233" s="114" t="b">
        <v>0</v>
      </c>
      <c r="AC233" s="114" t="b">
        <v>0</v>
      </c>
      <c r="AD233" s="114" t="b">
        <v>0</v>
      </c>
      <c r="AE233" s="114" t="b">
        <v>0</v>
      </c>
      <c r="AF233" s="114" t="b">
        <v>0</v>
      </c>
      <c r="AG233" s="114" t="b">
        <v>0</v>
      </c>
      <c r="AH233" s="114" t="b">
        <v>0</v>
      </c>
      <c r="AI233" s="114" t="b">
        <v>0</v>
      </c>
      <c r="AJ233" s="114" t="b">
        <v>0</v>
      </c>
      <c r="AK233" s="114" t="b">
        <v>0</v>
      </c>
      <c r="AL233" s="115" t="str">
        <f t="shared" si="1"/>
        <v>0 dari 31 (0%)</v>
      </c>
    </row>
    <row r="234" ht="22.5" customHeight="1">
      <c r="A234" s="10">
        <v>233.0</v>
      </c>
      <c r="B234" s="11"/>
      <c r="C234" s="140"/>
      <c r="D234" s="138"/>
      <c r="E234" s="138"/>
      <c r="F234" s="13"/>
      <c r="G234" s="114" t="b">
        <v>0</v>
      </c>
      <c r="H234" s="114" t="b">
        <v>0</v>
      </c>
      <c r="I234" s="114" t="b">
        <v>0</v>
      </c>
      <c r="J234" s="114" t="b">
        <v>0</v>
      </c>
      <c r="K234" s="114" t="b">
        <v>0</v>
      </c>
      <c r="L234" s="114" t="b">
        <v>0</v>
      </c>
      <c r="M234" s="114" t="b">
        <v>0</v>
      </c>
      <c r="N234" s="114" t="b">
        <v>0</v>
      </c>
      <c r="O234" s="114" t="b">
        <v>0</v>
      </c>
      <c r="P234" s="114" t="b">
        <v>0</v>
      </c>
      <c r="Q234" s="114" t="b">
        <v>0</v>
      </c>
      <c r="R234" s="114" t="b">
        <v>0</v>
      </c>
      <c r="S234" s="114" t="b">
        <v>0</v>
      </c>
      <c r="T234" s="114" t="b">
        <v>0</v>
      </c>
      <c r="U234" s="114" t="b">
        <v>0</v>
      </c>
      <c r="V234" s="114" t="b">
        <v>0</v>
      </c>
      <c r="W234" s="114" t="b">
        <v>0</v>
      </c>
      <c r="X234" s="114" t="b">
        <v>0</v>
      </c>
      <c r="Y234" s="114" t="b">
        <v>0</v>
      </c>
      <c r="Z234" s="114" t="b">
        <v>0</v>
      </c>
      <c r="AA234" s="114" t="b">
        <v>0</v>
      </c>
      <c r="AB234" s="114" t="b">
        <v>0</v>
      </c>
      <c r="AC234" s="114" t="b">
        <v>0</v>
      </c>
      <c r="AD234" s="114" t="b">
        <v>0</v>
      </c>
      <c r="AE234" s="114" t="b">
        <v>0</v>
      </c>
      <c r="AF234" s="114" t="b">
        <v>0</v>
      </c>
      <c r="AG234" s="114" t="b">
        <v>0</v>
      </c>
      <c r="AH234" s="114" t="b">
        <v>0</v>
      </c>
      <c r="AI234" s="114" t="b">
        <v>0</v>
      </c>
      <c r="AJ234" s="114" t="b">
        <v>0</v>
      </c>
      <c r="AK234" s="114" t="b">
        <v>0</v>
      </c>
      <c r="AL234" s="115" t="str">
        <f t="shared" si="1"/>
        <v>0 dari 31 (0%)</v>
      </c>
    </row>
    <row r="235" ht="22.5" customHeight="1">
      <c r="A235" s="10">
        <v>234.0</v>
      </c>
      <c r="B235" s="11"/>
      <c r="C235" s="140"/>
      <c r="D235" s="138"/>
      <c r="E235" s="138"/>
      <c r="F235" s="13"/>
      <c r="G235" s="114" t="b">
        <v>0</v>
      </c>
      <c r="H235" s="114" t="b">
        <v>0</v>
      </c>
      <c r="I235" s="114" t="b">
        <v>0</v>
      </c>
      <c r="J235" s="114" t="b">
        <v>0</v>
      </c>
      <c r="K235" s="114" t="b">
        <v>0</v>
      </c>
      <c r="L235" s="114" t="b">
        <v>0</v>
      </c>
      <c r="M235" s="114" t="b">
        <v>0</v>
      </c>
      <c r="N235" s="114" t="b">
        <v>0</v>
      </c>
      <c r="O235" s="114" t="b">
        <v>0</v>
      </c>
      <c r="P235" s="114" t="b">
        <v>0</v>
      </c>
      <c r="Q235" s="114" t="b">
        <v>0</v>
      </c>
      <c r="R235" s="114" t="b">
        <v>0</v>
      </c>
      <c r="S235" s="114" t="b">
        <v>0</v>
      </c>
      <c r="T235" s="114" t="b">
        <v>0</v>
      </c>
      <c r="U235" s="114" t="b">
        <v>0</v>
      </c>
      <c r="V235" s="114" t="b">
        <v>0</v>
      </c>
      <c r="W235" s="114" t="b">
        <v>0</v>
      </c>
      <c r="X235" s="114" t="b">
        <v>0</v>
      </c>
      <c r="Y235" s="114" t="b">
        <v>0</v>
      </c>
      <c r="Z235" s="114" t="b">
        <v>0</v>
      </c>
      <c r="AA235" s="114" t="b">
        <v>0</v>
      </c>
      <c r="AB235" s="114" t="b">
        <v>0</v>
      </c>
      <c r="AC235" s="114" t="b">
        <v>0</v>
      </c>
      <c r="AD235" s="114" t="b">
        <v>0</v>
      </c>
      <c r="AE235" s="114" t="b">
        <v>0</v>
      </c>
      <c r="AF235" s="114" t="b">
        <v>0</v>
      </c>
      <c r="AG235" s="114" t="b">
        <v>0</v>
      </c>
      <c r="AH235" s="114" t="b">
        <v>0</v>
      </c>
      <c r="AI235" s="114" t="b">
        <v>0</v>
      </c>
      <c r="AJ235" s="114" t="b">
        <v>0</v>
      </c>
      <c r="AK235" s="114" t="b">
        <v>0</v>
      </c>
      <c r="AL235" s="115" t="str">
        <f t="shared" si="1"/>
        <v>0 dari 31 (0%)</v>
      </c>
    </row>
    <row r="236" ht="22.5" customHeight="1">
      <c r="A236" s="2">
        <v>235.0</v>
      </c>
      <c r="B236" s="11"/>
      <c r="C236" s="140"/>
      <c r="D236" s="138"/>
      <c r="E236" s="138"/>
      <c r="F236" s="13"/>
      <c r="G236" s="114" t="b">
        <v>0</v>
      </c>
      <c r="H236" s="114" t="b">
        <v>0</v>
      </c>
      <c r="I236" s="114" t="b">
        <v>0</v>
      </c>
      <c r="J236" s="114" t="b">
        <v>0</v>
      </c>
      <c r="K236" s="114" t="b">
        <v>0</v>
      </c>
      <c r="L236" s="114" t="b">
        <v>0</v>
      </c>
      <c r="M236" s="114" t="b">
        <v>0</v>
      </c>
      <c r="N236" s="114" t="b">
        <v>0</v>
      </c>
      <c r="O236" s="114" t="b">
        <v>0</v>
      </c>
      <c r="P236" s="114" t="b">
        <v>0</v>
      </c>
      <c r="Q236" s="114" t="b">
        <v>0</v>
      </c>
      <c r="R236" s="114" t="b">
        <v>0</v>
      </c>
      <c r="S236" s="114" t="b">
        <v>0</v>
      </c>
      <c r="T236" s="114" t="b">
        <v>0</v>
      </c>
      <c r="U236" s="114" t="b">
        <v>0</v>
      </c>
      <c r="V236" s="114" t="b">
        <v>0</v>
      </c>
      <c r="W236" s="114" t="b">
        <v>0</v>
      </c>
      <c r="X236" s="114" t="b">
        <v>0</v>
      </c>
      <c r="Y236" s="114" t="b">
        <v>0</v>
      </c>
      <c r="Z236" s="114" t="b">
        <v>0</v>
      </c>
      <c r="AA236" s="114" t="b">
        <v>0</v>
      </c>
      <c r="AB236" s="114" t="b">
        <v>0</v>
      </c>
      <c r="AC236" s="114" t="b">
        <v>0</v>
      </c>
      <c r="AD236" s="114" t="b">
        <v>0</v>
      </c>
      <c r="AE236" s="114" t="b">
        <v>0</v>
      </c>
      <c r="AF236" s="114" t="b">
        <v>0</v>
      </c>
      <c r="AG236" s="114" t="b">
        <v>0</v>
      </c>
      <c r="AH236" s="114" t="b">
        <v>0</v>
      </c>
      <c r="AI236" s="114" t="b">
        <v>0</v>
      </c>
      <c r="AJ236" s="114" t="b">
        <v>0</v>
      </c>
      <c r="AK236" s="114" t="b">
        <v>0</v>
      </c>
      <c r="AL236" s="115" t="str">
        <f t="shared" si="1"/>
        <v>0 dari 31 (0%)</v>
      </c>
    </row>
    <row r="237" ht="22.5" customHeight="1">
      <c r="A237" s="10">
        <v>236.0</v>
      </c>
      <c r="B237" s="11"/>
      <c r="C237" s="140"/>
      <c r="D237" s="138"/>
      <c r="E237" s="138"/>
      <c r="F237" s="13"/>
      <c r="G237" s="114" t="b">
        <v>0</v>
      </c>
      <c r="H237" s="114" t="b">
        <v>0</v>
      </c>
      <c r="I237" s="114" t="b">
        <v>0</v>
      </c>
      <c r="J237" s="114" t="b">
        <v>0</v>
      </c>
      <c r="K237" s="114" t="b">
        <v>0</v>
      </c>
      <c r="L237" s="114" t="b">
        <v>0</v>
      </c>
      <c r="M237" s="114" t="b">
        <v>0</v>
      </c>
      <c r="N237" s="114" t="b">
        <v>0</v>
      </c>
      <c r="O237" s="114" t="b">
        <v>0</v>
      </c>
      <c r="P237" s="114" t="b">
        <v>0</v>
      </c>
      <c r="Q237" s="114" t="b">
        <v>0</v>
      </c>
      <c r="R237" s="114" t="b">
        <v>0</v>
      </c>
      <c r="S237" s="114" t="b">
        <v>0</v>
      </c>
      <c r="T237" s="114" t="b">
        <v>0</v>
      </c>
      <c r="U237" s="114" t="b">
        <v>0</v>
      </c>
      <c r="V237" s="114" t="b">
        <v>0</v>
      </c>
      <c r="W237" s="114" t="b">
        <v>0</v>
      </c>
      <c r="X237" s="114" t="b">
        <v>0</v>
      </c>
      <c r="Y237" s="114" t="b">
        <v>0</v>
      </c>
      <c r="Z237" s="114" t="b">
        <v>0</v>
      </c>
      <c r="AA237" s="114" t="b">
        <v>0</v>
      </c>
      <c r="AB237" s="114" t="b">
        <v>0</v>
      </c>
      <c r="AC237" s="114" t="b">
        <v>0</v>
      </c>
      <c r="AD237" s="114" t="b">
        <v>0</v>
      </c>
      <c r="AE237" s="114" t="b">
        <v>0</v>
      </c>
      <c r="AF237" s="114" t="b">
        <v>0</v>
      </c>
      <c r="AG237" s="114" t="b">
        <v>0</v>
      </c>
      <c r="AH237" s="114" t="b">
        <v>0</v>
      </c>
      <c r="AI237" s="114" t="b">
        <v>0</v>
      </c>
      <c r="AJ237" s="114" t="b">
        <v>0</v>
      </c>
      <c r="AK237" s="114" t="b">
        <v>0</v>
      </c>
      <c r="AL237" s="115" t="str">
        <f t="shared" si="1"/>
        <v>0 dari 31 (0%)</v>
      </c>
    </row>
    <row r="238" ht="22.5" customHeight="1">
      <c r="A238" s="2">
        <v>237.0</v>
      </c>
      <c r="B238" s="11"/>
      <c r="C238" s="140"/>
      <c r="D238" s="138"/>
      <c r="E238" s="138"/>
      <c r="F238" s="13"/>
      <c r="G238" s="114" t="b">
        <v>0</v>
      </c>
      <c r="H238" s="114" t="b">
        <v>0</v>
      </c>
      <c r="I238" s="114" t="b">
        <v>0</v>
      </c>
      <c r="J238" s="114" t="b">
        <v>0</v>
      </c>
      <c r="K238" s="114" t="b">
        <v>0</v>
      </c>
      <c r="L238" s="114" t="b">
        <v>0</v>
      </c>
      <c r="M238" s="114" t="b">
        <v>0</v>
      </c>
      <c r="N238" s="114" t="b">
        <v>0</v>
      </c>
      <c r="O238" s="114" t="b">
        <v>0</v>
      </c>
      <c r="P238" s="114" t="b">
        <v>0</v>
      </c>
      <c r="Q238" s="114" t="b">
        <v>0</v>
      </c>
      <c r="R238" s="114" t="b">
        <v>0</v>
      </c>
      <c r="S238" s="114" t="b">
        <v>0</v>
      </c>
      <c r="T238" s="114" t="b">
        <v>0</v>
      </c>
      <c r="U238" s="114" t="b">
        <v>0</v>
      </c>
      <c r="V238" s="114" t="b">
        <v>0</v>
      </c>
      <c r="W238" s="114" t="b">
        <v>0</v>
      </c>
      <c r="X238" s="114" t="b">
        <v>0</v>
      </c>
      <c r="Y238" s="114" t="b">
        <v>0</v>
      </c>
      <c r="Z238" s="114" t="b">
        <v>0</v>
      </c>
      <c r="AA238" s="114" t="b">
        <v>0</v>
      </c>
      <c r="AB238" s="114" t="b">
        <v>0</v>
      </c>
      <c r="AC238" s="114" t="b">
        <v>0</v>
      </c>
      <c r="AD238" s="114" t="b">
        <v>0</v>
      </c>
      <c r="AE238" s="114" t="b">
        <v>0</v>
      </c>
      <c r="AF238" s="114" t="b">
        <v>0</v>
      </c>
      <c r="AG238" s="114" t="b">
        <v>0</v>
      </c>
      <c r="AH238" s="114" t="b">
        <v>0</v>
      </c>
      <c r="AI238" s="114" t="b">
        <v>0</v>
      </c>
      <c r="AJ238" s="114" t="b">
        <v>0</v>
      </c>
      <c r="AK238" s="114" t="b">
        <v>0</v>
      </c>
      <c r="AL238" s="115" t="str">
        <f t="shared" si="1"/>
        <v>0 dari 31 (0%)</v>
      </c>
    </row>
    <row r="239" ht="22.5" customHeight="1">
      <c r="A239" s="10">
        <v>238.0</v>
      </c>
      <c r="B239" s="11"/>
      <c r="C239" s="140"/>
      <c r="D239" s="138"/>
      <c r="E239" s="138"/>
      <c r="F239" s="13"/>
      <c r="G239" s="114" t="b">
        <v>0</v>
      </c>
      <c r="H239" s="114" t="b">
        <v>0</v>
      </c>
      <c r="I239" s="114" t="b">
        <v>0</v>
      </c>
      <c r="J239" s="114" t="b">
        <v>0</v>
      </c>
      <c r="K239" s="114" t="b">
        <v>0</v>
      </c>
      <c r="L239" s="114" t="b">
        <v>0</v>
      </c>
      <c r="M239" s="114" t="b">
        <v>0</v>
      </c>
      <c r="N239" s="114" t="b">
        <v>0</v>
      </c>
      <c r="O239" s="114" t="b">
        <v>0</v>
      </c>
      <c r="P239" s="114" t="b">
        <v>0</v>
      </c>
      <c r="Q239" s="114" t="b">
        <v>0</v>
      </c>
      <c r="R239" s="114" t="b">
        <v>0</v>
      </c>
      <c r="S239" s="114" t="b">
        <v>0</v>
      </c>
      <c r="T239" s="114" t="b">
        <v>0</v>
      </c>
      <c r="U239" s="114" t="b">
        <v>0</v>
      </c>
      <c r="V239" s="114" t="b">
        <v>0</v>
      </c>
      <c r="W239" s="114" t="b">
        <v>0</v>
      </c>
      <c r="X239" s="114" t="b">
        <v>0</v>
      </c>
      <c r="Y239" s="114" t="b">
        <v>0</v>
      </c>
      <c r="Z239" s="114" t="b">
        <v>0</v>
      </c>
      <c r="AA239" s="114" t="b">
        <v>0</v>
      </c>
      <c r="AB239" s="114" t="b">
        <v>0</v>
      </c>
      <c r="AC239" s="114" t="b">
        <v>0</v>
      </c>
      <c r="AD239" s="114" t="b">
        <v>0</v>
      </c>
      <c r="AE239" s="114" t="b">
        <v>0</v>
      </c>
      <c r="AF239" s="114" t="b">
        <v>0</v>
      </c>
      <c r="AG239" s="114" t="b">
        <v>0</v>
      </c>
      <c r="AH239" s="114" t="b">
        <v>0</v>
      </c>
      <c r="AI239" s="114" t="b">
        <v>0</v>
      </c>
      <c r="AJ239" s="114" t="b">
        <v>0</v>
      </c>
      <c r="AK239" s="114" t="b">
        <v>0</v>
      </c>
      <c r="AL239" s="115" t="str">
        <f t="shared" si="1"/>
        <v>0 dari 31 (0%)</v>
      </c>
    </row>
    <row r="240" ht="22.5" customHeight="1">
      <c r="A240" s="10">
        <v>239.0</v>
      </c>
      <c r="B240" s="11"/>
      <c r="C240" s="140"/>
      <c r="D240" s="138"/>
      <c r="E240" s="138"/>
      <c r="F240" s="13"/>
      <c r="G240" s="114" t="b">
        <v>0</v>
      </c>
      <c r="H240" s="114" t="b">
        <v>0</v>
      </c>
      <c r="I240" s="114" t="b">
        <v>0</v>
      </c>
      <c r="J240" s="114" t="b">
        <v>0</v>
      </c>
      <c r="K240" s="114" t="b">
        <v>0</v>
      </c>
      <c r="L240" s="114" t="b">
        <v>0</v>
      </c>
      <c r="M240" s="114" t="b">
        <v>0</v>
      </c>
      <c r="N240" s="114" t="b">
        <v>0</v>
      </c>
      <c r="O240" s="114" t="b">
        <v>0</v>
      </c>
      <c r="P240" s="114" t="b">
        <v>0</v>
      </c>
      <c r="Q240" s="114" t="b">
        <v>0</v>
      </c>
      <c r="R240" s="114" t="b">
        <v>0</v>
      </c>
      <c r="S240" s="114" t="b">
        <v>0</v>
      </c>
      <c r="T240" s="114" t="b">
        <v>0</v>
      </c>
      <c r="U240" s="114" t="b">
        <v>0</v>
      </c>
      <c r="V240" s="114" t="b">
        <v>0</v>
      </c>
      <c r="W240" s="114" t="b">
        <v>0</v>
      </c>
      <c r="X240" s="114" t="b">
        <v>0</v>
      </c>
      <c r="Y240" s="114" t="b">
        <v>0</v>
      </c>
      <c r="Z240" s="114" t="b">
        <v>0</v>
      </c>
      <c r="AA240" s="114" t="b">
        <v>0</v>
      </c>
      <c r="AB240" s="114" t="b">
        <v>0</v>
      </c>
      <c r="AC240" s="114" t="b">
        <v>0</v>
      </c>
      <c r="AD240" s="114" t="b">
        <v>0</v>
      </c>
      <c r="AE240" s="114" t="b">
        <v>0</v>
      </c>
      <c r="AF240" s="114" t="b">
        <v>0</v>
      </c>
      <c r="AG240" s="114" t="b">
        <v>0</v>
      </c>
      <c r="AH240" s="114" t="b">
        <v>0</v>
      </c>
      <c r="AI240" s="114" t="b">
        <v>0</v>
      </c>
      <c r="AJ240" s="114" t="b">
        <v>0</v>
      </c>
      <c r="AK240" s="114" t="b">
        <v>0</v>
      </c>
      <c r="AL240" s="115" t="str">
        <f t="shared" si="1"/>
        <v>0 dari 31 (0%)</v>
      </c>
    </row>
    <row r="241" ht="22.5" customHeight="1">
      <c r="A241" s="2">
        <v>240.0</v>
      </c>
      <c r="B241" s="11"/>
      <c r="C241" s="140"/>
      <c r="D241" s="138"/>
      <c r="E241" s="138"/>
      <c r="F241" s="13"/>
      <c r="G241" s="114" t="b">
        <v>0</v>
      </c>
      <c r="H241" s="114" t="b">
        <v>0</v>
      </c>
      <c r="I241" s="114" t="b">
        <v>0</v>
      </c>
      <c r="J241" s="114" t="b">
        <v>0</v>
      </c>
      <c r="K241" s="114" t="b">
        <v>0</v>
      </c>
      <c r="L241" s="114" t="b">
        <v>0</v>
      </c>
      <c r="M241" s="114" t="b">
        <v>0</v>
      </c>
      <c r="N241" s="114" t="b">
        <v>0</v>
      </c>
      <c r="O241" s="114" t="b">
        <v>0</v>
      </c>
      <c r="P241" s="114" t="b">
        <v>0</v>
      </c>
      <c r="Q241" s="114" t="b">
        <v>0</v>
      </c>
      <c r="R241" s="114" t="b">
        <v>0</v>
      </c>
      <c r="S241" s="114" t="b">
        <v>0</v>
      </c>
      <c r="T241" s="114" t="b">
        <v>0</v>
      </c>
      <c r="U241" s="114" t="b">
        <v>0</v>
      </c>
      <c r="V241" s="114" t="b">
        <v>0</v>
      </c>
      <c r="W241" s="114" t="b">
        <v>0</v>
      </c>
      <c r="X241" s="114" t="b">
        <v>0</v>
      </c>
      <c r="Y241" s="114" t="b">
        <v>0</v>
      </c>
      <c r="Z241" s="114" t="b">
        <v>0</v>
      </c>
      <c r="AA241" s="114" t="b">
        <v>0</v>
      </c>
      <c r="AB241" s="114" t="b">
        <v>0</v>
      </c>
      <c r="AC241" s="114" t="b">
        <v>0</v>
      </c>
      <c r="AD241" s="114" t="b">
        <v>0</v>
      </c>
      <c r="AE241" s="114" t="b">
        <v>0</v>
      </c>
      <c r="AF241" s="114" t="b">
        <v>0</v>
      </c>
      <c r="AG241" s="114" t="b">
        <v>0</v>
      </c>
      <c r="AH241" s="114" t="b">
        <v>0</v>
      </c>
      <c r="AI241" s="114" t="b">
        <v>0</v>
      </c>
      <c r="AJ241" s="114" t="b">
        <v>0</v>
      </c>
      <c r="AK241" s="114" t="b">
        <v>0</v>
      </c>
      <c r="AL241" s="115" t="str">
        <f t="shared" si="1"/>
        <v>0 dari 31 (0%)</v>
      </c>
    </row>
    <row r="242" ht="22.5" customHeight="1">
      <c r="A242" s="10">
        <v>241.0</v>
      </c>
      <c r="B242" s="11"/>
      <c r="C242" s="140"/>
      <c r="D242" s="138"/>
      <c r="E242" s="138"/>
      <c r="F242" s="13"/>
      <c r="G242" s="114" t="b">
        <v>0</v>
      </c>
      <c r="H242" s="114" t="b">
        <v>0</v>
      </c>
      <c r="I242" s="114" t="b">
        <v>0</v>
      </c>
      <c r="J242" s="114" t="b">
        <v>0</v>
      </c>
      <c r="K242" s="114" t="b">
        <v>0</v>
      </c>
      <c r="L242" s="114" t="b">
        <v>0</v>
      </c>
      <c r="M242" s="114" t="b">
        <v>0</v>
      </c>
      <c r="N242" s="114" t="b">
        <v>0</v>
      </c>
      <c r="O242" s="114" t="b">
        <v>0</v>
      </c>
      <c r="P242" s="114" t="b">
        <v>0</v>
      </c>
      <c r="Q242" s="114" t="b">
        <v>0</v>
      </c>
      <c r="R242" s="114" t="b">
        <v>0</v>
      </c>
      <c r="S242" s="114" t="b">
        <v>0</v>
      </c>
      <c r="T242" s="114" t="b">
        <v>0</v>
      </c>
      <c r="U242" s="114" t="b">
        <v>0</v>
      </c>
      <c r="V242" s="114" t="b">
        <v>0</v>
      </c>
      <c r="W242" s="114" t="b">
        <v>0</v>
      </c>
      <c r="X242" s="114" t="b">
        <v>0</v>
      </c>
      <c r="Y242" s="114" t="b">
        <v>0</v>
      </c>
      <c r="Z242" s="114" t="b">
        <v>0</v>
      </c>
      <c r="AA242" s="114" t="b">
        <v>0</v>
      </c>
      <c r="AB242" s="114" t="b">
        <v>0</v>
      </c>
      <c r="AC242" s="114" t="b">
        <v>0</v>
      </c>
      <c r="AD242" s="114" t="b">
        <v>0</v>
      </c>
      <c r="AE242" s="114" t="b">
        <v>0</v>
      </c>
      <c r="AF242" s="114" t="b">
        <v>0</v>
      </c>
      <c r="AG242" s="114" t="b">
        <v>0</v>
      </c>
      <c r="AH242" s="114" t="b">
        <v>0</v>
      </c>
      <c r="AI242" s="114" t="b">
        <v>0</v>
      </c>
      <c r="AJ242" s="114" t="b">
        <v>0</v>
      </c>
      <c r="AK242" s="114" t="b">
        <v>0</v>
      </c>
      <c r="AL242" s="115" t="str">
        <f t="shared" si="1"/>
        <v>0 dari 31 (0%)</v>
      </c>
    </row>
    <row r="243" ht="22.5" customHeight="1">
      <c r="A243" s="2">
        <v>242.0</v>
      </c>
      <c r="B243" s="11"/>
      <c r="C243" s="140"/>
      <c r="D243" s="138"/>
      <c r="E243" s="138"/>
      <c r="F243" s="13"/>
      <c r="G243" s="114" t="b">
        <v>0</v>
      </c>
      <c r="H243" s="114" t="b">
        <v>0</v>
      </c>
      <c r="I243" s="114" t="b">
        <v>0</v>
      </c>
      <c r="J243" s="114" t="b">
        <v>0</v>
      </c>
      <c r="K243" s="114" t="b">
        <v>0</v>
      </c>
      <c r="L243" s="114" t="b">
        <v>0</v>
      </c>
      <c r="M243" s="114" t="b">
        <v>0</v>
      </c>
      <c r="N243" s="114" t="b">
        <v>0</v>
      </c>
      <c r="O243" s="114" t="b">
        <v>0</v>
      </c>
      <c r="P243" s="114" t="b">
        <v>0</v>
      </c>
      <c r="Q243" s="114" t="b">
        <v>0</v>
      </c>
      <c r="R243" s="114" t="b">
        <v>0</v>
      </c>
      <c r="S243" s="114" t="b">
        <v>0</v>
      </c>
      <c r="T243" s="114" t="b">
        <v>0</v>
      </c>
      <c r="U243" s="114" t="b">
        <v>0</v>
      </c>
      <c r="V243" s="114" t="b">
        <v>0</v>
      </c>
      <c r="W243" s="114" t="b">
        <v>0</v>
      </c>
      <c r="X243" s="114" t="b">
        <v>0</v>
      </c>
      <c r="Y243" s="114" t="b">
        <v>0</v>
      </c>
      <c r="Z243" s="114" t="b">
        <v>0</v>
      </c>
      <c r="AA243" s="114" t="b">
        <v>0</v>
      </c>
      <c r="AB243" s="114" t="b">
        <v>0</v>
      </c>
      <c r="AC243" s="114" t="b">
        <v>0</v>
      </c>
      <c r="AD243" s="114" t="b">
        <v>0</v>
      </c>
      <c r="AE243" s="114" t="b">
        <v>0</v>
      </c>
      <c r="AF243" s="114" t="b">
        <v>0</v>
      </c>
      <c r="AG243" s="114" t="b">
        <v>0</v>
      </c>
      <c r="AH243" s="114" t="b">
        <v>0</v>
      </c>
      <c r="AI243" s="114" t="b">
        <v>0</v>
      </c>
      <c r="AJ243" s="114" t="b">
        <v>0</v>
      </c>
      <c r="AK243" s="114" t="b">
        <v>0</v>
      </c>
      <c r="AL243" s="115" t="str">
        <f t="shared" si="1"/>
        <v>0 dari 31 (0%)</v>
      </c>
    </row>
    <row r="244" ht="22.5" customHeight="1">
      <c r="A244" s="10">
        <v>243.0</v>
      </c>
      <c r="B244" s="11"/>
      <c r="C244" s="140"/>
      <c r="D244" s="138"/>
      <c r="E244" s="138"/>
      <c r="F244" s="13"/>
      <c r="G244" s="114" t="b">
        <v>0</v>
      </c>
      <c r="H244" s="114" t="b">
        <v>0</v>
      </c>
      <c r="I244" s="114" t="b">
        <v>0</v>
      </c>
      <c r="J244" s="114" t="b">
        <v>0</v>
      </c>
      <c r="K244" s="114" t="b">
        <v>0</v>
      </c>
      <c r="L244" s="114" t="b">
        <v>0</v>
      </c>
      <c r="M244" s="114" t="b">
        <v>0</v>
      </c>
      <c r="N244" s="114" t="b">
        <v>0</v>
      </c>
      <c r="O244" s="114" t="b">
        <v>0</v>
      </c>
      <c r="P244" s="114" t="b">
        <v>0</v>
      </c>
      <c r="Q244" s="114" t="b">
        <v>0</v>
      </c>
      <c r="R244" s="114" t="b">
        <v>0</v>
      </c>
      <c r="S244" s="114" t="b">
        <v>0</v>
      </c>
      <c r="T244" s="114" t="b">
        <v>0</v>
      </c>
      <c r="U244" s="114" t="b">
        <v>0</v>
      </c>
      <c r="V244" s="114" t="b">
        <v>0</v>
      </c>
      <c r="W244" s="114" t="b">
        <v>0</v>
      </c>
      <c r="X244" s="114" t="b">
        <v>0</v>
      </c>
      <c r="Y244" s="114" t="b">
        <v>0</v>
      </c>
      <c r="Z244" s="114" t="b">
        <v>0</v>
      </c>
      <c r="AA244" s="114" t="b">
        <v>0</v>
      </c>
      <c r="AB244" s="114" t="b">
        <v>0</v>
      </c>
      <c r="AC244" s="114" t="b">
        <v>0</v>
      </c>
      <c r="AD244" s="114" t="b">
        <v>0</v>
      </c>
      <c r="AE244" s="114" t="b">
        <v>0</v>
      </c>
      <c r="AF244" s="114" t="b">
        <v>0</v>
      </c>
      <c r="AG244" s="114" t="b">
        <v>0</v>
      </c>
      <c r="AH244" s="114" t="b">
        <v>0</v>
      </c>
      <c r="AI244" s="114" t="b">
        <v>0</v>
      </c>
      <c r="AJ244" s="114" t="b">
        <v>0</v>
      </c>
      <c r="AK244" s="114" t="b">
        <v>0</v>
      </c>
      <c r="AL244" s="115" t="str">
        <f t="shared" si="1"/>
        <v>0 dari 31 (0%)</v>
      </c>
    </row>
    <row r="245" ht="22.5" customHeight="1">
      <c r="A245" s="10">
        <v>244.0</v>
      </c>
      <c r="B245" s="11"/>
      <c r="C245" s="140"/>
      <c r="D245" s="138"/>
      <c r="E245" s="138"/>
      <c r="F245" s="13"/>
      <c r="G245" s="114" t="b">
        <v>0</v>
      </c>
      <c r="H245" s="114" t="b">
        <v>0</v>
      </c>
      <c r="I245" s="114" t="b">
        <v>0</v>
      </c>
      <c r="J245" s="114" t="b">
        <v>0</v>
      </c>
      <c r="K245" s="114" t="b">
        <v>0</v>
      </c>
      <c r="L245" s="114" t="b">
        <v>0</v>
      </c>
      <c r="M245" s="114" t="b">
        <v>0</v>
      </c>
      <c r="N245" s="114" t="b">
        <v>0</v>
      </c>
      <c r="O245" s="114" t="b">
        <v>0</v>
      </c>
      <c r="P245" s="114" t="b">
        <v>0</v>
      </c>
      <c r="Q245" s="114" t="b">
        <v>0</v>
      </c>
      <c r="R245" s="114" t="b">
        <v>0</v>
      </c>
      <c r="S245" s="114" t="b">
        <v>0</v>
      </c>
      <c r="T245" s="114" t="b">
        <v>0</v>
      </c>
      <c r="U245" s="114" t="b">
        <v>0</v>
      </c>
      <c r="V245" s="114" t="b">
        <v>0</v>
      </c>
      <c r="W245" s="114" t="b">
        <v>0</v>
      </c>
      <c r="X245" s="114" t="b">
        <v>0</v>
      </c>
      <c r="Y245" s="114" t="b">
        <v>0</v>
      </c>
      <c r="Z245" s="114" t="b">
        <v>0</v>
      </c>
      <c r="AA245" s="114" t="b">
        <v>0</v>
      </c>
      <c r="AB245" s="114" t="b">
        <v>0</v>
      </c>
      <c r="AC245" s="114" t="b">
        <v>0</v>
      </c>
      <c r="AD245" s="114" t="b">
        <v>0</v>
      </c>
      <c r="AE245" s="114" t="b">
        <v>0</v>
      </c>
      <c r="AF245" s="114" t="b">
        <v>0</v>
      </c>
      <c r="AG245" s="114" t="b">
        <v>0</v>
      </c>
      <c r="AH245" s="114" t="b">
        <v>0</v>
      </c>
      <c r="AI245" s="114" t="b">
        <v>0</v>
      </c>
      <c r="AJ245" s="114" t="b">
        <v>0</v>
      </c>
      <c r="AK245" s="114" t="b">
        <v>0</v>
      </c>
      <c r="AL245" s="115" t="str">
        <f t="shared" si="1"/>
        <v>0 dari 31 (0%)</v>
      </c>
    </row>
    <row r="246" ht="22.5" customHeight="1">
      <c r="A246" s="2">
        <v>245.0</v>
      </c>
      <c r="B246" s="11"/>
      <c r="C246" s="140"/>
      <c r="D246" s="138"/>
      <c r="E246" s="138"/>
      <c r="F246" s="13"/>
      <c r="G246" s="114" t="b">
        <v>0</v>
      </c>
      <c r="H246" s="114" t="b">
        <v>0</v>
      </c>
      <c r="I246" s="114" t="b">
        <v>0</v>
      </c>
      <c r="J246" s="114" t="b">
        <v>0</v>
      </c>
      <c r="K246" s="114" t="b">
        <v>0</v>
      </c>
      <c r="L246" s="114" t="b">
        <v>0</v>
      </c>
      <c r="M246" s="114" t="b">
        <v>0</v>
      </c>
      <c r="N246" s="114" t="b">
        <v>0</v>
      </c>
      <c r="O246" s="114" t="b">
        <v>0</v>
      </c>
      <c r="P246" s="114" t="b">
        <v>0</v>
      </c>
      <c r="Q246" s="114" t="b">
        <v>0</v>
      </c>
      <c r="R246" s="114" t="b">
        <v>0</v>
      </c>
      <c r="S246" s="114" t="b">
        <v>0</v>
      </c>
      <c r="T246" s="114" t="b">
        <v>0</v>
      </c>
      <c r="U246" s="114" t="b">
        <v>0</v>
      </c>
      <c r="V246" s="114" t="b">
        <v>0</v>
      </c>
      <c r="W246" s="114" t="b">
        <v>0</v>
      </c>
      <c r="X246" s="114" t="b">
        <v>0</v>
      </c>
      <c r="Y246" s="114" t="b">
        <v>0</v>
      </c>
      <c r="Z246" s="114" t="b">
        <v>0</v>
      </c>
      <c r="AA246" s="114" t="b">
        <v>0</v>
      </c>
      <c r="AB246" s="114" t="b">
        <v>0</v>
      </c>
      <c r="AC246" s="114" t="b">
        <v>0</v>
      </c>
      <c r="AD246" s="114" t="b">
        <v>0</v>
      </c>
      <c r="AE246" s="114" t="b">
        <v>0</v>
      </c>
      <c r="AF246" s="114" t="b">
        <v>0</v>
      </c>
      <c r="AG246" s="114" t="b">
        <v>0</v>
      </c>
      <c r="AH246" s="114" t="b">
        <v>0</v>
      </c>
      <c r="AI246" s="114" t="b">
        <v>0</v>
      </c>
      <c r="AJ246" s="114" t="b">
        <v>0</v>
      </c>
      <c r="AK246" s="114" t="b">
        <v>0</v>
      </c>
      <c r="AL246" s="115" t="str">
        <f t="shared" si="1"/>
        <v>0 dari 31 (0%)</v>
      </c>
    </row>
    <row r="247" ht="22.5" customHeight="1">
      <c r="A247" s="10">
        <v>246.0</v>
      </c>
      <c r="B247" s="11"/>
      <c r="C247" s="140"/>
      <c r="D247" s="138"/>
      <c r="E247" s="138"/>
      <c r="F247" s="13"/>
      <c r="G247" s="114" t="b">
        <v>0</v>
      </c>
      <c r="H247" s="114" t="b">
        <v>0</v>
      </c>
      <c r="I247" s="114" t="b">
        <v>0</v>
      </c>
      <c r="J247" s="114" t="b">
        <v>0</v>
      </c>
      <c r="K247" s="114" t="b">
        <v>0</v>
      </c>
      <c r="L247" s="114" t="b">
        <v>0</v>
      </c>
      <c r="M247" s="114" t="b">
        <v>0</v>
      </c>
      <c r="N247" s="114" t="b">
        <v>0</v>
      </c>
      <c r="O247" s="114" t="b">
        <v>0</v>
      </c>
      <c r="P247" s="114" t="b">
        <v>0</v>
      </c>
      <c r="Q247" s="114" t="b">
        <v>0</v>
      </c>
      <c r="R247" s="114" t="b">
        <v>0</v>
      </c>
      <c r="S247" s="114" t="b">
        <v>0</v>
      </c>
      <c r="T247" s="114" t="b">
        <v>0</v>
      </c>
      <c r="U247" s="114" t="b">
        <v>0</v>
      </c>
      <c r="V247" s="114" t="b">
        <v>0</v>
      </c>
      <c r="W247" s="114" t="b">
        <v>0</v>
      </c>
      <c r="X247" s="114" t="b">
        <v>0</v>
      </c>
      <c r="Y247" s="114" t="b">
        <v>0</v>
      </c>
      <c r="Z247" s="114" t="b">
        <v>0</v>
      </c>
      <c r="AA247" s="114" t="b">
        <v>0</v>
      </c>
      <c r="AB247" s="114" t="b">
        <v>0</v>
      </c>
      <c r="AC247" s="114" t="b">
        <v>0</v>
      </c>
      <c r="AD247" s="114" t="b">
        <v>0</v>
      </c>
      <c r="AE247" s="114" t="b">
        <v>0</v>
      </c>
      <c r="AF247" s="114" t="b">
        <v>0</v>
      </c>
      <c r="AG247" s="114" t="b">
        <v>0</v>
      </c>
      <c r="AH247" s="114" t="b">
        <v>0</v>
      </c>
      <c r="AI247" s="114" t="b">
        <v>0</v>
      </c>
      <c r="AJ247" s="114" t="b">
        <v>0</v>
      </c>
      <c r="AK247" s="114" t="b">
        <v>0</v>
      </c>
      <c r="AL247" s="115" t="str">
        <f t="shared" si="1"/>
        <v>0 dari 31 (0%)</v>
      </c>
    </row>
    <row r="248" ht="22.5" customHeight="1">
      <c r="A248" s="2">
        <v>247.0</v>
      </c>
      <c r="B248" s="11"/>
      <c r="C248" s="140"/>
      <c r="D248" s="138"/>
      <c r="E248" s="138"/>
      <c r="F248" s="13"/>
      <c r="G248" s="114" t="b">
        <v>0</v>
      </c>
      <c r="H248" s="114" t="b">
        <v>0</v>
      </c>
      <c r="I248" s="114" t="b">
        <v>0</v>
      </c>
      <c r="J248" s="114" t="b">
        <v>0</v>
      </c>
      <c r="K248" s="114" t="b">
        <v>0</v>
      </c>
      <c r="L248" s="114" t="b">
        <v>0</v>
      </c>
      <c r="M248" s="114" t="b">
        <v>0</v>
      </c>
      <c r="N248" s="114" t="b">
        <v>0</v>
      </c>
      <c r="O248" s="114" t="b">
        <v>0</v>
      </c>
      <c r="P248" s="114" t="b">
        <v>0</v>
      </c>
      <c r="Q248" s="114" t="b">
        <v>0</v>
      </c>
      <c r="R248" s="114" t="b">
        <v>0</v>
      </c>
      <c r="S248" s="114" t="b">
        <v>0</v>
      </c>
      <c r="T248" s="114" t="b">
        <v>0</v>
      </c>
      <c r="U248" s="114" t="b">
        <v>0</v>
      </c>
      <c r="V248" s="114" t="b">
        <v>0</v>
      </c>
      <c r="W248" s="114" t="b">
        <v>0</v>
      </c>
      <c r="X248" s="114" t="b">
        <v>0</v>
      </c>
      <c r="Y248" s="114" t="b">
        <v>0</v>
      </c>
      <c r="Z248" s="114" t="b">
        <v>0</v>
      </c>
      <c r="AA248" s="114" t="b">
        <v>0</v>
      </c>
      <c r="AB248" s="114" t="b">
        <v>0</v>
      </c>
      <c r="AC248" s="114" t="b">
        <v>0</v>
      </c>
      <c r="AD248" s="114" t="b">
        <v>0</v>
      </c>
      <c r="AE248" s="114" t="b">
        <v>0</v>
      </c>
      <c r="AF248" s="114" t="b">
        <v>0</v>
      </c>
      <c r="AG248" s="114" t="b">
        <v>0</v>
      </c>
      <c r="AH248" s="114" t="b">
        <v>0</v>
      </c>
      <c r="AI248" s="114" t="b">
        <v>0</v>
      </c>
      <c r="AJ248" s="114" t="b">
        <v>0</v>
      </c>
      <c r="AK248" s="114" t="b">
        <v>0</v>
      </c>
      <c r="AL248" s="115" t="str">
        <f t="shared" si="1"/>
        <v>0 dari 31 (0%)</v>
      </c>
    </row>
    <row r="249" ht="22.5" customHeight="1">
      <c r="A249" s="10">
        <v>248.0</v>
      </c>
      <c r="B249" s="11"/>
      <c r="C249" s="140"/>
      <c r="D249" s="138"/>
      <c r="E249" s="138"/>
      <c r="F249" s="13"/>
      <c r="G249" s="114" t="b">
        <v>0</v>
      </c>
      <c r="H249" s="114" t="b">
        <v>0</v>
      </c>
      <c r="I249" s="114" t="b">
        <v>0</v>
      </c>
      <c r="J249" s="114" t="b">
        <v>0</v>
      </c>
      <c r="K249" s="114" t="b">
        <v>0</v>
      </c>
      <c r="L249" s="114" t="b">
        <v>0</v>
      </c>
      <c r="M249" s="114" t="b">
        <v>0</v>
      </c>
      <c r="N249" s="114" t="b">
        <v>0</v>
      </c>
      <c r="O249" s="114" t="b">
        <v>0</v>
      </c>
      <c r="P249" s="114" t="b">
        <v>0</v>
      </c>
      <c r="Q249" s="114" t="b">
        <v>0</v>
      </c>
      <c r="R249" s="114" t="b">
        <v>0</v>
      </c>
      <c r="S249" s="114" t="b">
        <v>0</v>
      </c>
      <c r="T249" s="114" t="b">
        <v>0</v>
      </c>
      <c r="U249" s="114" t="b">
        <v>0</v>
      </c>
      <c r="V249" s="114" t="b">
        <v>0</v>
      </c>
      <c r="W249" s="114" t="b">
        <v>0</v>
      </c>
      <c r="X249" s="114" t="b">
        <v>0</v>
      </c>
      <c r="Y249" s="114" t="b">
        <v>0</v>
      </c>
      <c r="Z249" s="114" t="b">
        <v>0</v>
      </c>
      <c r="AA249" s="114" t="b">
        <v>0</v>
      </c>
      <c r="AB249" s="114" t="b">
        <v>0</v>
      </c>
      <c r="AC249" s="114" t="b">
        <v>0</v>
      </c>
      <c r="AD249" s="114" t="b">
        <v>0</v>
      </c>
      <c r="AE249" s="114" t="b">
        <v>0</v>
      </c>
      <c r="AF249" s="114" t="b">
        <v>0</v>
      </c>
      <c r="AG249" s="114" t="b">
        <v>0</v>
      </c>
      <c r="AH249" s="114" t="b">
        <v>0</v>
      </c>
      <c r="AI249" s="114" t="b">
        <v>0</v>
      </c>
      <c r="AJ249" s="114" t="b">
        <v>0</v>
      </c>
      <c r="AK249" s="114" t="b">
        <v>0</v>
      </c>
      <c r="AL249" s="115" t="str">
        <f t="shared" si="1"/>
        <v>0 dari 31 (0%)</v>
      </c>
    </row>
    <row r="250" ht="22.5" customHeight="1">
      <c r="A250" s="10">
        <v>249.0</v>
      </c>
      <c r="B250" s="11"/>
      <c r="C250" s="140"/>
      <c r="D250" s="138"/>
      <c r="E250" s="138"/>
      <c r="F250" s="13"/>
      <c r="G250" s="114" t="b">
        <v>0</v>
      </c>
      <c r="H250" s="114" t="b">
        <v>0</v>
      </c>
      <c r="I250" s="114" t="b">
        <v>0</v>
      </c>
      <c r="J250" s="114" t="b">
        <v>0</v>
      </c>
      <c r="K250" s="114" t="b">
        <v>0</v>
      </c>
      <c r="L250" s="114" t="b">
        <v>0</v>
      </c>
      <c r="M250" s="114" t="b">
        <v>0</v>
      </c>
      <c r="N250" s="114" t="b">
        <v>0</v>
      </c>
      <c r="O250" s="114" t="b">
        <v>0</v>
      </c>
      <c r="P250" s="114" t="b">
        <v>0</v>
      </c>
      <c r="Q250" s="114" t="b">
        <v>0</v>
      </c>
      <c r="R250" s="114" t="b">
        <v>0</v>
      </c>
      <c r="S250" s="114" t="b">
        <v>0</v>
      </c>
      <c r="T250" s="114" t="b">
        <v>0</v>
      </c>
      <c r="U250" s="114" t="b">
        <v>0</v>
      </c>
      <c r="V250" s="114" t="b">
        <v>0</v>
      </c>
      <c r="W250" s="114" t="b">
        <v>0</v>
      </c>
      <c r="X250" s="114" t="b">
        <v>0</v>
      </c>
      <c r="Y250" s="114" t="b">
        <v>0</v>
      </c>
      <c r="Z250" s="114" t="b">
        <v>0</v>
      </c>
      <c r="AA250" s="114" t="b">
        <v>0</v>
      </c>
      <c r="AB250" s="114" t="b">
        <v>0</v>
      </c>
      <c r="AC250" s="114" t="b">
        <v>0</v>
      </c>
      <c r="AD250" s="114" t="b">
        <v>0</v>
      </c>
      <c r="AE250" s="114" t="b">
        <v>0</v>
      </c>
      <c r="AF250" s="114" t="b">
        <v>0</v>
      </c>
      <c r="AG250" s="114" t="b">
        <v>0</v>
      </c>
      <c r="AH250" s="114" t="b">
        <v>0</v>
      </c>
      <c r="AI250" s="114" t="b">
        <v>0</v>
      </c>
      <c r="AJ250" s="114" t="b">
        <v>0</v>
      </c>
      <c r="AK250" s="114" t="b">
        <v>0</v>
      </c>
      <c r="AL250" s="115" t="str">
        <f t="shared" si="1"/>
        <v>0 dari 31 (0%)</v>
      </c>
    </row>
    <row r="251" ht="22.5" customHeight="1">
      <c r="A251" s="2">
        <v>250.0</v>
      </c>
      <c r="B251" s="11"/>
      <c r="C251" s="140"/>
      <c r="D251" s="138"/>
      <c r="E251" s="138"/>
      <c r="F251" s="13"/>
      <c r="G251" s="114" t="b">
        <v>0</v>
      </c>
      <c r="H251" s="114" t="b">
        <v>0</v>
      </c>
      <c r="I251" s="114" t="b">
        <v>0</v>
      </c>
      <c r="J251" s="114" t="b">
        <v>0</v>
      </c>
      <c r="K251" s="114" t="b">
        <v>0</v>
      </c>
      <c r="L251" s="114" t="b">
        <v>0</v>
      </c>
      <c r="M251" s="114" t="b">
        <v>0</v>
      </c>
      <c r="N251" s="114" t="b">
        <v>0</v>
      </c>
      <c r="O251" s="114" t="b">
        <v>0</v>
      </c>
      <c r="P251" s="114" t="b">
        <v>0</v>
      </c>
      <c r="Q251" s="114" t="b">
        <v>0</v>
      </c>
      <c r="R251" s="114" t="b">
        <v>0</v>
      </c>
      <c r="S251" s="114" t="b">
        <v>0</v>
      </c>
      <c r="T251" s="114" t="b">
        <v>0</v>
      </c>
      <c r="U251" s="114" t="b">
        <v>0</v>
      </c>
      <c r="V251" s="114" t="b">
        <v>0</v>
      </c>
      <c r="W251" s="114" t="b">
        <v>0</v>
      </c>
      <c r="X251" s="114" t="b">
        <v>0</v>
      </c>
      <c r="Y251" s="114" t="b">
        <v>0</v>
      </c>
      <c r="Z251" s="114" t="b">
        <v>0</v>
      </c>
      <c r="AA251" s="114" t="b">
        <v>0</v>
      </c>
      <c r="AB251" s="114" t="b">
        <v>0</v>
      </c>
      <c r="AC251" s="114" t="b">
        <v>0</v>
      </c>
      <c r="AD251" s="114" t="b">
        <v>0</v>
      </c>
      <c r="AE251" s="114" t="b">
        <v>0</v>
      </c>
      <c r="AF251" s="114" t="b">
        <v>0</v>
      </c>
      <c r="AG251" s="114" t="b">
        <v>0</v>
      </c>
      <c r="AH251" s="114" t="b">
        <v>0</v>
      </c>
      <c r="AI251" s="114" t="b">
        <v>0</v>
      </c>
      <c r="AJ251" s="114" t="b">
        <v>0</v>
      </c>
      <c r="AK251" s="114" t="b">
        <v>0</v>
      </c>
      <c r="AL251" s="115" t="str">
        <f t="shared" si="1"/>
        <v>0 dari 31 (0%)</v>
      </c>
    </row>
    <row r="252" ht="22.5" customHeight="1">
      <c r="A252" s="10">
        <v>251.0</v>
      </c>
      <c r="B252" s="11"/>
      <c r="C252" s="140"/>
      <c r="D252" s="138"/>
      <c r="E252" s="138"/>
      <c r="F252" s="13"/>
      <c r="G252" s="114" t="b">
        <v>0</v>
      </c>
      <c r="H252" s="114" t="b">
        <v>0</v>
      </c>
      <c r="I252" s="114" t="b">
        <v>0</v>
      </c>
      <c r="J252" s="114" t="b">
        <v>0</v>
      </c>
      <c r="K252" s="114" t="b">
        <v>0</v>
      </c>
      <c r="L252" s="114" t="b">
        <v>0</v>
      </c>
      <c r="M252" s="114" t="b">
        <v>0</v>
      </c>
      <c r="N252" s="114" t="b">
        <v>0</v>
      </c>
      <c r="O252" s="114" t="b">
        <v>0</v>
      </c>
      <c r="P252" s="114" t="b">
        <v>0</v>
      </c>
      <c r="Q252" s="114" t="b">
        <v>0</v>
      </c>
      <c r="R252" s="114" t="b">
        <v>0</v>
      </c>
      <c r="S252" s="114" t="b">
        <v>0</v>
      </c>
      <c r="T252" s="114" t="b">
        <v>0</v>
      </c>
      <c r="U252" s="114" t="b">
        <v>0</v>
      </c>
      <c r="V252" s="114" t="b">
        <v>0</v>
      </c>
      <c r="W252" s="114" t="b">
        <v>0</v>
      </c>
      <c r="X252" s="114" t="b">
        <v>0</v>
      </c>
      <c r="Y252" s="114" t="b">
        <v>0</v>
      </c>
      <c r="Z252" s="114" t="b">
        <v>0</v>
      </c>
      <c r="AA252" s="114" t="b">
        <v>0</v>
      </c>
      <c r="AB252" s="114" t="b">
        <v>0</v>
      </c>
      <c r="AC252" s="114" t="b">
        <v>0</v>
      </c>
      <c r="AD252" s="114" t="b">
        <v>0</v>
      </c>
      <c r="AE252" s="114" t="b">
        <v>0</v>
      </c>
      <c r="AF252" s="114" t="b">
        <v>0</v>
      </c>
      <c r="AG252" s="114" t="b">
        <v>0</v>
      </c>
      <c r="AH252" s="114" t="b">
        <v>0</v>
      </c>
      <c r="AI252" s="114" t="b">
        <v>0</v>
      </c>
      <c r="AJ252" s="114" t="b">
        <v>0</v>
      </c>
      <c r="AK252" s="114" t="b">
        <v>0</v>
      </c>
      <c r="AL252" s="115" t="str">
        <f t="shared" si="1"/>
        <v>0 dari 31 (0%)</v>
      </c>
    </row>
    <row r="253" ht="22.5" customHeight="1">
      <c r="A253" s="2">
        <v>252.0</v>
      </c>
      <c r="B253" s="11"/>
      <c r="C253" s="140"/>
      <c r="D253" s="138"/>
      <c r="E253" s="138"/>
      <c r="F253" s="13"/>
      <c r="G253" s="114" t="b">
        <v>0</v>
      </c>
      <c r="H253" s="114" t="b">
        <v>0</v>
      </c>
      <c r="I253" s="114" t="b">
        <v>0</v>
      </c>
      <c r="J253" s="114" t="b">
        <v>0</v>
      </c>
      <c r="K253" s="114" t="b">
        <v>0</v>
      </c>
      <c r="L253" s="114" t="b">
        <v>0</v>
      </c>
      <c r="M253" s="114" t="b">
        <v>0</v>
      </c>
      <c r="N253" s="114" t="b">
        <v>0</v>
      </c>
      <c r="O253" s="114" t="b">
        <v>0</v>
      </c>
      <c r="P253" s="114" t="b">
        <v>0</v>
      </c>
      <c r="Q253" s="114" t="b">
        <v>0</v>
      </c>
      <c r="R253" s="114" t="b">
        <v>0</v>
      </c>
      <c r="S253" s="114" t="b">
        <v>0</v>
      </c>
      <c r="T253" s="114" t="b">
        <v>0</v>
      </c>
      <c r="U253" s="114" t="b">
        <v>0</v>
      </c>
      <c r="V253" s="114" t="b">
        <v>0</v>
      </c>
      <c r="W253" s="114" t="b">
        <v>0</v>
      </c>
      <c r="X253" s="114" t="b">
        <v>0</v>
      </c>
      <c r="Y253" s="114" t="b">
        <v>0</v>
      </c>
      <c r="Z253" s="114" t="b">
        <v>0</v>
      </c>
      <c r="AA253" s="114" t="b">
        <v>0</v>
      </c>
      <c r="AB253" s="114" t="b">
        <v>0</v>
      </c>
      <c r="AC253" s="114" t="b">
        <v>0</v>
      </c>
      <c r="AD253" s="114" t="b">
        <v>0</v>
      </c>
      <c r="AE253" s="114" t="b">
        <v>0</v>
      </c>
      <c r="AF253" s="114" t="b">
        <v>0</v>
      </c>
      <c r="AG253" s="114" t="b">
        <v>0</v>
      </c>
      <c r="AH253" s="114" t="b">
        <v>0</v>
      </c>
      <c r="AI253" s="114" t="b">
        <v>0</v>
      </c>
      <c r="AJ253" s="114" t="b">
        <v>0</v>
      </c>
      <c r="AK253" s="114" t="b">
        <v>0</v>
      </c>
      <c r="AL253" s="115" t="str">
        <f t="shared" si="1"/>
        <v>0 dari 31 (0%)</v>
      </c>
    </row>
    <row r="254" ht="22.5" customHeight="1">
      <c r="A254" s="10">
        <v>253.0</v>
      </c>
      <c r="B254" s="11"/>
      <c r="C254" s="140"/>
      <c r="D254" s="138"/>
      <c r="E254" s="138"/>
      <c r="F254" s="13"/>
      <c r="G254" s="114" t="b">
        <v>0</v>
      </c>
      <c r="H254" s="114" t="b">
        <v>0</v>
      </c>
      <c r="I254" s="114" t="b">
        <v>0</v>
      </c>
      <c r="J254" s="114" t="b">
        <v>0</v>
      </c>
      <c r="K254" s="114" t="b">
        <v>0</v>
      </c>
      <c r="L254" s="114" t="b">
        <v>0</v>
      </c>
      <c r="M254" s="114" t="b">
        <v>0</v>
      </c>
      <c r="N254" s="114" t="b">
        <v>0</v>
      </c>
      <c r="O254" s="114" t="b">
        <v>0</v>
      </c>
      <c r="P254" s="114" t="b">
        <v>0</v>
      </c>
      <c r="Q254" s="114" t="b">
        <v>0</v>
      </c>
      <c r="R254" s="114" t="b">
        <v>0</v>
      </c>
      <c r="S254" s="114" t="b">
        <v>0</v>
      </c>
      <c r="T254" s="114" t="b">
        <v>0</v>
      </c>
      <c r="U254" s="114" t="b">
        <v>0</v>
      </c>
      <c r="V254" s="114" t="b">
        <v>0</v>
      </c>
      <c r="W254" s="114" t="b">
        <v>0</v>
      </c>
      <c r="X254" s="114" t="b">
        <v>0</v>
      </c>
      <c r="Y254" s="114" t="b">
        <v>0</v>
      </c>
      <c r="Z254" s="114" t="b">
        <v>0</v>
      </c>
      <c r="AA254" s="114" t="b">
        <v>0</v>
      </c>
      <c r="AB254" s="114" t="b">
        <v>0</v>
      </c>
      <c r="AC254" s="114" t="b">
        <v>0</v>
      </c>
      <c r="AD254" s="114" t="b">
        <v>0</v>
      </c>
      <c r="AE254" s="114" t="b">
        <v>0</v>
      </c>
      <c r="AF254" s="114" t="b">
        <v>0</v>
      </c>
      <c r="AG254" s="114" t="b">
        <v>0</v>
      </c>
      <c r="AH254" s="114" t="b">
        <v>0</v>
      </c>
      <c r="AI254" s="114" t="b">
        <v>0</v>
      </c>
      <c r="AJ254" s="114" t="b">
        <v>0</v>
      </c>
      <c r="AK254" s="114" t="b">
        <v>0</v>
      </c>
      <c r="AL254" s="115" t="str">
        <f t="shared" si="1"/>
        <v>0 dari 31 (0%)</v>
      </c>
    </row>
    <row r="255" ht="22.5" customHeight="1">
      <c r="A255" s="10">
        <v>254.0</v>
      </c>
      <c r="B255" s="11"/>
      <c r="C255" s="140"/>
      <c r="D255" s="138"/>
      <c r="E255" s="138"/>
      <c r="F255" s="13"/>
      <c r="G255" s="114" t="b">
        <v>0</v>
      </c>
      <c r="H255" s="114" t="b">
        <v>0</v>
      </c>
      <c r="I255" s="114" t="b">
        <v>0</v>
      </c>
      <c r="J255" s="114" t="b">
        <v>0</v>
      </c>
      <c r="K255" s="114" t="b">
        <v>0</v>
      </c>
      <c r="L255" s="114" t="b">
        <v>0</v>
      </c>
      <c r="M255" s="114" t="b">
        <v>0</v>
      </c>
      <c r="N255" s="114" t="b">
        <v>0</v>
      </c>
      <c r="O255" s="114" t="b">
        <v>0</v>
      </c>
      <c r="P255" s="114" t="b">
        <v>0</v>
      </c>
      <c r="Q255" s="114" t="b">
        <v>0</v>
      </c>
      <c r="R255" s="114" t="b">
        <v>0</v>
      </c>
      <c r="S255" s="114" t="b">
        <v>0</v>
      </c>
      <c r="T255" s="114" t="b">
        <v>0</v>
      </c>
      <c r="U255" s="114" t="b">
        <v>0</v>
      </c>
      <c r="V255" s="114" t="b">
        <v>0</v>
      </c>
      <c r="W255" s="114" t="b">
        <v>0</v>
      </c>
      <c r="X255" s="114" t="b">
        <v>0</v>
      </c>
      <c r="Y255" s="114" t="b">
        <v>0</v>
      </c>
      <c r="Z255" s="114" t="b">
        <v>0</v>
      </c>
      <c r="AA255" s="114" t="b">
        <v>0</v>
      </c>
      <c r="AB255" s="114" t="b">
        <v>0</v>
      </c>
      <c r="AC255" s="114" t="b">
        <v>0</v>
      </c>
      <c r="AD255" s="114" t="b">
        <v>0</v>
      </c>
      <c r="AE255" s="114" t="b">
        <v>0</v>
      </c>
      <c r="AF255" s="114" t="b">
        <v>0</v>
      </c>
      <c r="AG255" s="114" t="b">
        <v>0</v>
      </c>
      <c r="AH255" s="114" t="b">
        <v>0</v>
      </c>
      <c r="AI255" s="114" t="b">
        <v>0</v>
      </c>
      <c r="AJ255" s="114" t="b">
        <v>0</v>
      </c>
      <c r="AK255" s="114" t="b">
        <v>0</v>
      </c>
      <c r="AL255" s="115" t="str">
        <f t="shared" si="1"/>
        <v>0 dari 31 (0%)</v>
      </c>
    </row>
    <row r="256" ht="22.5" customHeight="1">
      <c r="A256" s="2">
        <v>255.0</v>
      </c>
      <c r="B256" s="11"/>
      <c r="C256" s="140"/>
      <c r="D256" s="138"/>
      <c r="E256" s="138"/>
      <c r="F256" s="13"/>
      <c r="G256" s="114" t="b">
        <v>0</v>
      </c>
      <c r="H256" s="114" t="b">
        <v>0</v>
      </c>
      <c r="I256" s="114" t="b">
        <v>0</v>
      </c>
      <c r="J256" s="114" t="b">
        <v>0</v>
      </c>
      <c r="K256" s="114" t="b">
        <v>0</v>
      </c>
      <c r="L256" s="114" t="b">
        <v>0</v>
      </c>
      <c r="M256" s="114" t="b">
        <v>0</v>
      </c>
      <c r="N256" s="114" t="b">
        <v>0</v>
      </c>
      <c r="O256" s="114" t="b">
        <v>0</v>
      </c>
      <c r="P256" s="114" t="b">
        <v>0</v>
      </c>
      <c r="Q256" s="114" t="b">
        <v>0</v>
      </c>
      <c r="R256" s="114" t="b">
        <v>0</v>
      </c>
      <c r="S256" s="114" t="b">
        <v>0</v>
      </c>
      <c r="T256" s="114" t="b">
        <v>0</v>
      </c>
      <c r="U256" s="114" t="b">
        <v>0</v>
      </c>
      <c r="V256" s="114" t="b">
        <v>0</v>
      </c>
      <c r="W256" s="114" t="b">
        <v>0</v>
      </c>
      <c r="X256" s="114" t="b">
        <v>0</v>
      </c>
      <c r="Y256" s="114" t="b">
        <v>0</v>
      </c>
      <c r="Z256" s="114" t="b">
        <v>0</v>
      </c>
      <c r="AA256" s="114" t="b">
        <v>0</v>
      </c>
      <c r="AB256" s="114" t="b">
        <v>0</v>
      </c>
      <c r="AC256" s="114" t="b">
        <v>0</v>
      </c>
      <c r="AD256" s="114" t="b">
        <v>0</v>
      </c>
      <c r="AE256" s="114" t="b">
        <v>0</v>
      </c>
      <c r="AF256" s="114" t="b">
        <v>0</v>
      </c>
      <c r="AG256" s="114" t="b">
        <v>0</v>
      </c>
      <c r="AH256" s="114" t="b">
        <v>0</v>
      </c>
      <c r="AI256" s="114" t="b">
        <v>0</v>
      </c>
      <c r="AJ256" s="114" t="b">
        <v>0</v>
      </c>
      <c r="AK256" s="114" t="b">
        <v>0</v>
      </c>
      <c r="AL256" s="115" t="str">
        <f t="shared" si="1"/>
        <v>0 dari 31 (0%)</v>
      </c>
    </row>
    <row r="257" ht="22.5" customHeight="1">
      <c r="A257" s="10">
        <v>256.0</v>
      </c>
      <c r="B257" s="11"/>
      <c r="C257" s="140"/>
      <c r="D257" s="138"/>
      <c r="E257" s="138"/>
      <c r="F257" s="13"/>
      <c r="G257" s="114" t="b">
        <v>0</v>
      </c>
      <c r="H257" s="114" t="b">
        <v>0</v>
      </c>
      <c r="I257" s="114" t="b">
        <v>0</v>
      </c>
      <c r="J257" s="114" t="b">
        <v>0</v>
      </c>
      <c r="K257" s="114" t="b">
        <v>0</v>
      </c>
      <c r="L257" s="114" t="b">
        <v>0</v>
      </c>
      <c r="M257" s="114" t="b">
        <v>0</v>
      </c>
      <c r="N257" s="114" t="b">
        <v>0</v>
      </c>
      <c r="O257" s="114" t="b">
        <v>0</v>
      </c>
      <c r="P257" s="114" t="b">
        <v>0</v>
      </c>
      <c r="Q257" s="114" t="b">
        <v>0</v>
      </c>
      <c r="R257" s="114" t="b">
        <v>0</v>
      </c>
      <c r="S257" s="114" t="b">
        <v>0</v>
      </c>
      <c r="T257" s="114" t="b">
        <v>0</v>
      </c>
      <c r="U257" s="114" t="b">
        <v>0</v>
      </c>
      <c r="V257" s="114" t="b">
        <v>0</v>
      </c>
      <c r="W257" s="114" t="b">
        <v>0</v>
      </c>
      <c r="X257" s="114" t="b">
        <v>0</v>
      </c>
      <c r="Y257" s="114" t="b">
        <v>0</v>
      </c>
      <c r="Z257" s="114" t="b">
        <v>0</v>
      </c>
      <c r="AA257" s="114" t="b">
        <v>0</v>
      </c>
      <c r="AB257" s="114" t="b">
        <v>0</v>
      </c>
      <c r="AC257" s="114" t="b">
        <v>0</v>
      </c>
      <c r="AD257" s="114" t="b">
        <v>0</v>
      </c>
      <c r="AE257" s="114" t="b">
        <v>0</v>
      </c>
      <c r="AF257" s="114" t="b">
        <v>0</v>
      </c>
      <c r="AG257" s="114" t="b">
        <v>0</v>
      </c>
      <c r="AH257" s="114" t="b">
        <v>0</v>
      </c>
      <c r="AI257" s="114" t="b">
        <v>0</v>
      </c>
      <c r="AJ257" s="114" t="b">
        <v>0</v>
      </c>
      <c r="AK257" s="114" t="b">
        <v>0</v>
      </c>
      <c r="AL257" s="115" t="str">
        <f t="shared" si="1"/>
        <v>0 dari 31 (0%)</v>
      </c>
    </row>
    <row r="258" ht="22.5" customHeight="1">
      <c r="A258" s="2">
        <v>257.0</v>
      </c>
      <c r="B258" s="11"/>
      <c r="C258" s="140"/>
      <c r="D258" s="138"/>
      <c r="E258" s="138"/>
      <c r="F258" s="13"/>
      <c r="G258" s="114" t="b">
        <v>0</v>
      </c>
      <c r="H258" s="114" t="b">
        <v>0</v>
      </c>
      <c r="I258" s="114" t="b">
        <v>0</v>
      </c>
      <c r="J258" s="114" t="b">
        <v>0</v>
      </c>
      <c r="K258" s="114" t="b">
        <v>0</v>
      </c>
      <c r="L258" s="114" t="b">
        <v>0</v>
      </c>
      <c r="M258" s="114" t="b">
        <v>0</v>
      </c>
      <c r="N258" s="114" t="b">
        <v>0</v>
      </c>
      <c r="O258" s="114" t="b">
        <v>0</v>
      </c>
      <c r="P258" s="114" t="b">
        <v>0</v>
      </c>
      <c r="Q258" s="114" t="b">
        <v>0</v>
      </c>
      <c r="R258" s="114" t="b">
        <v>0</v>
      </c>
      <c r="S258" s="114" t="b">
        <v>0</v>
      </c>
      <c r="T258" s="114" t="b">
        <v>0</v>
      </c>
      <c r="U258" s="114" t="b">
        <v>0</v>
      </c>
      <c r="V258" s="114" t="b">
        <v>0</v>
      </c>
      <c r="W258" s="114" t="b">
        <v>0</v>
      </c>
      <c r="X258" s="114" t="b">
        <v>0</v>
      </c>
      <c r="Y258" s="114" t="b">
        <v>0</v>
      </c>
      <c r="Z258" s="114" t="b">
        <v>0</v>
      </c>
      <c r="AA258" s="114" t="b">
        <v>0</v>
      </c>
      <c r="AB258" s="114" t="b">
        <v>0</v>
      </c>
      <c r="AC258" s="114" t="b">
        <v>0</v>
      </c>
      <c r="AD258" s="114" t="b">
        <v>0</v>
      </c>
      <c r="AE258" s="114" t="b">
        <v>0</v>
      </c>
      <c r="AF258" s="114" t="b">
        <v>0</v>
      </c>
      <c r="AG258" s="114" t="b">
        <v>0</v>
      </c>
      <c r="AH258" s="114" t="b">
        <v>0</v>
      </c>
      <c r="AI258" s="114" t="b">
        <v>0</v>
      </c>
      <c r="AJ258" s="114" t="b">
        <v>0</v>
      </c>
      <c r="AK258" s="114" t="b">
        <v>0</v>
      </c>
      <c r="AL258" s="115" t="str">
        <f t="shared" si="1"/>
        <v>0 dari 31 (0%)</v>
      </c>
    </row>
    <row r="259" ht="22.5" customHeight="1">
      <c r="A259" s="10">
        <v>258.0</v>
      </c>
      <c r="B259" s="11"/>
      <c r="C259" s="140"/>
      <c r="D259" s="138"/>
      <c r="E259" s="138"/>
      <c r="F259" s="13"/>
      <c r="G259" s="114" t="b">
        <v>0</v>
      </c>
      <c r="H259" s="114" t="b">
        <v>0</v>
      </c>
      <c r="I259" s="114" t="b">
        <v>0</v>
      </c>
      <c r="J259" s="114" t="b">
        <v>0</v>
      </c>
      <c r="K259" s="114" t="b">
        <v>0</v>
      </c>
      <c r="L259" s="114" t="b">
        <v>0</v>
      </c>
      <c r="M259" s="114" t="b">
        <v>0</v>
      </c>
      <c r="N259" s="114" t="b">
        <v>0</v>
      </c>
      <c r="O259" s="114" t="b">
        <v>0</v>
      </c>
      <c r="P259" s="114" t="b">
        <v>0</v>
      </c>
      <c r="Q259" s="114" t="b">
        <v>0</v>
      </c>
      <c r="R259" s="114" t="b">
        <v>0</v>
      </c>
      <c r="S259" s="114" t="b">
        <v>0</v>
      </c>
      <c r="T259" s="114" t="b">
        <v>0</v>
      </c>
      <c r="U259" s="114" t="b">
        <v>0</v>
      </c>
      <c r="V259" s="114" t="b">
        <v>0</v>
      </c>
      <c r="W259" s="114" t="b">
        <v>0</v>
      </c>
      <c r="X259" s="114" t="b">
        <v>0</v>
      </c>
      <c r="Y259" s="114" t="b">
        <v>0</v>
      </c>
      <c r="Z259" s="114" t="b">
        <v>0</v>
      </c>
      <c r="AA259" s="114" t="b">
        <v>0</v>
      </c>
      <c r="AB259" s="114" t="b">
        <v>0</v>
      </c>
      <c r="AC259" s="114" t="b">
        <v>0</v>
      </c>
      <c r="AD259" s="114" t="b">
        <v>0</v>
      </c>
      <c r="AE259" s="114" t="b">
        <v>0</v>
      </c>
      <c r="AF259" s="114" t="b">
        <v>0</v>
      </c>
      <c r="AG259" s="114" t="b">
        <v>0</v>
      </c>
      <c r="AH259" s="114" t="b">
        <v>0</v>
      </c>
      <c r="AI259" s="114" t="b">
        <v>0</v>
      </c>
      <c r="AJ259" s="114" t="b">
        <v>0</v>
      </c>
      <c r="AK259" s="114" t="b">
        <v>0</v>
      </c>
      <c r="AL259" s="115" t="str">
        <f t="shared" si="1"/>
        <v>0 dari 31 (0%)</v>
      </c>
    </row>
    <row r="260" ht="22.5" customHeight="1">
      <c r="A260" s="10">
        <v>259.0</v>
      </c>
      <c r="B260" s="11"/>
      <c r="C260" s="140"/>
      <c r="D260" s="138"/>
      <c r="E260" s="138"/>
      <c r="F260" s="13"/>
      <c r="G260" s="114" t="b">
        <v>0</v>
      </c>
      <c r="H260" s="114" t="b">
        <v>0</v>
      </c>
      <c r="I260" s="114" t="b">
        <v>0</v>
      </c>
      <c r="J260" s="114" t="b">
        <v>0</v>
      </c>
      <c r="K260" s="114" t="b">
        <v>0</v>
      </c>
      <c r="L260" s="114" t="b">
        <v>0</v>
      </c>
      <c r="M260" s="114" t="b">
        <v>0</v>
      </c>
      <c r="N260" s="114" t="b">
        <v>0</v>
      </c>
      <c r="O260" s="114" t="b">
        <v>0</v>
      </c>
      <c r="P260" s="114" t="b">
        <v>0</v>
      </c>
      <c r="Q260" s="114" t="b">
        <v>0</v>
      </c>
      <c r="R260" s="114" t="b">
        <v>0</v>
      </c>
      <c r="S260" s="114" t="b">
        <v>0</v>
      </c>
      <c r="T260" s="114" t="b">
        <v>0</v>
      </c>
      <c r="U260" s="114" t="b">
        <v>0</v>
      </c>
      <c r="V260" s="114" t="b">
        <v>0</v>
      </c>
      <c r="W260" s="114" t="b">
        <v>0</v>
      </c>
      <c r="X260" s="114" t="b">
        <v>0</v>
      </c>
      <c r="Y260" s="114" t="b">
        <v>0</v>
      </c>
      <c r="Z260" s="114" t="b">
        <v>0</v>
      </c>
      <c r="AA260" s="114" t="b">
        <v>0</v>
      </c>
      <c r="AB260" s="114" t="b">
        <v>0</v>
      </c>
      <c r="AC260" s="114" t="b">
        <v>0</v>
      </c>
      <c r="AD260" s="114" t="b">
        <v>0</v>
      </c>
      <c r="AE260" s="114" t="b">
        <v>0</v>
      </c>
      <c r="AF260" s="114" t="b">
        <v>0</v>
      </c>
      <c r="AG260" s="114" t="b">
        <v>0</v>
      </c>
      <c r="AH260" s="114" t="b">
        <v>0</v>
      </c>
      <c r="AI260" s="114" t="b">
        <v>0</v>
      </c>
      <c r="AJ260" s="114" t="b">
        <v>0</v>
      </c>
      <c r="AK260" s="114" t="b">
        <v>0</v>
      </c>
      <c r="AL260" s="115" t="str">
        <f t="shared" si="1"/>
        <v>0 dari 31 (0%)</v>
      </c>
    </row>
    <row r="261" ht="22.5" customHeight="1">
      <c r="A261" s="2">
        <v>260.0</v>
      </c>
      <c r="B261" s="11"/>
      <c r="C261" s="140"/>
      <c r="D261" s="138"/>
      <c r="E261" s="138"/>
      <c r="F261" s="13"/>
      <c r="G261" s="114" t="b">
        <v>0</v>
      </c>
      <c r="H261" s="114" t="b">
        <v>0</v>
      </c>
      <c r="I261" s="114" t="b">
        <v>0</v>
      </c>
      <c r="J261" s="114" t="b">
        <v>0</v>
      </c>
      <c r="K261" s="114" t="b">
        <v>0</v>
      </c>
      <c r="L261" s="114" t="b">
        <v>0</v>
      </c>
      <c r="M261" s="114" t="b">
        <v>0</v>
      </c>
      <c r="N261" s="114" t="b">
        <v>0</v>
      </c>
      <c r="O261" s="114" t="b">
        <v>0</v>
      </c>
      <c r="P261" s="114" t="b">
        <v>0</v>
      </c>
      <c r="Q261" s="114" t="b">
        <v>0</v>
      </c>
      <c r="R261" s="114" t="b">
        <v>0</v>
      </c>
      <c r="S261" s="114" t="b">
        <v>0</v>
      </c>
      <c r="T261" s="114" t="b">
        <v>0</v>
      </c>
      <c r="U261" s="114" t="b">
        <v>0</v>
      </c>
      <c r="V261" s="114" t="b">
        <v>0</v>
      </c>
      <c r="W261" s="114" t="b">
        <v>0</v>
      </c>
      <c r="X261" s="114" t="b">
        <v>0</v>
      </c>
      <c r="Y261" s="114" t="b">
        <v>0</v>
      </c>
      <c r="Z261" s="114" t="b">
        <v>0</v>
      </c>
      <c r="AA261" s="114" t="b">
        <v>0</v>
      </c>
      <c r="AB261" s="114" t="b">
        <v>0</v>
      </c>
      <c r="AC261" s="114" t="b">
        <v>0</v>
      </c>
      <c r="AD261" s="114" t="b">
        <v>0</v>
      </c>
      <c r="AE261" s="114" t="b">
        <v>0</v>
      </c>
      <c r="AF261" s="114" t="b">
        <v>0</v>
      </c>
      <c r="AG261" s="114" t="b">
        <v>0</v>
      </c>
      <c r="AH261" s="114" t="b">
        <v>0</v>
      </c>
      <c r="AI261" s="114" t="b">
        <v>0</v>
      </c>
      <c r="AJ261" s="114" t="b">
        <v>0</v>
      </c>
      <c r="AK261" s="114" t="b">
        <v>0</v>
      </c>
      <c r="AL261" s="115" t="str">
        <f t="shared" si="1"/>
        <v>0 dari 31 (0%)</v>
      </c>
    </row>
    <row r="262" ht="22.5" customHeight="1">
      <c r="A262" s="10">
        <v>261.0</v>
      </c>
      <c r="B262" s="11"/>
      <c r="C262" s="140"/>
      <c r="D262" s="138"/>
      <c r="E262" s="138"/>
      <c r="F262" s="13"/>
      <c r="G262" s="114" t="b">
        <v>0</v>
      </c>
      <c r="H262" s="114" t="b">
        <v>0</v>
      </c>
      <c r="I262" s="114" t="b">
        <v>0</v>
      </c>
      <c r="J262" s="114" t="b">
        <v>0</v>
      </c>
      <c r="K262" s="114" t="b">
        <v>0</v>
      </c>
      <c r="L262" s="114" t="b">
        <v>0</v>
      </c>
      <c r="M262" s="114" t="b">
        <v>0</v>
      </c>
      <c r="N262" s="114" t="b">
        <v>0</v>
      </c>
      <c r="O262" s="114" t="b">
        <v>0</v>
      </c>
      <c r="P262" s="114" t="b">
        <v>0</v>
      </c>
      <c r="Q262" s="114" t="b">
        <v>0</v>
      </c>
      <c r="R262" s="114" t="b">
        <v>0</v>
      </c>
      <c r="S262" s="114" t="b">
        <v>0</v>
      </c>
      <c r="T262" s="114" t="b">
        <v>0</v>
      </c>
      <c r="U262" s="114" t="b">
        <v>0</v>
      </c>
      <c r="V262" s="114" t="b">
        <v>0</v>
      </c>
      <c r="W262" s="114" t="b">
        <v>0</v>
      </c>
      <c r="X262" s="114" t="b">
        <v>0</v>
      </c>
      <c r="Y262" s="114" t="b">
        <v>0</v>
      </c>
      <c r="Z262" s="114" t="b">
        <v>0</v>
      </c>
      <c r="AA262" s="114" t="b">
        <v>0</v>
      </c>
      <c r="AB262" s="114" t="b">
        <v>0</v>
      </c>
      <c r="AC262" s="114" t="b">
        <v>0</v>
      </c>
      <c r="AD262" s="114" t="b">
        <v>0</v>
      </c>
      <c r="AE262" s="114" t="b">
        <v>0</v>
      </c>
      <c r="AF262" s="114" t="b">
        <v>0</v>
      </c>
      <c r="AG262" s="114" t="b">
        <v>0</v>
      </c>
      <c r="AH262" s="114" t="b">
        <v>0</v>
      </c>
      <c r="AI262" s="114" t="b">
        <v>0</v>
      </c>
      <c r="AJ262" s="114" t="b">
        <v>0</v>
      </c>
      <c r="AK262" s="114" t="b">
        <v>0</v>
      </c>
      <c r="AL262" s="115" t="str">
        <f t="shared" si="1"/>
        <v>0 dari 31 (0%)</v>
      </c>
    </row>
    <row r="263" ht="22.5" customHeight="1">
      <c r="A263" s="2">
        <v>262.0</v>
      </c>
      <c r="B263" s="11"/>
      <c r="C263" s="140"/>
      <c r="D263" s="138"/>
      <c r="E263" s="138"/>
      <c r="F263" s="13"/>
      <c r="G263" s="114" t="b">
        <v>0</v>
      </c>
      <c r="H263" s="114" t="b">
        <v>0</v>
      </c>
      <c r="I263" s="114" t="b">
        <v>0</v>
      </c>
      <c r="J263" s="114" t="b">
        <v>0</v>
      </c>
      <c r="K263" s="114" t="b">
        <v>0</v>
      </c>
      <c r="L263" s="114" t="b">
        <v>0</v>
      </c>
      <c r="M263" s="114" t="b">
        <v>0</v>
      </c>
      <c r="N263" s="114" t="b">
        <v>0</v>
      </c>
      <c r="O263" s="114" t="b">
        <v>0</v>
      </c>
      <c r="P263" s="114" t="b">
        <v>0</v>
      </c>
      <c r="Q263" s="114" t="b">
        <v>0</v>
      </c>
      <c r="R263" s="114" t="b">
        <v>0</v>
      </c>
      <c r="S263" s="114" t="b">
        <v>0</v>
      </c>
      <c r="T263" s="114" t="b">
        <v>0</v>
      </c>
      <c r="U263" s="114" t="b">
        <v>0</v>
      </c>
      <c r="V263" s="114" t="b">
        <v>0</v>
      </c>
      <c r="W263" s="114" t="b">
        <v>0</v>
      </c>
      <c r="X263" s="114" t="b">
        <v>0</v>
      </c>
      <c r="Y263" s="114" t="b">
        <v>0</v>
      </c>
      <c r="Z263" s="114" t="b">
        <v>0</v>
      </c>
      <c r="AA263" s="114" t="b">
        <v>0</v>
      </c>
      <c r="AB263" s="114" t="b">
        <v>0</v>
      </c>
      <c r="AC263" s="114" t="b">
        <v>0</v>
      </c>
      <c r="AD263" s="114" t="b">
        <v>0</v>
      </c>
      <c r="AE263" s="114" t="b">
        <v>0</v>
      </c>
      <c r="AF263" s="114" t="b">
        <v>0</v>
      </c>
      <c r="AG263" s="114" t="b">
        <v>0</v>
      </c>
      <c r="AH263" s="114" t="b">
        <v>0</v>
      </c>
      <c r="AI263" s="114" t="b">
        <v>0</v>
      </c>
      <c r="AJ263" s="114" t="b">
        <v>0</v>
      </c>
      <c r="AK263" s="114" t="b">
        <v>0</v>
      </c>
      <c r="AL263" s="115" t="str">
        <f t="shared" si="1"/>
        <v>0 dari 31 (0%)</v>
      </c>
    </row>
    <row r="264" ht="22.5" customHeight="1">
      <c r="A264" s="10">
        <v>263.0</v>
      </c>
      <c r="B264" s="11"/>
      <c r="C264" s="140"/>
      <c r="D264" s="138"/>
      <c r="E264" s="138"/>
      <c r="F264" s="13"/>
      <c r="G264" s="114" t="b">
        <v>0</v>
      </c>
      <c r="H264" s="114" t="b">
        <v>0</v>
      </c>
      <c r="I264" s="114" t="b">
        <v>0</v>
      </c>
      <c r="J264" s="114" t="b">
        <v>0</v>
      </c>
      <c r="K264" s="114" t="b">
        <v>0</v>
      </c>
      <c r="L264" s="114" t="b">
        <v>0</v>
      </c>
      <c r="M264" s="114" t="b">
        <v>0</v>
      </c>
      <c r="N264" s="114" t="b">
        <v>0</v>
      </c>
      <c r="O264" s="114" t="b">
        <v>0</v>
      </c>
      <c r="P264" s="114" t="b">
        <v>0</v>
      </c>
      <c r="Q264" s="114" t="b">
        <v>0</v>
      </c>
      <c r="R264" s="114" t="b">
        <v>0</v>
      </c>
      <c r="S264" s="114" t="b">
        <v>0</v>
      </c>
      <c r="T264" s="114" t="b">
        <v>0</v>
      </c>
      <c r="U264" s="114" t="b">
        <v>0</v>
      </c>
      <c r="V264" s="114" t="b">
        <v>0</v>
      </c>
      <c r="W264" s="114" t="b">
        <v>0</v>
      </c>
      <c r="X264" s="114" t="b">
        <v>0</v>
      </c>
      <c r="Y264" s="114" t="b">
        <v>0</v>
      </c>
      <c r="Z264" s="114" t="b">
        <v>0</v>
      </c>
      <c r="AA264" s="114" t="b">
        <v>0</v>
      </c>
      <c r="AB264" s="114" t="b">
        <v>0</v>
      </c>
      <c r="AC264" s="114" t="b">
        <v>0</v>
      </c>
      <c r="AD264" s="114" t="b">
        <v>0</v>
      </c>
      <c r="AE264" s="114" t="b">
        <v>0</v>
      </c>
      <c r="AF264" s="114" t="b">
        <v>0</v>
      </c>
      <c r="AG264" s="114" t="b">
        <v>0</v>
      </c>
      <c r="AH264" s="114" t="b">
        <v>0</v>
      </c>
      <c r="AI264" s="114" t="b">
        <v>0</v>
      </c>
      <c r="AJ264" s="114" t="b">
        <v>0</v>
      </c>
      <c r="AK264" s="114" t="b">
        <v>0</v>
      </c>
      <c r="AL264" s="115" t="str">
        <f t="shared" si="1"/>
        <v>0 dari 31 (0%)</v>
      </c>
    </row>
    <row r="265" ht="22.5" customHeight="1">
      <c r="A265" s="10">
        <v>264.0</v>
      </c>
      <c r="B265" s="11"/>
      <c r="C265" s="140"/>
      <c r="D265" s="138"/>
      <c r="E265" s="138"/>
      <c r="F265" s="13"/>
      <c r="G265" s="114" t="b">
        <v>0</v>
      </c>
      <c r="H265" s="114" t="b">
        <v>0</v>
      </c>
      <c r="I265" s="114" t="b">
        <v>0</v>
      </c>
      <c r="J265" s="114" t="b">
        <v>0</v>
      </c>
      <c r="K265" s="114" t="b">
        <v>0</v>
      </c>
      <c r="L265" s="114" t="b">
        <v>0</v>
      </c>
      <c r="M265" s="114" t="b">
        <v>0</v>
      </c>
      <c r="N265" s="114" t="b">
        <v>0</v>
      </c>
      <c r="O265" s="114" t="b">
        <v>0</v>
      </c>
      <c r="P265" s="114" t="b">
        <v>0</v>
      </c>
      <c r="Q265" s="114" t="b">
        <v>0</v>
      </c>
      <c r="R265" s="114" t="b">
        <v>0</v>
      </c>
      <c r="S265" s="114" t="b">
        <v>0</v>
      </c>
      <c r="T265" s="114" t="b">
        <v>0</v>
      </c>
      <c r="U265" s="114" t="b">
        <v>0</v>
      </c>
      <c r="V265" s="114" t="b">
        <v>0</v>
      </c>
      <c r="W265" s="114" t="b">
        <v>0</v>
      </c>
      <c r="X265" s="114" t="b">
        <v>0</v>
      </c>
      <c r="Y265" s="114" t="b">
        <v>0</v>
      </c>
      <c r="Z265" s="114" t="b">
        <v>0</v>
      </c>
      <c r="AA265" s="114" t="b">
        <v>0</v>
      </c>
      <c r="AB265" s="114" t="b">
        <v>0</v>
      </c>
      <c r="AC265" s="114" t="b">
        <v>0</v>
      </c>
      <c r="AD265" s="114" t="b">
        <v>0</v>
      </c>
      <c r="AE265" s="114" t="b">
        <v>0</v>
      </c>
      <c r="AF265" s="114" t="b">
        <v>0</v>
      </c>
      <c r="AG265" s="114" t="b">
        <v>0</v>
      </c>
      <c r="AH265" s="114" t="b">
        <v>0</v>
      </c>
      <c r="AI265" s="114" t="b">
        <v>0</v>
      </c>
      <c r="AJ265" s="114" t="b">
        <v>0</v>
      </c>
      <c r="AK265" s="114" t="b">
        <v>0</v>
      </c>
      <c r="AL265" s="115" t="str">
        <f t="shared" si="1"/>
        <v>0 dari 31 (0%)</v>
      </c>
    </row>
    <row r="266" ht="22.5" customHeight="1">
      <c r="A266" s="2">
        <v>265.0</v>
      </c>
      <c r="B266" s="11"/>
      <c r="C266" s="140"/>
      <c r="D266" s="138"/>
      <c r="E266" s="138"/>
      <c r="F266" s="13"/>
      <c r="G266" s="114" t="b">
        <v>0</v>
      </c>
      <c r="H266" s="114" t="b">
        <v>0</v>
      </c>
      <c r="I266" s="114" t="b">
        <v>0</v>
      </c>
      <c r="J266" s="114" t="b">
        <v>0</v>
      </c>
      <c r="K266" s="114" t="b">
        <v>0</v>
      </c>
      <c r="L266" s="114" t="b">
        <v>0</v>
      </c>
      <c r="M266" s="114" t="b">
        <v>0</v>
      </c>
      <c r="N266" s="114" t="b">
        <v>0</v>
      </c>
      <c r="O266" s="114" t="b">
        <v>0</v>
      </c>
      <c r="P266" s="114" t="b">
        <v>0</v>
      </c>
      <c r="Q266" s="114" t="b">
        <v>0</v>
      </c>
      <c r="R266" s="114" t="b">
        <v>0</v>
      </c>
      <c r="S266" s="114" t="b">
        <v>0</v>
      </c>
      <c r="T266" s="114" t="b">
        <v>0</v>
      </c>
      <c r="U266" s="114" t="b">
        <v>0</v>
      </c>
      <c r="V266" s="114" t="b">
        <v>0</v>
      </c>
      <c r="W266" s="114" t="b">
        <v>0</v>
      </c>
      <c r="X266" s="114" t="b">
        <v>0</v>
      </c>
      <c r="Y266" s="114" t="b">
        <v>0</v>
      </c>
      <c r="Z266" s="114" t="b">
        <v>0</v>
      </c>
      <c r="AA266" s="114" t="b">
        <v>0</v>
      </c>
      <c r="AB266" s="114" t="b">
        <v>0</v>
      </c>
      <c r="AC266" s="114" t="b">
        <v>0</v>
      </c>
      <c r="AD266" s="114" t="b">
        <v>0</v>
      </c>
      <c r="AE266" s="114" t="b">
        <v>0</v>
      </c>
      <c r="AF266" s="114" t="b">
        <v>0</v>
      </c>
      <c r="AG266" s="114" t="b">
        <v>0</v>
      </c>
      <c r="AH266" s="114" t="b">
        <v>0</v>
      </c>
      <c r="AI266" s="114" t="b">
        <v>0</v>
      </c>
      <c r="AJ266" s="114" t="b">
        <v>0</v>
      </c>
      <c r="AK266" s="114" t="b">
        <v>0</v>
      </c>
      <c r="AL266" s="115" t="str">
        <f t="shared" si="1"/>
        <v>0 dari 31 (0%)</v>
      </c>
    </row>
    <row r="267" ht="22.5" customHeight="1">
      <c r="A267" s="10">
        <v>266.0</v>
      </c>
      <c r="B267" s="11"/>
      <c r="C267" s="140"/>
      <c r="D267" s="138"/>
      <c r="E267" s="138"/>
      <c r="F267" s="13"/>
      <c r="G267" s="114" t="b">
        <v>0</v>
      </c>
      <c r="H267" s="114" t="b">
        <v>0</v>
      </c>
      <c r="I267" s="114" t="b">
        <v>0</v>
      </c>
      <c r="J267" s="114" t="b">
        <v>0</v>
      </c>
      <c r="K267" s="114" t="b">
        <v>0</v>
      </c>
      <c r="L267" s="114" t="b">
        <v>0</v>
      </c>
      <c r="M267" s="114" t="b">
        <v>0</v>
      </c>
      <c r="N267" s="114" t="b">
        <v>0</v>
      </c>
      <c r="O267" s="114" t="b">
        <v>0</v>
      </c>
      <c r="P267" s="114" t="b">
        <v>0</v>
      </c>
      <c r="Q267" s="114" t="b">
        <v>0</v>
      </c>
      <c r="R267" s="114" t="b">
        <v>0</v>
      </c>
      <c r="S267" s="114" t="b">
        <v>0</v>
      </c>
      <c r="T267" s="114" t="b">
        <v>0</v>
      </c>
      <c r="U267" s="114" t="b">
        <v>0</v>
      </c>
      <c r="V267" s="114" t="b">
        <v>0</v>
      </c>
      <c r="W267" s="114" t="b">
        <v>0</v>
      </c>
      <c r="X267" s="114" t="b">
        <v>0</v>
      </c>
      <c r="Y267" s="114" t="b">
        <v>0</v>
      </c>
      <c r="Z267" s="114" t="b">
        <v>0</v>
      </c>
      <c r="AA267" s="114" t="b">
        <v>0</v>
      </c>
      <c r="AB267" s="114" t="b">
        <v>0</v>
      </c>
      <c r="AC267" s="114" t="b">
        <v>0</v>
      </c>
      <c r="AD267" s="114" t="b">
        <v>0</v>
      </c>
      <c r="AE267" s="114" t="b">
        <v>0</v>
      </c>
      <c r="AF267" s="114" t="b">
        <v>0</v>
      </c>
      <c r="AG267" s="114" t="b">
        <v>0</v>
      </c>
      <c r="AH267" s="114" t="b">
        <v>0</v>
      </c>
      <c r="AI267" s="114" t="b">
        <v>0</v>
      </c>
      <c r="AJ267" s="114" t="b">
        <v>0</v>
      </c>
      <c r="AK267" s="114" t="b">
        <v>0</v>
      </c>
      <c r="AL267" s="115" t="str">
        <f t="shared" si="1"/>
        <v>0 dari 31 (0%)</v>
      </c>
    </row>
    <row r="268" ht="22.5" customHeight="1">
      <c r="A268" s="2">
        <v>267.0</v>
      </c>
      <c r="B268" s="11"/>
      <c r="C268" s="140"/>
      <c r="D268" s="138"/>
      <c r="E268" s="138"/>
      <c r="F268" s="13"/>
      <c r="G268" s="114" t="b">
        <v>0</v>
      </c>
      <c r="H268" s="114" t="b">
        <v>0</v>
      </c>
      <c r="I268" s="114" t="b">
        <v>0</v>
      </c>
      <c r="J268" s="114" t="b">
        <v>0</v>
      </c>
      <c r="K268" s="114" t="b">
        <v>0</v>
      </c>
      <c r="L268" s="114" t="b">
        <v>0</v>
      </c>
      <c r="M268" s="114" t="b">
        <v>0</v>
      </c>
      <c r="N268" s="114" t="b">
        <v>0</v>
      </c>
      <c r="O268" s="114" t="b">
        <v>0</v>
      </c>
      <c r="P268" s="114" t="b">
        <v>0</v>
      </c>
      <c r="Q268" s="114" t="b">
        <v>0</v>
      </c>
      <c r="R268" s="114" t="b">
        <v>0</v>
      </c>
      <c r="S268" s="114" t="b">
        <v>0</v>
      </c>
      <c r="T268" s="114" t="b">
        <v>0</v>
      </c>
      <c r="U268" s="114" t="b">
        <v>0</v>
      </c>
      <c r="V268" s="114" t="b">
        <v>0</v>
      </c>
      <c r="W268" s="114" t="b">
        <v>0</v>
      </c>
      <c r="X268" s="114" t="b">
        <v>0</v>
      </c>
      <c r="Y268" s="114" t="b">
        <v>0</v>
      </c>
      <c r="Z268" s="114" t="b">
        <v>0</v>
      </c>
      <c r="AA268" s="114" t="b">
        <v>0</v>
      </c>
      <c r="AB268" s="114" t="b">
        <v>0</v>
      </c>
      <c r="AC268" s="114" t="b">
        <v>0</v>
      </c>
      <c r="AD268" s="114" t="b">
        <v>0</v>
      </c>
      <c r="AE268" s="114" t="b">
        <v>0</v>
      </c>
      <c r="AF268" s="114" t="b">
        <v>0</v>
      </c>
      <c r="AG268" s="114" t="b">
        <v>0</v>
      </c>
      <c r="AH268" s="114" t="b">
        <v>0</v>
      </c>
      <c r="AI268" s="114" t="b">
        <v>0</v>
      </c>
      <c r="AJ268" s="114" t="b">
        <v>0</v>
      </c>
      <c r="AK268" s="114" t="b">
        <v>0</v>
      </c>
      <c r="AL268" s="115" t="str">
        <f t="shared" si="1"/>
        <v>0 dari 31 (0%)</v>
      </c>
    </row>
    <row r="269" ht="22.5" customHeight="1">
      <c r="A269" s="10">
        <v>268.0</v>
      </c>
      <c r="B269" s="11"/>
      <c r="C269" s="140"/>
      <c r="D269" s="138"/>
      <c r="E269" s="138"/>
      <c r="F269" s="13"/>
      <c r="G269" s="114" t="b">
        <v>0</v>
      </c>
      <c r="H269" s="114" t="b">
        <v>0</v>
      </c>
      <c r="I269" s="114" t="b">
        <v>0</v>
      </c>
      <c r="J269" s="114" t="b">
        <v>0</v>
      </c>
      <c r="K269" s="114" t="b">
        <v>0</v>
      </c>
      <c r="L269" s="114" t="b">
        <v>0</v>
      </c>
      <c r="M269" s="114" t="b">
        <v>0</v>
      </c>
      <c r="N269" s="114" t="b">
        <v>0</v>
      </c>
      <c r="O269" s="114" t="b">
        <v>0</v>
      </c>
      <c r="P269" s="114" t="b">
        <v>0</v>
      </c>
      <c r="Q269" s="114" t="b">
        <v>0</v>
      </c>
      <c r="R269" s="114" t="b">
        <v>0</v>
      </c>
      <c r="S269" s="114" t="b">
        <v>0</v>
      </c>
      <c r="T269" s="114" t="b">
        <v>0</v>
      </c>
      <c r="U269" s="114" t="b">
        <v>0</v>
      </c>
      <c r="V269" s="114" t="b">
        <v>0</v>
      </c>
      <c r="W269" s="114" t="b">
        <v>0</v>
      </c>
      <c r="X269" s="114" t="b">
        <v>0</v>
      </c>
      <c r="Y269" s="114" t="b">
        <v>0</v>
      </c>
      <c r="Z269" s="114" t="b">
        <v>0</v>
      </c>
      <c r="AA269" s="114" t="b">
        <v>0</v>
      </c>
      <c r="AB269" s="114" t="b">
        <v>0</v>
      </c>
      <c r="AC269" s="114" t="b">
        <v>0</v>
      </c>
      <c r="AD269" s="114" t="b">
        <v>0</v>
      </c>
      <c r="AE269" s="114" t="b">
        <v>0</v>
      </c>
      <c r="AF269" s="114" t="b">
        <v>0</v>
      </c>
      <c r="AG269" s="114" t="b">
        <v>0</v>
      </c>
      <c r="AH269" s="114" t="b">
        <v>0</v>
      </c>
      <c r="AI269" s="114" t="b">
        <v>0</v>
      </c>
      <c r="AJ269" s="114" t="b">
        <v>0</v>
      </c>
      <c r="AK269" s="114" t="b">
        <v>0</v>
      </c>
      <c r="AL269" s="115" t="str">
        <f t="shared" si="1"/>
        <v>0 dari 31 (0%)</v>
      </c>
    </row>
    <row r="270" ht="22.5" customHeight="1">
      <c r="A270" s="10">
        <v>269.0</v>
      </c>
      <c r="B270" s="11"/>
      <c r="C270" s="140"/>
      <c r="D270" s="138"/>
      <c r="E270" s="138"/>
      <c r="F270" s="13"/>
      <c r="G270" s="114" t="b">
        <v>0</v>
      </c>
      <c r="H270" s="114" t="b">
        <v>0</v>
      </c>
      <c r="I270" s="114" t="b">
        <v>0</v>
      </c>
      <c r="J270" s="114" t="b">
        <v>0</v>
      </c>
      <c r="K270" s="114" t="b">
        <v>0</v>
      </c>
      <c r="L270" s="114" t="b">
        <v>0</v>
      </c>
      <c r="M270" s="114" t="b">
        <v>0</v>
      </c>
      <c r="N270" s="114" t="b">
        <v>0</v>
      </c>
      <c r="O270" s="114" t="b">
        <v>0</v>
      </c>
      <c r="P270" s="114" t="b">
        <v>0</v>
      </c>
      <c r="Q270" s="114" t="b">
        <v>0</v>
      </c>
      <c r="R270" s="114" t="b">
        <v>0</v>
      </c>
      <c r="S270" s="114" t="b">
        <v>0</v>
      </c>
      <c r="T270" s="114" t="b">
        <v>0</v>
      </c>
      <c r="U270" s="114" t="b">
        <v>0</v>
      </c>
      <c r="V270" s="114" t="b">
        <v>0</v>
      </c>
      <c r="W270" s="114" t="b">
        <v>0</v>
      </c>
      <c r="X270" s="114" t="b">
        <v>0</v>
      </c>
      <c r="Y270" s="114" t="b">
        <v>0</v>
      </c>
      <c r="Z270" s="114" t="b">
        <v>0</v>
      </c>
      <c r="AA270" s="114" t="b">
        <v>0</v>
      </c>
      <c r="AB270" s="114" t="b">
        <v>0</v>
      </c>
      <c r="AC270" s="114" t="b">
        <v>0</v>
      </c>
      <c r="AD270" s="114" t="b">
        <v>0</v>
      </c>
      <c r="AE270" s="114" t="b">
        <v>0</v>
      </c>
      <c r="AF270" s="114" t="b">
        <v>0</v>
      </c>
      <c r="AG270" s="114" t="b">
        <v>0</v>
      </c>
      <c r="AH270" s="114" t="b">
        <v>0</v>
      </c>
      <c r="AI270" s="114" t="b">
        <v>0</v>
      </c>
      <c r="AJ270" s="114" t="b">
        <v>0</v>
      </c>
      <c r="AK270" s="114" t="b">
        <v>0</v>
      </c>
      <c r="AL270" s="115" t="str">
        <f t="shared" si="1"/>
        <v>0 dari 31 (0%)</v>
      </c>
    </row>
    <row r="271" ht="22.5" customHeight="1">
      <c r="A271" s="2">
        <v>270.0</v>
      </c>
      <c r="B271" s="11"/>
      <c r="C271" s="140"/>
      <c r="D271" s="138"/>
      <c r="E271" s="138"/>
      <c r="F271" s="13"/>
      <c r="G271" s="114" t="b">
        <v>0</v>
      </c>
      <c r="H271" s="114" t="b">
        <v>0</v>
      </c>
      <c r="I271" s="114" t="b">
        <v>0</v>
      </c>
      <c r="J271" s="114" t="b">
        <v>0</v>
      </c>
      <c r="K271" s="114" t="b">
        <v>0</v>
      </c>
      <c r="L271" s="114" t="b">
        <v>0</v>
      </c>
      <c r="M271" s="114" t="b">
        <v>0</v>
      </c>
      <c r="N271" s="114" t="b">
        <v>0</v>
      </c>
      <c r="O271" s="114" t="b">
        <v>0</v>
      </c>
      <c r="P271" s="114" t="b">
        <v>0</v>
      </c>
      <c r="Q271" s="114" t="b">
        <v>0</v>
      </c>
      <c r="R271" s="114" t="b">
        <v>0</v>
      </c>
      <c r="S271" s="114" t="b">
        <v>0</v>
      </c>
      <c r="T271" s="114" t="b">
        <v>0</v>
      </c>
      <c r="U271" s="114" t="b">
        <v>0</v>
      </c>
      <c r="V271" s="114" t="b">
        <v>0</v>
      </c>
      <c r="W271" s="114" t="b">
        <v>0</v>
      </c>
      <c r="X271" s="114" t="b">
        <v>0</v>
      </c>
      <c r="Y271" s="114" t="b">
        <v>0</v>
      </c>
      <c r="Z271" s="114" t="b">
        <v>0</v>
      </c>
      <c r="AA271" s="114" t="b">
        <v>0</v>
      </c>
      <c r="AB271" s="114" t="b">
        <v>0</v>
      </c>
      <c r="AC271" s="114" t="b">
        <v>0</v>
      </c>
      <c r="AD271" s="114" t="b">
        <v>0</v>
      </c>
      <c r="AE271" s="114" t="b">
        <v>0</v>
      </c>
      <c r="AF271" s="114" t="b">
        <v>0</v>
      </c>
      <c r="AG271" s="114" t="b">
        <v>0</v>
      </c>
      <c r="AH271" s="114" t="b">
        <v>0</v>
      </c>
      <c r="AI271" s="114" t="b">
        <v>0</v>
      </c>
      <c r="AJ271" s="114" t="b">
        <v>0</v>
      </c>
      <c r="AK271" s="114" t="b">
        <v>0</v>
      </c>
      <c r="AL271" s="115" t="str">
        <f t="shared" si="1"/>
        <v>0 dari 31 (0%)</v>
      </c>
    </row>
    <row r="273">
      <c r="B273" s="71" t="s">
        <v>38</v>
      </c>
      <c r="C273" s="72"/>
      <c r="D273" s="72"/>
      <c r="E273" s="72"/>
      <c r="F273" s="73"/>
      <c r="G273" s="74">
        <f>COUNTIF(JULI[ID Encounter], TRUE)</f>
        <v>0</v>
      </c>
      <c r="H273" s="74">
        <f>COUNTIF(JULI[ID Condition], TRUE)</f>
        <v>0</v>
      </c>
      <c r="I273" s="74">
        <f>COUNTIF(JULI[ID Clinical Impression], TRUE)</f>
        <v>0</v>
      </c>
      <c r="J273" s="74">
        <f>COUNTIF(JULI[ID Observation Tensi], TRUE)</f>
        <v>0</v>
      </c>
      <c r="K273" s="74">
        <f>COUNTIF(JULI[ID Observation Nadi], TRUE)</f>
        <v>0</v>
      </c>
      <c r="L273" s="74">
        <f>COUNTIF(JULI[ID Observation RR], TRUE)</f>
        <v>0</v>
      </c>
      <c r="M273" s="74">
        <f>COUNTIF(JULI[ID Observation Suhu], TRUE)</f>
        <v>0</v>
      </c>
      <c r="N273" s="74">
        <f>COUNTIF(JULI[ID Observation SPO2], TRUE)</f>
        <v>0</v>
      </c>
      <c r="O273" s="74">
        <f>COUNTIF(JULI[ID Observation GCS], TRUE)</f>
        <v>0</v>
      </c>
      <c r="P273" s="74">
        <f>COUNTIF(JULI[ID Observation Tinggi], TRUE)</f>
        <v>0</v>
      </c>
      <c r="Q273" s="74">
        <f>COUNTIF(JULI[ID Observation Berat], TRUE)</f>
        <v>0</v>
      </c>
      <c r="R273" s="74">
        <f>COUNTIF(JULI[ID Observation Perut], TRUE)</f>
        <v>0</v>
      </c>
      <c r="S273" s="74">
        <f>COUNTIF(JULI[ID Observation Kesadaran], TRUE)</f>
        <v>0</v>
      </c>
      <c r="T273" s="74">
        <f>COUNTIF(JULI[ID Procedure], TRUE)</f>
        <v>0</v>
      </c>
      <c r="U273" s="74">
        <f>COUNTIF(JULI[ID Composition], TRUE)</f>
        <v>0</v>
      </c>
      <c r="V273" s="74">
        <f>COUNTIF(JULI[ID Vaksin/Imunisasi], TRUE)</f>
        <v>0</v>
      </c>
      <c r="W273" s="74">
        <f>COUNTIF(JULI[ID Medication Request], TRUE)</f>
        <v>0</v>
      </c>
      <c r="X273" s="74">
        <f>COUNTIF(JULI[ID Medication Dispense], TRUE)</f>
        <v>0</v>
      </c>
      <c r="Y273" s="74">
        <f>COUNTIF(JULI[ID Medication Statement], TRUE)</f>
        <v>0</v>
      </c>
      <c r="Z273" s="74">
        <f>COUNTIF(JULI[ID Service Request Radiologi], TRUE)</f>
        <v>0</v>
      </c>
      <c r="AA273" s="74">
        <f>COUNTIF(JULI[ID Specimen Radiologi], TRUE)</f>
        <v>0</v>
      </c>
      <c r="AB273" s="74">
        <f>COUNTIF(JULI[ID Observation Radiologi], TRUE)</f>
        <v>0</v>
      </c>
      <c r="AC273" s="74">
        <f>COUNTIF(JULI[ID Diagnostic Report Radiologi], TRUE)</f>
        <v>0</v>
      </c>
      <c r="AD273" s="74">
        <f>COUNTIF(JULI[Image Study], TRUE)</f>
        <v>0</v>
      </c>
      <c r="AE273" s="74">
        <f>COUNTIF(JULI[ID Service Request Lab PK], TRUE)</f>
        <v>0</v>
      </c>
      <c r="AF273" s="74">
        <f>COUNTIF(JULI[ID Specimen Lab PK], TRUE)</f>
        <v>0</v>
      </c>
      <c r="AG273" s="74">
        <f>COUNTIF(JULI[ID Observation Lab PK], TRUE)</f>
        <v>0</v>
      </c>
      <c r="AH273" s="74">
        <f>COUNTIF(JULI[ID Diagnostic Report Lab PK], TRUE)</f>
        <v>0</v>
      </c>
      <c r="AI273" s="74">
        <f>COUNTIF(JULI[ID Care Plan], TRUE)</f>
        <v>0</v>
      </c>
      <c r="AJ273" s="74">
        <f>COUNTIF(JULI[ID Allergy], TRUE)</f>
        <v>0</v>
      </c>
      <c r="AK273" s="74">
        <f>COUNTIF(JULI[ID Questionnaire], TRUE)</f>
        <v>0</v>
      </c>
      <c r="AL273" s="75" t="str">
        <f>COUNTIF(JULI[[ID Encounter]:[ID Questionnaire]], TRUE()) &amp; " dari " &amp; (ROWS(JULI[[ID Encounter]:[ID Questionnaire]])*COLUMNS(JULI[[ID Encounter]:[ID Questionnaire]])) &amp; " (" &amp; TEXT(COUNTIF(JULI[[ID Encounter]:[ID Questionnaire]], TRUE())/(ROWS(JULI[[ID Encounter]:[ID Questionnaire]])*COLUMNS(JULI[[ID Encounter]:[ID Questionnaire]])),"0%") &amp; ")"</f>
        <v>0 dari 8370 (0%)</v>
      </c>
    </row>
    <row r="274">
      <c r="B274" s="76"/>
      <c r="C274" s="77"/>
      <c r="D274" s="77"/>
      <c r="E274" s="77"/>
      <c r="F274" s="78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</row>
  </sheetData>
  <mergeCells count="33">
    <mergeCell ref="B273:F274"/>
    <mergeCell ref="G273:G274"/>
    <mergeCell ref="H273:H274"/>
    <mergeCell ref="I273:I274"/>
    <mergeCell ref="J273:J274"/>
    <mergeCell ref="K273:K274"/>
    <mergeCell ref="L273:L274"/>
    <mergeCell ref="M273:M274"/>
    <mergeCell ref="N273:N274"/>
    <mergeCell ref="O273:O274"/>
    <mergeCell ref="P273:P274"/>
    <mergeCell ref="Q273:Q274"/>
    <mergeCell ref="R273:R274"/>
    <mergeCell ref="S273:S274"/>
    <mergeCell ref="T273:T274"/>
    <mergeCell ref="U273:U274"/>
    <mergeCell ref="V273:V274"/>
    <mergeCell ref="W273:W274"/>
    <mergeCell ref="X273:X274"/>
    <mergeCell ref="Y273:Y274"/>
    <mergeCell ref="Z273:Z274"/>
    <mergeCell ref="AH273:AH274"/>
    <mergeCell ref="AI273:AI274"/>
    <mergeCell ref="AJ273:AJ274"/>
    <mergeCell ref="AK273:AK274"/>
    <mergeCell ref="AL273:AL274"/>
    <mergeCell ref="AA273:AA274"/>
    <mergeCell ref="AB273:AB274"/>
    <mergeCell ref="AC273:AC274"/>
    <mergeCell ref="AD273:AD274"/>
    <mergeCell ref="AE273:AE274"/>
    <mergeCell ref="AF273:AF274"/>
    <mergeCell ref="AG273:AG274"/>
  </mergeCells>
  <drawing r:id="rId1"/>
  <tableParts count="1">
    <tablePart r:id="rId3"/>
  </tableParts>
</worksheet>
</file>